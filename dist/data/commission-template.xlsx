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utkina\Desktop\"/>
    </mc:Choice>
  </mc:AlternateContent>
  <xr:revisionPtr revIDLastSave="0" documentId="13_ncr:1_{4B58862B-9F4A-4DD1-AB2C-717C024CEC57}" xr6:coauthVersionLast="47" xr6:coauthVersionMax="47" xr10:uidLastSave="{00000000-0000-0000-0000-000000000000}"/>
  <bookViews>
    <workbookView xWindow="-108" yWindow="-108" windowWidth="23256" windowHeight="12456" xr2:uid="{00000000-000D-0000-FFFF-FFFF00000000}"/>
  </bookViews>
  <sheets>
    <sheet name="Фокусы Черновик " sheetId="10" r:id="rId1"/>
    <sheet name="Фокусы WMF для SC универ " sheetId="9" r:id="rId2"/>
    <sheet name="Лист1" sheetId="6" state="hidden" r:id="rId3"/>
  </sheets>
  <externalReferences>
    <externalReference r:id="rId4"/>
    <externalReference r:id="rId5"/>
  </externalReferences>
  <definedNames>
    <definedName name="_xlnm._FilterDatabase" localSheetId="2" hidden="1">Лист1!$A$1:$D$5322</definedName>
    <definedName name="_xlnm._FilterDatabase" localSheetId="1" hidden="1">'Фокусы WMF для SC универ '!$A$2:$J$228</definedName>
    <definedName name="_xlnm._FilterDatabase" localSheetId="0" hidden="1">'Фокусы Черновик '!$O$2:$AB$245</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3" i="10" l="1"/>
  <c r="R96" i="10"/>
  <c r="R97" i="10"/>
  <c r="R98" i="10"/>
  <c r="R29" i="10"/>
  <c r="R30" i="10"/>
  <c r="R33" i="10"/>
  <c r="R4" i="10"/>
  <c r="R3" i="10"/>
  <c r="Q99" i="10"/>
  <c r="R99" i="10"/>
  <c r="Q96" i="10"/>
  <c r="R170" i="10"/>
  <c r="R171" i="10"/>
  <c r="Q74" i="10"/>
  <c r="Q123" i="10" l="1"/>
  <c r="Q97" i="10"/>
  <c r="Q78" i="10"/>
  <c r="Q77" i="10"/>
  <c r="Q98" i="10"/>
  <c r="Q33" i="10"/>
  <c r="Q30" i="10"/>
  <c r="Q29" i="10"/>
  <c r="Q4" i="10"/>
  <c r="Q3" i="10"/>
  <c r="Q171" i="10"/>
  <c r="Q170" i="10"/>
  <c r="R82" i="10"/>
  <c r="Q82" i="10"/>
  <c r="Q6" i="10"/>
  <c r="R125" i="10" l="1"/>
  <c r="R126" i="10"/>
  <c r="R70" i="10"/>
  <c r="R215" i="10"/>
  <c r="R216" i="10"/>
  <c r="R217" i="10"/>
  <c r="R219" i="10"/>
  <c r="R220" i="10"/>
  <c r="R221" i="10"/>
  <c r="Q215" i="10"/>
  <c r="Q216" i="10"/>
  <c r="Q217" i="10"/>
  <c r="Q218" i="10"/>
  <c r="Q219" i="10"/>
  <c r="Q220" i="10"/>
  <c r="Q221" i="10"/>
  <c r="Q214" i="10"/>
  <c r="R214" i="10"/>
  <c r="Q80" i="10"/>
  <c r="R80" i="10"/>
  <c r="Q76" i="10"/>
  <c r="R76" i="10"/>
  <c r="R67" i="10"/>
  <c r="Q67" i="10"/>
  <c r="R205" i="10"/>
  <c r="R206" i="10"/>
  <c r="R209" i="10"/>
  <c r="R210" i="10"/>
  <c r="R211" i="10"/>
  <c r="R212" i="10"/>
  <c r="R213" i="10"/>
  <c r="R222" i="10"/>
  <c r="R223" i="10"/>
  <c r="R75" i="10"/>
  <c r="R83" i="10"/>
  <c r="R100" i="10"/>
  <c r="R101" i="10"/>
  <c r="R35" i="10"/>
  <c r="R53" i="10"/>
  <c r="R54" i="10"/>
  <c r="R55" i="10"/>
  <c r="R218" i="10" l="1"/>
  <c r="Q125" i="10"/>
  <c r="Q126" i="10"/>
  <c r="Q70" i="10"/>
  <c r="Q83" i="10"/>
  <c r="Q209" i="10"/>
  <c r="Q206" i="10"/>
  <c r="Q223" i="10"/>
  <c r="Q55" i="10"/>
  <c r="Q54" i="10"/>
  <c r="Q100" i="10"/>
  <c r="Q101" i="10"/>
  <c r="Q205" i="10"/>
  <c r="Q53" i="10"/>
  <c r="Q222" i="10"/>
  <c r="Q213" i="10"/>
  <c r="Q212" i="10"/>
  <c r="Q211" i="10"/>
  <c r="Q210" i="10"/>
  <c r="Q75" i="10"/>
  <c r="Q35" i="10" l="1"/>
  <c r="R124" i="10"/>
  <c r="Q124" i="10"/>
  <c r="Q225" i="10"/>
  <c r="R87" i="10"/>
  <c r="R86" i="10"/>
  <c r="R88" i="10"/>
  <c r="R89" i="10"/>
  <c r="R226" i="10"/>
  <c r="R227" i="10"/>
  <c r="R228" i="10"/>
  <c r="Q226" i="10"/>
  <c r="Q89" i="10"/>
  <c r="Q88" i="10"/>
  <c r="R66" i="10"/>
  <c r="Q66" i="10"/>
  <c r="R225" i="10" l="1"/>
  <c r="Q86" i="10"/>
  <c r="Q87" i="10"/>
  <c r="Q241" i="10" l="1"/>
  <c r="R241" i="10"/>
  <c r="R122" i="10"/>
  <c r="Q39" i="10"/>
  <c r="Q122" i="10" l="1"/>
  <c r="R39" i="10"/>
  <c r="Q106" i="10"/>
  <c r="R106" i="10"/>
  <c r="Q105" i="10"/>
  <c r="R105" i="10"/>
  <c r="R27" i="10"/>
  <c r="Q27" i="10"/>
  <c r="R31" i="10"/>
  <c r="Q31" i="10"/>
  <c r="Q36" i="10" l="1"/>
  <c r="R36" i="10"/>
  <c r="S244" i="10" l="1"/>
  <c r="T244" i="10"/>
  <c r="U244" i="10"/>
  <c r="V244" i="10"/>
  <c r="W244" i="10"/>
  <c r="X244" i="10"/>
  <c r="Y244" i="10"/>
  <c r="Z244" i="10"/>
  <c r="P244" i="10"/>
  <c r="P195" i="10"/>
  <c r="P158" i="10"/>
  <c r="R149" i="10"/>
  <c r="Q149" i="10"/>
  <c r="P134" i="10"/>
  <c r="R120" i="10"/>
  <c r="Q120" i="10"/>
  <c r="P111" i="10"/>
  <c r="R74" i="10"/>
  <c r="P63" i="10"/>
  <c r="S63" i="10"/>
  <c r="T63" i="10"/>
  <c r="U63" i="10"/>
  <c r="V63" i="10"/>
  <c r="W63" i="10"/>
  <c r="X63" i="10"/>
  <c r="Y63" i="10"/>
  <c r="Z63" i="10"/>
  <c r="P22" i="10"/>
  <c r="S195" i="10"/>
  <c r="T195" i="10"/>
  <c r="U195" i="10"/>
  <c r="V195" i="10"/>
  <c r="W195" i="10"/>
  <c r="X195" i="10"/>
  <c r="Y195" i="10"/>
  <c r="Z195" i="10"/>
  <c r="R203" i="10"/>
  <c r="R230" i="10"/>
  <c r="R236" i="10"/>
  <c r="Q203" i="10"/>
  <c r="Q230" i="10"/>
  <c r="Q236" i="10"/>
  <c r="P245" i="10" l="1"/>
  <c r="R163" i="10" l="1"/>
  <c r="R164" i="10"/>
  <c r="R165" i="10"/>
  <c r="R166" i="10"/>
  <c r="R167" i="10"/>
  <c r="R168" i="10"/>
  <c r="R169" i="10"/>
  <c r="R172" i="10"/>
  <c r="R173" i="10"/>
  <c r="Q163" i="10"/>
  <c r="Q164" i="10"/>
  <c r="Q165" i="10"/>
  <c r="Q166" i="10"/>
  <c r="Q167" i="10"/>
  <c r="Q168" i="10"/>
  <c r="Q169" i="10"/>
  <c r="Q172" i="10"/>
  <c r="Q173" i="10"/>
  <c r="Q43" i="10"/>
  <c r="Q102" i="10"/>
  <c r="R102" i="10"/>
  <c r="Q95" i="10"/>
  <c r="R95" i="10"/>
  <c r="Q85" i="10"/>
  <c r="R85" i="10"/>
  <c r="R68" i="10"/>
  <c r="R69" i="10"/>
  <c r="R71" i="10"/>
  <c r="Q69" i="10"/>
  <c r="Q71" i="10"/>
  <c r="Q68" i="10" l="1"/>
  <c r="Z22" i="10"/>
  <c r="Y22" i="10"/>
  <c r="X22" i="10"/>
  <c r="W22" i="10"/>
  <c r="V22" i="10"/>
  <c r="U22" i="10"/>
  <c r="T22" i="10"/>
  <c r="S22" i="10"/>
  <c r="S111" i="10"/>
  <c r="T111" i="10"/>
  <c r="U111" i="10"/>
  <c r="V111" i="10"/>
  <c r="W111" i="10"/>
  <c r="X111" i="10"/>
  <c r="Y111" i="10"/>
  <c r="Z111" i="10"/>
  <c r="R43" i="10"/>
  <c r="U245" i="10" l="1"/>
  <c r="S245" i="10"/>
  <c r="V245" i="10"/>
  <c r="T245" i="10"/>
  <c r="Y245" i="10"/>
  <c r="Z245" i="10"/>
  <c r="X245" i="10"/>
  <c r="W245" i="10"/>
  <c r="R128" i="10"/>
  <c r="R129" i="10"/>
  <c r="R130" i="10"/>
  <c r="R131" i="10"/>
  <c r="Q228" i="10"/>
  <c r="R229" i="10"/>
  <c r="Q229" i="10"/>
  <c r="Q131" i="10" l="1"/>
  <c r="Q129" i="10"/>
  <c r="Q128" i="10"/>
  <c r="Q130" i="10"/>
  <c r="R91" i="10"/>
  <c r="Q91" i="10"/>
  <c r="R140" i="10"/>
  <c r="R139" i="10"/>
  <c r="Q139" i="10"/>
  <c r="Q140" i="10"/>
  <c r="R10" i="10" l="1"/>
  <c r="R84" i="10"/>
  <c r="R114" i="10"/>
  <c r="Q114" i="10"/>
  <c r="Q84" i="10" l="1"/>
  <c r="Q10" i="10"/>
  <c r="J248" i="9" l="1"/>
  <c r="E248" i="9"/>
  <c r="D248" i="9"/>
  <c r="J247" i="9"/>
  <c r="E247" i="9"/>
  <c r="D247" i="9"/>
  <c r="I246" i="9"/>
  <c r="E246" i="9"/>
  <c r="D246" i="9"/>
  <c r="I245" i="9"/>
  <c r="E245" i="9"/>
  <c r="D245" i="9"/>
  <c r="J244" i="9"/>
  <c r="E244" i="9"/>
  <c r="D244" i="9"/>
  <c r="I243" i="9"/>
  <c r="J243" i="9"/>
  <c r="E243" i="9"/>
  <c r="D243" i="9"/>
  <c r="J242" i="9"/>
  <c r="I242" i="9"/>
  <c r="E242" i="9"/>
  <c r="D242" i="9"/>
  <c r="J241" i="9"/>
  <c r="E241" i="9"/>
  <c r="D241" i="9"/>
  <c r="J240" i="9"/>
  <c r="E240" i="9"/>
  <c r="D240" i="9"/>
  <c r="J239" i="9"/>
  <c r="I239" i="9"/>
  <c r="E239" i="9"/>
  <c r="D239" i="9"/>
  <c r="J238" i="9"/>
  <c r="I238" i="9"/>
  <c r="E238" i="9"/>
  <c r="D238" i="9"/>
  <c r="I237" i="9"/>
  <c r="E237" i="9"/>
  <c r="D237" i="9"/>
  <c r="I236" i="9"/>
  <c r="E236" i="9"/>
  <c r="D236" i="9"/>
  <c r="I235" i="9"/>
  <c r="E235" i="9"/>
  <c r="D235" i="9"/>
  <c r="I234" i="9"/>
  <c r="E234" i="9"/>
  <c r="D234" i="9"/>
  <c r="J233" i="9"/>
  <c r="E233" i="9"/>
  <c r="D233" i="9"/>
  <c r="J232" i="9"/>
  <c r="E232" i="9"/>
  <c r="D232" i="9"/>
  <c r="J231" i="9"/>
  <c r="I231" i="9"/>
  <c r="E231" i="9"/>
  <c r="D231" i="9"/>
  <c r="J230" i="9"/>
  <c r="E230" i="9"/>
  <c r="D230" i="9"/>
  <c r="I229" i="9"/>
  <c r="E229" i="9"/>
  <c r="D229" i="9"/>
  <c r="J246" i="9" l="1"/>
  <c r="J234" i="9"/>
  <c r="I230" i="9"/>
  <c r="I232" i="9"/>
  <c r="J235" i="9"/>
  <c r="J229" i="9"/>
  <c r="J237" i="9"/>
  <c r="J245" i="9"/>
  <c r="I247" i="9"/>
  <c r="I244" i="9"/>
  <c r="I233" i="9"/>
  <c r="J236" i="9"/>
  <c r="I241" i="9"/>
  <c r="I248" i="9"/>
  <c r="I240" i="9"/>
  <c r="J4" i="9" l="1"/>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3" i="9"/>
  <c r="Q224" i="10" l="1"/>
  <c r="Q227" i="10"/>
  <c r="R224" i="10"/>
  <c r="Q121" i="10"/>
  <c r="R121" i="10"/>
  <c r="R136" i="10" l="1"/>
  <c r="Q136" i="10"/>
  <c r="R5" i="10"/>
  <c r="Q5" i="10"/>
  <c r="R62" i="10" l="1"/>
  <c r="Q62" i="10"/>
  <c r="R61" i="10"/>
  <c r="Q61" i="10"/>
  <c r="R60" i="10"/>
  <c r="Q60" i="10"/>
  <c r="R59" i="10"/>
  <c r="Q59" i="10"/>
  <c r="R58" i="10"/>
  <c r="Q58" i="10"/>
  <c r="R57" i="10"/>
  <c r="Q57" i="10"/>
  <c r="R56" i="10"/>
  <c r="Q56" i="10"/>
  <c r="R52" i="10"/>
  <c r="Q52" i="10"/>
  <c r="Q198" i="10" l="1"/>
  <c r="R198" i="10"/>
  <c r="E209" i="9"/>
  <c r="E210" i="9"/>
  <c r="E211" i="9"/>
  <c r="E212" i="9"/>
  <c r="E213" i="9"/>
  <c r="E214" i="9"/>
  <c r="E215" i="9"/>
  <c r="E216" i="9"/>
  <c r="E217" i="9"/>
  <c r="E218" i="9"/>
  <c r="E219" i="9"/>
  <c r="E220" i="9"/>
  <c r="E221" i="9"/>
  <c r="E222" i="9"/>
  <c r="E223" i="9"/>
  <c r="E224" i="9"/>
  <c r="E225" i="9"/>
  <c r="E226" i="9"/>
  <c r="E227" i="9"/>
  <c r="E228" i="9"/>
  <c r="E208" i="9"/>
  <c r="D209" i="9"/>
  <c r="D210" i="9"/>
  <c r="D211" i="9"/>
  <c r="D212" i="9"/>
  <c r="D213" i="9"/>
  <c r="D214" i="9"/>
  <c r="D215" i="9"/>
  <c r="D216" i="9"/>
  <c r="D217" i="9"/>
  <c r="D218" i="9"/>
  <c r="D219" i="9"/>
  <c r="D220" i="9"/>
  <c r="D221" i="9"/>
  <c r="D222" i="9"/>
  <c r="D223" i="9"/>
  <c r="D224" i="9"/>
  <c r="D225" i="9"/>
  <c r="D226" i="9"/>
  <c r="D227" i="9"/>
  <c r="D228" i="9"/>
  <c r="D208" i="9"/>
  <c r="R143" i="10" l="1"/>
  <c r="R144" i="10"/>
  <c r="Q143" i="10"/>
  <c r="Q144" i="10"/>
  <c r="Q37" i="10" l="1"/>
  <c r="R37" i="10"/>
  <c r="Q238" i="10" l="1"/>
  <c r="Q239" i="10"/>
  <c r="Q240" i="10"/>
  <c r="Q242" i="10"/>
  <c r="Q243" i="10"/>
  <c r="Q232" i="10"/>
  <c r="Q233" i="10"/>
  <c r="Q234" i="10"/>
  <c r="Q235" i="10"/>
  <c r="Q200" i="10"/>
  <c r="Q201" i="10"/>
  <c r="Q202" i="10"/>
  <c r="Q161" i="10"/>
  <c r="Q162" i="10"/>
  <c r="Q174" i="10"/>
  <c r="Q175" i="10"/>
  <c r="Q176" i="10"/>
  <c r="Q177" i="10"/>
  <c r="Q178" i="10"/>
  <c r="Q179" i="10"/>
  <c r="Q180" i="10"/>
  <c r="Q181" i="10"/>
  <c r="Q182" i="10"/>
  <c r="Q183" i="10"/>
  <c r="Q184" i="10"/>
  <c r="Q185" i="10"/>
  <c r="Q186" i="10"/>
  <c r="Q187" i="10"/>
  <c r="Q188" i="10"/>
  <c r="Q189" i="10"/>
  <c r="Q190" i="10"/>
  <c r="Q191" i="10"/>
  <c r="Q192" i="10"/>
  <c r="Q193" i="10"/>
  <c r="Q194" i="10"/>
  <c r="Q160" i="10"/>
  <c r="Q151" i="10"/>
  <c r="Q152" i="10"/>
  <c r="Q153" i="10"/>
  <c r="Q154" i="10"/>
  <c r="Q155" i="10"/>
  <c r="Q156" i="10"/>
  <c r="Q157" i="10"/>
  <c r="Q138" i="10"/>
  <c r="Q141" i="10"/>
  <c r="Q142" i="10"/>
  <c r="Q145" i="10"/>
  <c r="Q146" i="10"/>
  <c r="Q147" i="10"/>
  <c r="Q148" i="10"/>
  <c r="Q115" i="10"/>
  <c r="Q116" i="10"/>
  <c r="Q117" i="10"/>
  <c r="Q118" i="10"/>
  <c r="Q119" i="10"/>
  <c r="Q81" i="10"/>
  <c r="Q90" i="10"/>
  <c r="Q92" i="10"/>
  <c r="Q93" i="10"/>
  <c r="Q94" i="10"/>
  <c r="Q103" i="10"/>
  <c r="Q104" i="10"/>
  <c r="Q107" i="10"/>
  <c r="Q108" i="10"/>
  <c r="Q109" i="10"/>
  <c r="Q110" i="10"/>
  <c r="Q65" i="10"/>
  <c r="Q72" i="10"/>
  <c r="Q73" i="10"/>
  <c r="Q8" i="10"/>
  <c r="Q9" i="10"/>
  <c r="Q11" i="10"/>
  <c r="Q12" i="10"/>
  <c r="Q13" i="10"/>
  <c r="Q14" i="10"/>
  <c r="Q15" i="10"/>
  <c r="Q16" i="10"/>
  <c r="Q17" i="10"/>
  <c r="Q18" i="10"/>
  <c r="Q19" i="10"/>
  <c r="Q20" i="10"/>
  <c r="Q21" i="10"/>
  <c r="R194" i="10"/>
  <c r="R193" i="10"/>
  <c r="R192" i="10"/>
  <c r="R191" i="10"/>
  <c r="R190" i="10"/>
  <c r="R189" i="10"/>
  <c r="R188" i="10"/>
  <c r="R187" i="10"/>
  <c r="R186" i="10"/>
  <c r="R185" i="10"/>
  <c r="R184" i="10"/>
  <c r="R183" i="10"/>
  <c r="R182" i="10"/>
  <c r="R181" i="10"/>
  <c r="R180" i="10"/>
  <c r="R179" i="10"/>
  <c r="R178" i="10"/>
  <c r="R177" i="10"/>
  <c r="R176" i="10"/>
  <c r="R175" i="10"/>
  <c r="R174" i="10"/>
  <c r="R162" i="10"/>
  <c r="R161" i="10"/>
  <c r="R160" i="10"/>
  <c r="Q197" i="10"/>
  <c r="R197" i="10"/>
  <c r="Q199" i="10"/>
  <c r="R199" i="10"/>
  <c r="R200" i="10"/>
  <c r="R201" i="10"/>
  <c r="R202" i="10"/>
  <c r="Q204" i="10"/>
  <c r="R204" i="10"/>
  <c r="R157" i="10"/>
  <c r="R156" i="10"/>
  <c r="R155" i="10"/>
  <c r="R154" i="10"/>
  <c r="R153" i="10"/>
  <c r="R152" i="10"/>
  <c r="R151" i="10"/>
  <c r="R150" i="10"/>
  <c r="Q150" i="10"/>
  <c r="R148" i="10"/>
  <c r="R147" i="10"/>
  <c r="R146" i="10"/>
  <c r="R145" i="10"/>
  <c r="R142" i="10"/>
  <c r="R141" i="10"/>
  <c r="R138" i="10"/>
  <c r="R137" i="10"/>
  <c r="Q137" i="10"/>
  <c r="R133" i="10"/>
  <c r="R132" i="10"/>
  <c r="R127" i="10"/>
  <c r="Q127" i="10"/>
  <c r="R119" i="10"/>
  <c r="R118" i="10"/>
  <c r="R117" i="10"/>
  <c r="R116" i="10"/>
  <c r="R115" i="10"/>
  <c r="R113" i="10"/>
  <c r="Q113" i="10"/>
  <c r="R243" i="10"/>
  <c r="R242" i="10"/>
  <c r="R240" i="10"/>
  <c r="R239" i="10"/>
  <c r="R238" i="10"/>
  <c r="R237" i="10"/>
  <c r="Q237" i="10"/>
  <c r="R235" i="10"/>
  <c r="R234" i="10"/>
  <c r="R233" i="10"/>
  <c r="R232" i="10"/>
  <c r="R231" i="10"/>
  <c r="Q231" i="10"/>
  <c r="R21" i="10"/>
  <c r="R20" i="10"/>
  <c r="R19" i="10"/>
  <c r="R18" i="10"/>
  <c r="R17" i="10"/>
  <c r="R16" i="10"/>
  <c r="R15" i="10"/>
  <c r="R14" i="10"/>
  <c r="R13" i="10"/>
  <c r="R12" i="10"/>
  <c r="R11" i="10"/>
  <c r="R9" i="10"/>
  <c r="R8" i="10"/>
  <c r="R7" i="10"/>
  <c r="Q7" i="10"/>
  <c r="R110" i="10"/>
  <c r="R109" i="10"/>
  <c r="R108" i="10"/>
  <c r="R107" i="10"/>
  <c r="R104" i="10"/>
  <c r="R103" i="10"/>
  <c r="R94" i="10"/>
  <c r="R93" i="10"/>
  <c r="R92" i="10"/>
  <c r="R90" i="10"/>
  <c r="R81" i="10"/>
  <c r="R79" i="10"/>
  <c r="Q79" i="10"/>
  <c r="R73" i="10"/>
  <c r="R72" i="10"/>
  <c r="R65" i="10"/>
  <c r="R51" i="10"/>
  <c r="Q51" i="10"/>
  <c r="R50" i="10"/>
  <c r="Q50" i="10"/>
  <c r="R49" i="10"/>
  <c r="Q49" i="10"/>
  <c r="R48" i="10"/>
  <c r="Q48" i="10"/>
  <c r="R47" i="10"/>
  <c r="Q47" i="10"/>
  <c r="R46" i="10"/>
  <c r="Q46" i="10"/>
  <c r="R45" i="10"/>
  <c r="Q45" i="10"/>
  <c r="R44" i="10"/>
  <c r="Q44" i="10"/>
  <c r="R42" i="10"/>
  <c r="Q42" i="10"/>
  <c r="R41" i="10"/>
  <c r="Q41" i="10"/>
  <c r="R40" i="10"/>
  <c r="Q40" i="10"/>
  <c r="R38" i="10"/>
  <c r="Q38" i="10"/>
  <c r="R34" i="10"/>
  <c r="Q34" i="10"/>
  <c r="R32" i="10"/>
  <c r="Q32" i="10"/>
  <c r="R28" i="10"/>
  <c r="Q28" i="10"/>
  <c r="R26" i="10"/>
  <c r="Q26" i="10"/>
  <c r="R25" i="10"/>
  <c r="Q25" i="10"/>
  <c r="Q63" i="10" l="1"/>
  <c r="Q111" i="10"/>
  <c r="Q22" i="10"/>
  <c r="R22" i="10"/>
  <c r="Q244" i="10"/>
  <c r="Q158" i="10"/>
  <c r="R158" i="10"/>
  <c r="Q195" i="10"/>
  <c r="R195" i="10"/>
  <c r="R244" i="10"/>
  <c r="R111" i="10"/>
  <c r="R134" i="10"/>
  <c r="R63" i="10"/>
  <c r="Q133" i="10"/>
  <c r="Q132" i="10"/>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E2340" i="6"/>
  <c r="E2341" i="6"/>
  <c r="E2342" i="6"/>
  <c r="E2343" i="6"/>
  <c r="E2344" i="6"/>
  <c r="E2345" i="6"/>
  <c r="E2346" i="6"/>
  <c r="E2347" i="6"/>
  <c r="E2348" i="6"/>
  <c r="E2349" i="6"/>
  <c r="E2350" i="6"/>
  <c r="E2351" i="6"/>
  <c r="E2352" i="6"/>
  <c r="E2353" i="6"/>
  <c r="E2354" i="6"/>
  <c r="E2355" i="6"/>
  <c r="E2356" i="6"/>
  <c r="E2357" i="6"/>
  <c r="E2358" i="6"/>
  <c r="E2359" i="6"/>
  <c r="E2360" i="6"/>
  <c r="E2361" i="6"/>
  <c r="E2362" i="6"/>
  <c r="E2363" i="6"/>
  <c r="E2364" i="6"/>
  <c r="E2365" i="6"/>
  <c r="E2366" i="6"/>
  <c r="E2367" i="6"/>
  <c r="E2368" i="6"/>
  <c r="E2369" i="6"/>
  <c r="E2370" i="6"/>
  <c r="E2371" i="6"/>
  <c r="E2372" i="6"/>
  <c r="E2373" i="6"/>
  <c r="E2374" i="6"/>
  <c r="E2375" i="6"/>
  <c r="E2376" i="6"/>
  <c r="E2377" i="6"/>
  <c r="E2378" i="6"/>
  <c r="E2379" i="6"/>
  <c r="E2380" i="6"/>
  <c r="E2381" i="6"/>
  <c r="E2382" i="6"/>
  <c r="E2383" i="6"/>
  <c r="E2384" i="6"/>
  <c r="E2385" i="6"/>
  <c r="E2386" i="6"/>
  <c r="E2387" i="6"/>
  <c r="E2388" i="6"/>
  <c r="E2389" i="6"/>
  <c r="E2390" i="6"/>
  <c r="E2391" i="6"/>
  <c r="E2392" i="6"/>
  <c r="E2393" i="6"/>
  <c r="E2394" i="6"/>
  <c r="E2395" i="6"/>
  <c r="E2396" i="6"/>
  <c r="E2397" i="6"/>
  <c r="E2398" i="6"/>
  <c r="E2399" i="6"/>
  <c r="E2400" i="6"/>
  <c r="E2401" i="6"/>
  <c r="E2402" i="6"/>
  <c r="E2403" i="6"/>
  <c r="E2404" i="6"/>
  <c r="E2405" i="6"/>
  <c r="E2406" i="6"/>
  <c r="E2407" i="6"/>
  <c r="E2408" i="6"/>
  <c r="E2409" i="6"/>
  <c r="E2410" i="6"/>
  <c r="E2411" i="6"/>
  <c r="E2412" i="6"/>
  <c r="E2413" i="6"/>
  <c r="E2414" i="6"/>
  <c r="E2415" i="6"/>
  <c r="E2416" i="6"/>
  <c r="E2417" i="6"/>
  <c r="E2418" i="6"/>
  <c r="E2419" i="6"/>
  <c r="E2420" i="6"/>
  <c r="E2421" i="6"/>
  <c r="E2422" i="6"/>
  <c r="E2423" i="6"/>
  <c r="E2424" i="6"/>
  <c r="E2425" i="6"/>
  <c r="E2426" i="6"/>
  <c r="E2427" i="6"/>
  <c r="E2428" i="6"/>
  <c r="E2429" i="6"/>
  <c r="E2430" i="6"/>
  <c r="E2431" i="6"/>
  <c r="E2432" i="6"/>
  <c r="E2433" i="6"/>
  <c r="E2434" i="6"/>
  <c r="E2435" i="6"/>
  <c r="E2436" i="6"/>
  <c r="E2437" i="6"/>
  <c r="E2438" i="6"/>
  <c r="E2439" i="6"/>
  <c r="E2440" i="6"/>
  <c r="E2441" i="6"/>
  <c r="E2442" i="6"/>
  <c r="E2443" i="6"/>
  <c r="E2444" i="6"/>
  <c r="E2445" i="6"/>
  <c r="E2446" i="6"/>
  <c r="E2447" i="6"/>
  <c r="E2448" i="6"/>
  <c r="E2449" i="6"/>
  <c r="E2450" i="6"/>
  <c r="E2451" i="6"/>
  <c r="E2452" i="6"/>
  <c r="E2453" i="6"/>
  <c r="E2454" i="6"/>
  <c r="E2455" i="6"/>
  <c r="E2456" i="6"/>
  <c r="E2457" i="6"/>
  <c r="E2458" i="6"/>
  <c r="E2459" i="6"/>
  <c r="E2460" i="6"/>
  <c r="E2461" i="6"/>
  <c r="E2462" i="6"/>
  <c r="E2463" i="6"/>
  <c r="E2464" i="6"/>
  <c r="E2465" i="6"/>
  <c r="E2466" i="6"/>
  <c r="E2467" i="6"/>
  <c r="E2468" i="6"/>
  <c r="E2469" i="6"/>
  <c r="E2470" i="6"/>
  <c r="E2471" i="6"/>
  <c r="E2472" i="6"/>
  <c r="E2473" i="6"/>
  <c r="E2474" i="6"/>
  <c r="E2475" i="6"/>
  <c r="E2476" i="6"/>
  <c r="E2477" i="6"/>
  <c r="E2478" i="6"/>
  <c r="E2479" i="6"/>
  <c r="E2480" i="6"/>
  <c r="E2481" i="6"/>
  <c r="E2482" i="6"/>
  <c r="E2483" i="6"/>
  <c r="E2484" i="6"/>
  <c r="E2485" i="6"/>
  <c r="E2486" i="6"/>
  <c r="E2487" i="6"/>
  <c r="E2488" i="6"/>
  <c r="E2489" i="6"/>
  <c r="E2490" i="6"/>
  <c r="E2491" i="6"/>
  <c r="E2492" i="6"/>
  <c r="E2493" i="6"/>
  <c r="E2494" i="6"/>
  <c r="E2495" i="6"/>
  <c r="E2496" i="6"/>
  <c r="E2497" i="6"/>
  <c r="E2498" i="6"/>
  <c r="E2499" i="6"/>
  <c r="E2500" i="6"/>
  <c r="E2501" i="6"/>
  <c r="E2502" i="6"/>
  <c r="E2503" i="6"/>
  <c r="E2504" i="6"/>
  <c r="E2505" i="6"/>
  <c r="E2506" i="6"/>
  <c r="E2507" i="6"/>
  <c r="E2508" i="6"/>
  <c r="E2509" i="6"/>
  <c r="E2510" i="6"/>
  <c r="E2511" i="6"/>
  <c r="E2512" i="6"/>
  <c r="E2513" i="6"/>
  <c r="E2514" i="6"/>
  <c r="E2515" i="6"/>
  <c r="E2516" i="6"/>
  <c r="E2517" i="6"/>
  <c r="E2518" i="6"/>
  <c r="E2519" i="6"/>
  <c r="E2520" i="6"/>
  <c r="E2521" i="6"/>
  <c r="E2522" i="6"/>
  <c r="E2523" i="6"/>
  <c r="E2524" i="6"/>
  <c r="E2525" i="6"/>
  <c r="E2526" i="6"/>
  <c r="E2527" i="6"/>
  <c r="E2528" i="6"/>
  <c r="E2529" i="6"/>
  <c r="E2530" i="6"/>
  <c r="E2531" i="6"/>
  <c r="E2532" i="6"/>
  <c r="E2533" i="6"/>
  <c r="E2534" i="6"/>
  <c r="E2535" i="6"/>
  <c r="E2536" i="6"/>
  <c r="E2537" i="6"/>
  <c r="E2538" i="6"/>
  <c r="E2539" i="6"/>
  <c r="E2540" i="6"/>
  <c r="E2541" i="6"/>
  <c r="E2542" i="6"/>
  <c r="E2543" i="6"/>
  <c r="E2544" i="6"/>
  <c r="E2545" i="6"/>
  <c r="E2546" i="6"/>
  <c r="E2547" i="6"/>
  <c r="E2548" i="6"/>
  <c r="E2549" i="6"/>
  <c r="E2550" i="6"/>
  <c r="E2551" i="6"/>
  <c r="E2552" i="6"/>
  <c r="E2553" i="6"/>
  <c r="E2554" i="6"/>
  <c r="E2555" i="6"/>
  <c r="E2556" i="6"/>
  <c r="E2557" i="6"/>
  <c r="E2558" i="6"/>
  <c r="E2559" i="6"/>
  <c r="E2560" i="6"/>
  <c r="E2561" i="6"/>
  <c r="E2562" i="6"/>
  <c r="E2563" i="6"/>
  <c r="E2564" i="6"/>
  <c r="E2565" i="6"/>
  <c r="E2566" i="6"/>
  <c r="E2567" i="6"/>
  <c r="E2568" i="6"/>
  <c r="E2569" i="6"/>
  <c r="E2570" i="6"/>
  <c r="E2571" i="6"/>
  <c r="E2572" i="6"/>
  <c r="E2573" i="6"/>
  <c r="E2574" i="6"/>
  <c r="E2575" i="6"/>
  <c r="E2576" i="6"/>
  <c r="E2577" i="6"/>
  <c r="E2578" i="6"/>
  <c r="E2579" i="6"/>
  <c r="E2580" i="6"/>
  <c r="E2581" i="6"/>
  <c r="E2582" i="6"/>
  <c r="E2583" i="6"/>
  <c r="E2584" i="6"/>
  <c r="E2585" i="6"/>
  <c r="E2586" i="6"/>
  <c r="E2587" i="6"/>
  <c r="E2588" i="6"/>
  <c r="E2589" i="6"/>
  <c r="E2590" i="6"/>
  <c r="E2591" i="6"/>
  <c r="E2592" i="6"/>
  <c r="E2593" i="6"/>
  <c r="E2594" i="6"/>
  <c r="E2595" i="6"/>
  <c r="E2596" i="6"/>
  <c r="E2597" i="6"/>
  <c r="E2598" i="6"/>
  <c r="E2599" i="6"/>
  <c r="E2600" i="6"/>
  <c r="E2601" i="6"/>
  <c r="E2602" i="6"/>
  <c r="E2603" i="6"/>
  <c r="E2604" i="6"/>
  <c r="E2605" i="6"/>
  <c r="E2606" i="6"/>
  <c r="E2607" i="6"/>
  <c r="E2608" i="6"/>
  <c r="E2609" i="6"/>
  <c r="E2610" i="6"/>
  <c r="E2611" i="6"/>
  <c r="E2612" i="6"/>
  <c r="E2613" i="6"/>
  <c r="E2614" i="6"/>
  <c r="E2615" i="6"/>
  <c r="E2616" i="6"/>
  <c r="E2617" i="6"/>
  <c r="E2618" i="6"/>
  <c r="E2619" i="6"/>
  <c r="E2620" i="6"/>
  <c r="E2621" i="6"/>
  <c r="E2622" i="6"/>
  <c r="E2623" i="6"/>
  <c r="E2624" i="6"/>
  <c r="E2625" i="6"/>
  <c r="E2626" i="6"/>
  <c r="E2627" i="6"/>
  <c r="E2628" i="6"/>
  <c r="E2629" i="6"/>
  <c r="E2630" i="6"/>
  <c r="E2631" i="6"/>
  <c r="E2632" i="6"/>
  <c r="E2633" i="6"/>
  <c r="E2634" i="6"/>
  <c r="E2635" i="6"/>
  <c r="E2636" i="6"/>
  <c r="E2637" i="6"/>
  <c r="E2638" i="6"/>
  <c r="E2639" i="6"/>
  <c r="E2640" i="6"/>
  <c r="E2641" i="6"/>
  <c r="E2642" i="6"/>
  <c r="E2643" i="6"/>
  <c r="E2644" i="6"/>
  <c r="E2645" i="6"/>
  <c r="E2646" i="6"/>
  <c r="E2647" i="6"/>
  <c r="E2648" i="6"/>
  <c r="E2649" i="6"/>
  <c r="E2650" i="6"/>
  <c r="E2651" i="6"/>
  <c r="E2652" i="6"/>
  <c r="E2653" i="6"/>
  <c r="E2654" i="6"/>
  <c r="E2655" i="6"/>
  <c r="E2656" i="6"/>
  <c r="E2657" i="6"/>
  <c r="E2658" i="6"/>
  <c r="E2659" i="6"/>
  <c r="E2660" i="6"/>
  <c r="E2661" i="6"/>
  <c r="E2662" i="6"/>
  <c r="E2663" i="6"/>
  <c r="E2664" i="6"/>
  <c r="E2665" i="6"/>
  <c r="E2666" i="6"/>
  <c r="E2667" i="6"/>
  <c r="E2668" i="6"/>
  <c r="E2669" i="6"/>
  <c r="E2670" i="6"/>
  <c r="E2671" i="6"/>
  <c r="E2672" i="6"/>
  <c r="E2673" i="6"/>
  <c r="E2674" i="6"/>
  <c r="E2675" i="6"/>
  <c r="E2676" i="6"/>
  <c r="E2677" i="6"/>
  <c r="E2678" i="6"/>
  <c r="E2679" i="6"/>
  <c r="E2680" i="6"/>
  <c r="E2681" i="6"/>
  <c r="E2682" i="6"/>
  <c r="E2683" i="6"/>
  <c r="E2684" i="6"/>
  <c r="E2685" i="6"/>
  <c r="E2686" i="6"/>
  <c r="E2687" i="6"/>
  <c r="E2688" i="6"/>
  <c r="E2689" i="6"/>
  <c r="E2690" i="6"/>
  <c r="E2691" i="6"/>
  <c r="E2692" i="6"/>
  <c r="E2693" i="6"/>
  <c r="E2694" i="6"/>
  <c r="E2695" i="6"/>
  <c r="E2696" i="6"/>
  <c r="E2697" i="6"/>
  <c r="E2698" i="6"/>
  <c r="E2699" i="6"/>
  <c r="E2700" i="6"/>
  <c r="E2701" i="6"/>
  <c r="E2702" i="6"/>
  <c r="E2703" i="6"/>
  <c r="E2704" i="6"/>
  <c r="E2705" i="6"/>
  <c r="E2706" i="6"/>
  <c r="E2707" i="6"/>
  <c r="E2708" i="6"/>
  <c r="E2709" i="6"/>
  <c r="E2710" i="6"/>
  <c r="E2711" i="6"/>
  <c r="E2712" i="6"/>
  <c r="E2713" i="6"/>
  <c r="E2714" i="6"/>
  <c r="E2715" i="6"/>
  <c r="E2716" i="6"/>
  <c r="E2717" i="6"/>
  <c r="E2718" i="6"/>
  <c r="E2719" i="6"/>
  <c r="E2720" i="6"/>
  <c r="E2721" i="6"/>
  <c r="E2722" i="6"/>
  <c r="E2723" i="6"/>
  <c r="E2724" i="6"/>
  <c r="E2725" i="6"/>
  <c r="E2726" i="6"/>
  <c r="E2727" i="6"/>
  <c r="E2728" i="6"/>
  <c r="E2729" i="6"/>
  <c r="E2730" i="6"/>
  <c r="E2731" i="6"/>
  <c r="E2732" i="6"/>
  <c r="E2733" i="6"/>
  <c r="E2734" i="6"/>
  <c r="E2735" i="6"/>
  <c r="E2736" i="6"/>
  <c r="E2737" i="6"/>
  <c r="E2738" i="6"/>
  <c r="E2739" i="6"/>
  <c r="E2740" i="6"/>
  <c r="E2741" i="6"/>
  <c r="E2742" i="6"/>
  <c r="E2743" i="6"/>
  <c r="E2744" i="6"/>
  <c r="E2745" i="6"/>
  <c r="E2746" i="6"/>
  <c r="E2747" i="6"/>
  <c r="E2748" i="6"/>
  <c r="E2749" i="6"/>
  <c r="E2750" i="6"/>
  <c r="E2751" i="6"/>
  <c r="E2752" i="6"/>
  <c r="E2753" i="6"/>
  <c r="E2754" i="6"/>
  <c r="E2755" i="6"/>
  <c r="E2756" i="6"/>
  <c r="E2757" i="6"/>
  <c r="E2758" i="6"/>
  <c r="E2759" i="6"/>
  <c r="E2760" i="6"/>
  <c r="E2761" i="6"/>
  <c r="E2762" i="6"/>
  <c r="E2763" i="6"/>
  <c r="E2764" i="6"/>
  <c r="E2765" i="6"/>
  <c r="E2766" i="6"/>
  <c r="E2767" i="6"/>
  <c r="E2768" i="6"/>
  <c r="E2769" i="6"/>
  <c r="E2770" i="6"/>
  <c r="E2771" i="6"/>
  <c r="E2772" i="6"/>
  <c r="E2773" i="6"/>
  <c r="E2774" i="6"/>
  <c r="E2775" i="6"/>
  <c r="E2776" i="6"/>
  <c r="E2777" i="6"/>
  <c r="E2778" i="6"/>
  <c r="E2779" i="6"/>
  <c r="E2780" i="6"/>
  <c r="E2781" i="6"/>
  <c r="E2782" i="6"/>
  <c r="E2783" i="6"/>
  <c r="E2784" i="6"/>
  <c r="E2785" i="6"/>
  <c r="E2786" i="6"/>
  <c r="E2787" i="6"/>
  <c r="E2788" i="6"/>
  <c r="E2789" i="6"/>
  <c r="E2790" i="6"/>
  <c r="E2791" i="6"/>
  <c r="E2792" i="6"/>
  <c r="E2793" i="6"/>
  <c r="E2794" i="6"/>
  <c r="E2795" i="6"/>
  <c r="E2796" i="6"/>
  <c r="E2797" i="6"/>
  <c r="E2798" i="6"/>
  <c r="E2799" i="6"/>
  <c r="E2800" i="6"/>
  <c r="E2801" i="6"/>
  <c r="E2802" i="6"/>
  <c r="E2803" i="6"/>
  <c r="E2804" i="6"/>
  <c r="E2805" i="6"/>
  <c r="E2806" i="6"/>
  <c r="E2807" i="6"/>
  <c r="E2808" i="6"/>
  <c r="E2809" i="6"/>
  <c r="E2810" i="6"/>
  <c r="E2811" i="6"/>
  <c r="E2812" i="6"/>
  <c r="E2813" i="6"/>
  <c r="E2814" i="6"/>
  <c r="E2815" i="6"/>
  <c r="E2816" i="6"/>
  <c r="E2817" i="6"/>
  <c r="E2818" i="6"/>
  <c r="E2819" i="6"/>
  <c r="E2820" i="6"/>
  <c r="E2821" i="6"/>
  <c r="E2822" i="6"/>
  <c r="E2823" i="6"/>
  <c r="E2824" i="6"/>
  <c r="E2825" i="6"/>
  <c r="E2826" i="6"/>
  <c r="E2827" i="6"/>
  <c r="E2828" i="6"/>
  <c r="E2829" i="6"/>
  <c r="E2830" i="6"/>
  <c r="E2831" i="6"/>
  <c r="E2832" i="6"/>
  <c r="E2833" i="6"/>
  <c r="E2834" i="6"/>
  <c r="E2835" i="6"/>
  <c r="E2836" i="6"/>
  <c r="E2837" i="6"/>
  <c r="E2838" i="6"/>
  <c r="E2839" i="6"/>
  <c r="E2840" i="6"/>
  <c r="E2841" i="6"/>
  <c r="E2842" i="6"/>
  <c r="E2843" i="6"/>
  <c r="E2844" i="6"/>
  <c r="E2845" i="6"/>
  <c r="E2846" i="6"/>
  <c r="E2847" i="6"/>
  <c r="E2848" i="6"/>
  <c r="E2849" i="6"/>
  <c r="E2850" i="6"/>
  <c r="E2851" i="6"/>
  <c r="E2852" i="6"/>
  <c r="E2853" i="6"/>
  <c r="E2854" i="6"/>
  <c r="E2855" i="6"/>
  <c r="E2856" i="6"/>
  <c r="E2857" i="6"/>
  <c r="E2858" i="6"/>
  <c r="E2859" i="6"/>
  <c r="E2860" i="6"/>
  <c r="E2861" i="6"/>
  <c r="E2862" i="6"/>
  <c r="E2863" i="6"/>
  <c r="E2864" i="6"/>
  <c r="E2865" i="6"/>
  <c r="E2866" i="6"/>
  <c r="E2867" i="6"/>
  <c r="E2868" i="6"/>
  <c r="E2869" i="6"/>
  <c r="E2870" i="6"/>
  <c r="E2871" i="6"/>
  <c r="E2872" i="6"/>
  <c r="E2873" i="6"/>
  <c r="E2874" i="6"/>
  <c r="E2875" i="6"/>
  <c r="E2876" i="6"/>
  <c r="E2877" i="6"/>
  <c r="E2878" i="6"/>
  <c r="E2879" i="6"/>
  <c r="E2880" i="6"/>
  <c r="E2881" i="6"/>
  <c r="E2882" i="6"/>
  <c r="E2883" i="6"/>
  <c r="E2884" i="6"/>
  <c r="E2885" i="6"/>
  <c r="E2886" i="6"/>
  <c r="E2887" i="6"/>
  <c r="E2888" i="6"/>
  <c r="E2889" i="6"/>
  <c r="E2890" i="6"/>
  <c r="E2891" i="6"/>
  <c r="E2892" i="6"/>
  <c r="E2893" i="6"/>
  <c r="E2894" i="6"/>
  <c r="E2895" i="6"/>
  <c r="E2896" i="6"/>
  <c r="E2897" i="6"/>
  <c r="E2898" i="6"/>
  <c r="E2899" i="6"/>
  <c r="E2900" i="6"/>
  <c r="E2901" i="6"/>
  <c r="E2902" i="6"/>
  <c r="E2903" i="6"/>
  <c r="E2904" i="6"/>
  <c r="E2905" i="6"/>
  <c r="E2906" i="6"/>
  <c r="E2907" i="6"/>
  <c r="E2908" i="6"/>
  <c r="E2909" i="6"/>
  <c r="E2910" i="6"/>
  <c r="E2911" i="6"/>
  <c r="E2912" i="6"/>
  <c r="E2913" i="6"/>
  <c r="E2914" i="6"/>
  <c r="E2915" i="6"/>
  <c r="E2916" i="6"/>
  <c r="E2917" i="6"/>
  <c r="E2918" i="6"/>
  <c r="E2919" i="6"/>
  <c r="E2920" i="6"/>
  <c r="E2921" i="6"/>
  <c r="E2922" i="6"/>
  <c r="E2923" i="6"/>
  <c r="E2924" i="6"/>
  <c r="E2925" i="6"/>
  <c r="E2926" i="6"/>
  <c r="E2927" i="6"/>
  <c r="E2928" i="6"/>
  <c r="E2929" i="6"/>
  <c r="E2930" i="6"/>
  <c r="E2931" i="6"/>
  <c r="E2932" i="6"/>
  <c r="E2933" i="6"/>
  <c r="E2934" i="6"/>
  <c r="E2935" i="6"/>
  <c r="E2936" i="6"/>
  <c r="E2937" i="6"/>
  <c r="E2938" i="6"/>
  <c r="E2939" i="6"/>
  <c r="E2940" i="6"/>
  <c r="E2941" i="6"/>
  <c r="E2942" i="6"/>
  <c r="E2943" i="6"/>
  <c r="E2944" i="6"/>
  <c r="E2945" i="6"/>
  <c r="E2946" i="6"/>
  <c r="E2947" i="6"/>
  <c r="E2948" i="6"/>
  <c r="E2949" i="6"/>
  <c r="E2950" i="6"/>
  <c r="E2951" i="6"/>
  <c r="E2952" i="6"/>
  <c r="E2953" i="6"/>
  <c r="E2954" i="6"/>
  <c r="E2955" i="6"/>
  <c r="E2956" i="6"/>
  <c r="E2957" i="6"/>
  <c r="E2958" i="6"/>
  <c r="E2959" i="6"/>
  <c r="E2960" i="6"/>
  <c r="E2961" i="6"/>
  <c r="E2962" i="6"/>
  <c r="E2963" i="6"/>
  <c r="E2964" i="6"/>
  <c r="E2965" i="6"/>
  <c r="E2966" i="6"/>
  <c r="E2967" i="6"/>
  <c r="E2968" i="6"/>
  <c r="E2969" i="6"/>
  <c r="E2970" i="6"/>
  <c r="E2971" i="6"/>
  <c r="E2972" i="6"/>
  <c r="E2973" i="6"/>
  <c r="E2974" i="6"/>
  <c r="E2975" i="6"/>
  <c r="E2976" i="6"/>
  <c r="E2977" i="6"/>
  <c r="E2978" i="6"/>
  <c r="E2979" i="6"/>
  <c r="E2980" i="6"/>
  <c r="E2981" i="6"/>
  <c r="E2982" i="6"/>
  <c r="E2983" i="6"/>
  <c r="E2984" i="6"/>
  <c r="E2985" i="6"/>
  <c r="E2986" i="6"/>
  <c r="E2987" i="6"/>
  <c r="E2988" i="6"/>
  <c r="E2989" i="6"/>
  <c r="E2990" i="6"/>
  <c r="E2991" i="6"/>
  <c r="E2992" i="6"/>
  <c r="E2993" i="6"/>
  <c r="E2994" i="6"/>
  <c r="E2995" i="6"/>
  <c r="E2996" i="6"/>
  <c r="E2997" i="6"/>
  <c r="E2998" i="6"/>
  <c r="E2999" i="6"/>
  <c r="E3000" i="6"/>
  <c r="E3001" i="6"/>
  <c r="E3002" i="6"/>
  <c r="E3003" i="6"/>
  <c r="E3004" i="6"/>
  <c r="E3005" i="6"/>
  <c r="E3006" i="6"/>
  <c r="E3007" i="6"/>
  <c r="E3008" i="6"/>
  <c r="E3009" i="6"/>
  <c r="E3010" i="6"/>
  <c r="E3011" i="6"/>
  <c r="E3012" i="6"/>
  <c r="E3013" i="6"/>
  <c r="E3014" i="6"/>
  <c r="E3015" i="6"/>
  <c r="E3016" i="6"/>
  <c r="E3017" i="6"/>
  <c r="E3018" i="6"/>
  <c r="E3019" i="6"/>
  <c r="E3020" i="6"/>
  <c r="E3021" i="6"/>
  <c r="E3022" i="6"/>
  <c r="E3023" i="6"/>
  <c r="E3024" i="6"/>
  <c r="E3025" i="6"/>
  <c r="E3026" i="6"/>
  <c r="E3027" i="6"/>
  <c r="E3028" i="6"/>
  <c r="E3029" i="6"/>
  <c r="E3030" i="6"/>
  <c r="E3031" i="6"/>
  <c r="E3032" i="6"/>
  <c r="E3033" i="6"/>
  <c r="E3034" i="6"/>
  <c r="E3035" i="6"/>
  <c r="E3036" i="6"/>
  <c r="E3037" i="6"/>
  <c r="E3038" i="6"/>
  <c r="E3039" i="6"/>
  <c r="E3040" i="6"/>
  <c r="E3041" i="6"/>
  <c r="E3042" i="6"/>
  <c r="E3043" i="6"/>
  <c r="E3044" i="6"/>
  <c r="E3045" i="6"/>
  <c r="E3046" i="6"/>
  <c r="E3047" i="6"/>
  <c r="E3048" i="6"/>
  <c r="E3049" i="6"/>
  <c r="E3050" i="6"/>
  <c r="E3051" i="6"/>
  <c r="E3052" i="6"/>
  <c r="E3053" i="6"/>
  <c r="E3054" i="6"/>
  <c r="E3055" i="6"/>
  <c r="E3056" i="6"/>
  <c r="E3057" i="6"/>
  <c r="E3058" i="6"/>
  <c r="E3059" i="6"/>
  <c r="E3060" i="6"/>
  <c r="E3061" i="6"/>
  <c r="E3062" i="6"/>
  <c r="E3063" i="6"/>
  <c r="E3064" i="6"/>
  <c r="E3065" i="6"/>
  <c r="E3066" i="6"/>
  <c r="E3067" i="6"/>
  <c r="E3068" i="6"/>
  <c r="E3069" i="6"/>
  <c r="E3070" i="6"/>
  <c r="E3071" i="6"/>
  <c r="E3072" i="6"/>
  <c r="E3073" i="6"/>
  <c r="E3074" i="6"/>
  <c r="E3075" i="6"/>
  <c r="E3076" i="6"/>
  <c r="E3077" i="6"/>
  <c r="E3078" i="6"/>
  <c r="E3079" i="6"/>
  <c r="E3080" i="6"/>
  <c r="E3081" i="6"/>
  <c r="E3082" i="6"/>
  <c r="E3083" i="6"/>
  <c r="E3084" i="6"/>
  <c r="E3085" i="6"/>
  <c r="E3086" i="6"/>
  <c r="E3087" i="6"/>
  <c r="E3088" i="6"/>
  <c r="E3089" i="6"/>
  <c r="E3090" i="6"/>
  <c r="E3091" i="6"/>
  <c r="E3092" i="6"/>
  <c r="E3093" i="6"/>
  <c r="E3094" i="6"/>
  <c r="E3095" i="6"/>
  <c r="E3096" i="6"/>
  <c r="E3097" i="6"/>
  <c r="E3098" i="6"/>
  <c r="E3099" i="6"/>
  <c r="E3100" i="6"/>
  <c r="E3101" i="6"/>
  <c r="E3102" i="6"/>
  <c r="E3103" i="6"/>
  <c r="E3104" i="6"/>
  <c r="E3105" i="6"/>
  <c r="E3106" i="6"/>
  <c r="E3107" i="6"/>
  <c r="E3108" i="6"/>
  <c r="E3109" i="6"/>
  <c r="E3110" i="6"/>
  <c r="E3111" i="6"/>
  <c r="E3112" i="6"/>
  <c r="E3113" i="6"/>
  <c r="E3114" i="6"/>
  <c r="E3115" i="6"/>
  <c r="E3116" i="6"/>
  <c r="E3117" i="6"/>
  <c r="E3118" i="6"/>
  <c r="E3119" i="6"/>
  <c r="E3120" i="6"/>
  <c r="E3121" i="6"/>
  <c r="E3122" i="6"/>
  <c r="E3123" i="6"/>
  <c r="E3124" i="6"/>
  <c r="E3125" i="6"/>
  <c r="E3126" i="6"/>
  <c r="E3127" i="6"/>
  <c r="E3128" i="6"/>
  <c r="E3129" i="6"/>
  <c r="E3130" i="6"/>
  <c r="E3131" i="6"/>
  <c r="E3132" i="6"/>
  <c r="E3133" i="6"/>
  <c r="E3134" i="6"/>
  <c r="E3135" i="6"/>
  <c r="E3136" i="6"/>
  <c r="E3137" i="6"/>
  <c r="E3138" i="6"/>
  <c r="E3139" i="6"/>
  <c r="E3140" i="6"/>
  <c r="E3141" i="6"/>
  <c r="E3142" i="6"/>
  <c r="E3143" i="6"/>
  <c r="E3144" i="6"/>
  <c r="E3145" i="6"/>
  <c r="E3146" i="6"/>
  <c r="E3147" i="6"/>
  <c r="E3148" i="6"/>
  <c r="E3149" i="6"/>
  <c r="E3150" i="6"/>
  <c r="E3151" i="6"/>
  <c r="E3152" i="6"/>
  <c r="E3153" i="6"/>
  <c r="E3154" i="6"/>
  <c r="E3155" i="6"/>
  <c r="E3156" i="6"/>
  <c r="E3157" i="6"/>
  <c r="E3158" i="6"/>
  <c r="E3159" i="6"/>
  <c r="E3160" i="6"/>
  <c r="E3161" i="6"/>
  <c r="E3162" i="6"/>
  <c r="E3163" i="6"/>
  <c r="E3164" i="6"/>
  <c r="E3165" i="6"/>
  <c r="E3166" i="6"/>
  <c r="E3167" i="6"/>
  <c r="E3168" i="6"/>
  <c r="E3169" i="6"/>
  <c r="E3170" i="6"/>
  <c r="E3171" i="6"/>
  <c r="E3172" i="6"/>
  <c r="E3173" i="6"/>
  <c r="E3174" i="6"/>
  <c r="E3175" i="6"/>
  <c r="E3176" i="6"/>
  <c r="E3177" i="6"/>
  <c r="E3178" i="6"/>
  <c r="E3179" i="6"/>
  <c r="E3180" i="6"/>
  <c r="E3181" i="6"/>
  <c r="E3182" i="6"/>
  <c r="E3183" i="6"/>
  <c r="E3184" i="6"/>
  <c r="E3185" i="6"/>
  <c r="E3186" i="6"/>
  <c r="E3187" i="6"/>
  <c r="E3188" i="6"/>
  <c r="E3189" i="6"/>
  <c r="E3190" i="6"/>
  <c r="E3191" i="6"/>
  <c r="E3192" i="6"/>
  <c r="E3193" i="6"/>
  <c r="E3194" i="6"/>
  <c r="E3195" i="6"/>
  <c r="E3196" i="6"/>
  <c r="E3197" i="6"/>
  <c r="E3198" i="6"/>
  <c r="E3199" i="6"/>
  <c r="E3200" i="6"/>
  <c r="E3201" i="6"/>
  <c r="E3202" i="6"/>
  <c r="E3203" i="6"/>
  <c r="E3204" i="6"/>
  <c r="E3205" i="6"/>
  <c r="E3206" i="6"/>
  <c r="E3207" i="6"/>
  <c r="E3208" i="6"/>
  <c r="E3209" i="6"/>
  <c r="E3210" i="6"/>
  <c r="E3211" i="6"/>
  <c r="E3212" i="6"/>
  <c r="E3213" i="6"/>
  <c r="E3214" i="6"/>
  <c r="E3215" i="6"/>
  <c r="E3216" i="6"/>
  <c r="E3217" i="6"/>
  <c r="E3218" i="6"/>
  <c r="E3219" i="6"/>
  <c r="E3220" i="6"/>
  <c r="E3221" i="6"/>
  <c r="E3222" i="6"/>
  <c r="E3223" i="6"/>
  <c r="E3224" i="6"/>
  <c r="E3225" i="6"/>
  <c r="E3226" i="6"/>
  <c r="E3227" i="6"/>
  <c r="E3228" i="6"/>
  <c r="E3229" i="6"/>
  <c r="E3230" i="6"/>
  <c r="E3231" i="6"/>
  <c r="E3232" i="6"/>
  <c r="E3233" i="6"/>
  <c r="E3234" i="6"/>
  <c r="E3235" i="6"/>
  <c r="E3236" i="6"/>
  <c r="E3237" i="6"/>
  <c r="E3238" i="6"/>
  <c r="E3239" i="6"/>
  <c r="E3240" i="6"/>
  <c r="E3241" i="6"/>
  <c r="E3242" i="6"/>
  <c r="E3243" i="6"/>
  <c r="E3244" i="6"/>
  <c r="E3245" i="6"/>
  <c r="E3246" i="6"/>
  <c r="E3247" i="6"/>
  <c r="E3248" i="6"/>
  <c r="E3249" i="6"/>
  <c r="E3250" i="6"/>
  <c r="E3251" i="6"/>
  <c r="E3252" i="6"/>
  <c r="E3253" i="6"/>
  <c r="E3254" i="6"/>
  <c r="E3255" i="6"/>
  <c r="E3256" i="6"/>
  <c r="E3257" i="6"/>
  <c r="E3258" i="6"/>
  <c r="E3259" i="6"/>
  <c r="E3260" i="6"/>
  <c r="E3261" i="6"/>
  <c r="E3262" i="6"/>
  <c r="E3263" i="6"/>
  <c r="E3264" i="6"/>
  <c r="E3265" i="6"/>
  <c r="E3266" i="6"/>
  <c r="E3267" i="6"/>
  <c r="E3268" i="6"/>
  <c r="E3269" i="6"/>
  <c r="E3270" i="6"/>
  <c r="E3271" i="6"/>
  <c r="E3272" i="6"/>
  <c r="E3273" i="6"/>
  <c r="E3274" i="6"/>
  <c r="E3275" i="6"/>
  <c r="E3276" i="6"/>
  <c r="E3277" i="6"/>
  <c r="E3278" i="6"/>
  <c r="E3279" i="6"/>
  <c r="E3280" i="6"/>
  <c r="E3281" i="6"/>
  <c r="E3282" i="6"/>
  <c r="E3283" i="6"/>
  <c r="E3284" i="6"/>
  <c r="E3285" i="6"/>
  <c r="E3286" i="6"/>
  <c r="E3287" i="6"/>
  <c r="E3288" i="6"/>
  <c r="E3289" i="6"/>
  <c r="E3290" i="6"/>
  <c r="E3291" i="6"/>
  <c r="E3292" i="6"/>
  <c r="E3293" i="6"/>
  <c r="E3294" i="6"/>
  <c r="E3295" i="6"/>
  <c r="E3296" i="6"/>
  <c r="E3297" i="6"/>
  <c r="E3298" i="6"/>
  <c r="E3299" i="6"/>
  <c r="E3300" i="6"/>
  <c r="E3301" i="6"/>
  <c r="E3302" i="6"/>
  <c r="E3303" i="6"/>
  <c r="E3304" i="6"/>
  <c r="E3305" i="6"/>
  <c r="E3306" i="6"/>
  <c r="E3307" i="6"/>
  <c r="E3308" i="6"/>
  <c r="E3309" i="6"/>
  <c r="E3310" i="6"/>
  <c r="E3311" i="6"/>
  <c r="E3312" i="6"/>
  <c r="E3313" i="6"/>
  <c r="E3314" i="6"/>
  <c r="E3315" i="6"/>
  <c r="E3316" i="6"/>
  <c r="E3317" i="6"/>
  <c r="E3318" i="6"/>
  <c r="E3319" i="6"/>
  <c r="E3320" i="6"/>
  <c r="E3321" i="6"/>
  <c r="E3322" i="6"/>
  <c r="E3323" i="6"/>
  <c r="E3324" i="6"/>
  <c r="E3325" i="6"/>
  <c r="E3326" i="6"/>
  <c r="E3327" i="6"/>
  <c r="E3328" i="6"/>
  <c r="E3329" i="6"/>
  <c r="E3330" i="6"/>
  <c r="E3331" i="6"/>
  <c r="E3332" i="6"/>
  <c r="E3333" i="6"/>
  <c r="E3334" i="6"/>
  <c r="E3335" i="6"/>
  <c r="E3336" i="6"/>
  <c r="E3337" i="6"/>
  <c r="E3338" i="6"/>
  <c r="E3339" i="6"/>
  <c r="E3340" i="6"/>
  <c r="E3341" i="6"/>
  <c r="E3342" i="6"/>
  <c r="E3343" i="6"/>
  <c r="E3344" i="6"/>
  <c r="E3345" i="6"/>
  <c r="E3346" i="6"/>
  <c r="E3347" i="6"/>
  <c r="E3348" i="6"/>
  <c r="E3349" i="6"/>
  <c r="E3350" i="6"/>
  <c r="E3351" i="6"/>
  <c r="E3352" i="6"/>
  <c r="E3353" i="6"/>
  <c r="E3354" i="6"/>
  <c r="E3355" i="6"/>
  <c r="E3356" i="6"/>
  <c r="E3357" i="6"/>
  <c r="E3358" i="6"/>
  <c r="E3359" i="6"/>
  <c r="E3360" i="6"/>
  <c r="E3361" i="6"/>
  <c r="E3362" i="6"/>
  <c r="E3363" i="6"/>
  <c r="E3364" i="6"/>
  <c r="E3365" i="6"/>
  <c r="E3366" i="6"/>
  <c r="E3367" i="6"/>
  <c r="E3368" i="6"/>
  <c r="E3369" i="6"/>
  <c r="E3370" i="6"/>
  <c r="E3371" i="6"/>
  <c r="E3372" i="6"/>
  <c r="E3373" i="6"/>
  <c r="E3374" i="6"/>
  <c r="E3375" i="6"/>
  <c r="E3376" i="6"/>
  <c r="E3377" i="6"/>
  <c r="E3378" i="6"/>
  <c r="E3379" i="6"/>
  <c r="E3380" i="6"/>
  <c r="E3381" i="6"/>
  <c r="E3382" i="6"/>
  <c r="E3383" i="6"/>
  <c r="E3384" i="6"/>
  <c r="E3385" i="6"/>
  <c r="E3386" i="6"/>
  <c r="E3387" i="6"/>
  <c r="E3388" i="6"/>
  <c r="E3389" i="6"/>
  <c r="E3390" i="6"/>
  <c r="E3391" i="6"/>
  <c r="E3392" i="6"/>
  <c r="E3393" i="6"/>
  <c r="E3394" i="6"/>
  <c r="E3395" i="6"/>
  <c r="E3396" i="6"/>
  <c r="E3397" i="6"/>
  <c r="E3398" i="6"/>
  <c r="E3399" i="6"/>
  <c r="E3400" i="6"/>
  <c r="E3401" i="6"/>
  <c r="E3402" i="6"/>
  <c r="E3403" i="6"/>
  <c r="E3404" i="6"/>
  <c r="E3405" i="6"/>
  <c r="E3406" i="6"/>
  <c r="E3407" i="6"/>
  <c r="E3408" i="6"/>
  <c r="E3409" i="6"/>
  <c r="E3410" i="6"/>
  <c r="E3411" i="6"/>
  <c r="E3412" i="6"/>
  <c r="E3413" i="6"/>
  <c r="E3414" i="6"/>
  <c r="E3415" i="6"/>
  <c r="E3416" i="6"/>
  <c r="E3417" i="6"/>
  <c r="E3418" i="6"/>
  <c r="E3419" i="6"/>
  <c r="E3420" i="6"/>
  <c r="E3421" i="6"/>
  <c r="E3422" i="6"/>
  <c r="E3423" i="6"/>
  <c r="E3424" i="6"/>
  <c r="E3425" i="6"/>
  <c r="E3426" i="6"/>
  <c r="E3427" i="6"/>
  <c r="E3428" i="6"/>
  <c r="E3429" i="6"/>
  <c r="E3430" i="6"/>
  <c r="E3431" i="6"/>
  <c r="E3432" i="6"/>
  <c r="E3433" i="6"/>
  <c r="E3434" i="6"/>
  <c r="E3435" i="6"/>
  <c r="E3436" i="6"/>
  <c r="E3437" i="6"/>
  <c r="E3438" i="6"/>
  <c r="E3439" i="6"/>
  <c r="E3440" i="6"/>
  <c r="E3441" i="6"/>
  <c r="E3442" i="6"/>
  <c r="E3443" i="6"/>
  <c r="E3444" i="6"/>
  <c r="E3445" i="6"/>
  <c r="E3446" i="6"/>
  <c r="E3447" i="6"/>
  <c r="E3448" i="6"/>
  <c r="E3449" i="6"/>
  <c r="E3450" i="6"/>
  <c r="E3451" i="6"/>
  <c r="E3452" i="6"/>
  <c r="E3453" i="6"/>
  <c r="E3454" i="6"/>
  <c r="E3455" i="6"/>
  <c r="E3456" i="6"/>
  <c r="E3457" i="6"/>
  <c r="E3458" i="6"/>
  <c r="E3459" i="6"/>
  <c r="E3460" i="6"/>
  <c r="E3461" i="6"/>
  <c r="E3462" i="6"/>
  <c r="E3463" i="6"/>
  <c r="E3464" i="6"/>
  <c r="E3465" i="6"/>
  <c r="E3466" i="6"/>
  <c r="E3467" i="6"/>
  <c r="E3468" i="6"/>
  <c r="E3469" i="6"/>
  <c r="E3470" i="6"/>
  <c r="E3471" i="6"/>
  <c r="E3472" i="6"/>
  <c r="E3473" i="6"/>
  <c r="E3474" i="6"/>
  <c r="E3475" i="6"/>
  <c r="E3476" i="6"/>
  <c r="E3477" i="6"/>
  <c r="E3478" i="6"/>
  <c r="E3479" i="6"/>
  <c r="E3480" i="6"/>
  <c r="E3481" i="6"/>
  <c r="E3482" i="6"/>
  <c r="E3483" i="6"/>
  <c r="E3484" i="6"/>
  <c r="E3485" i="6"/>
  <c r="E3486" i="6"/>
  <c r="E3487" i="6"/>
  <c r="E3488" i="6"/>
  <c r="E3489" i="6"/>
  <c r="E3490" i="6"/>
  <c r="E3491" i="6"/>
  <c r="E3492" i="6"/>
  <c r="E3493" i="6"/>
  <c r="E3494" i="6"/>
  <c r="E3495" i="6"/>
  <c r="E3496" i="6"/>
  <c r="E3497" i="6"/>
  <c r="E3498" i="6"/>
  <c r="E3499" i="6"/>
  <c r="E3500" i="6"/>
  <c r="E3501" i="6"/>
  <c r="E3502" i="6"/>
  <c r="E3503" i="6"/>
  <c r="E3504" i="6"/>
  <c r="E3505" i="6"/>
  <c r="E3506" i="6"/>
  <c r="E3507" i="6"/>
  <c r="E3508" i="6"/>
  <c r="E3509" i="6"/>
  <c r="E3510" i="6"/>
  <c r="E3511" i="6"/>
  <c r="E3512" i="6"/>
  <c r="E3513" i="6"/>
  <c r="E3514" i="6"/>
  <c r="E3515" i="6"/>
  <c r="E3516" i="6"/>
  <c r="E3517" i="6"/>
  <c r="E3518" i="6"/>
  <c r="E3519" i="6"/>
  <c r="E3520" i="6"/>
  <c r="E3521" i="6"/>
  <c r="E3522" i="6"/>
  <c r="E3523" i="6"/>
  <c r="E3524" i="6"/>
  <c r="E3525" i="6"/>
  <c r="E3526" i="6"/>
  <c r="E3527" i="6"/>
  <c r="E3528" i="6"/>
  <c r="E3529" i="6"/>
  <c r="E3530" i="6"/>
  <c r="E3531" i="6"/>
  <c r="E3532" i="6"/>
  <c r="E3533" i="6"/>
  <c r="E3534" i="6"/>
  <c r="E3535" i="6"/>
  <c r="E3536" i="6"/>
  <c r="E3537" i="6"/>
  <c r="E3538" i="6"/>
  <c r="E3539" i="6"/>
  <c r="E3540" i="6"/>
  <c r="E3541" i="6"/>
  <c r="E3542" i="6"/>
  <c r="E3543" i="6"/>
  <c r="E3544" i="6"/>
  <c r="E3545" i="6"/>
  <c r="E3546" i="6"/>
  <c r="E3547" i="6"/>
  <c r="E3548" i="6"/>
  <c r="E3549" i="6"/>
  <c r="E3550" i="6"/>
  <c r="E3551" i="6"/>
  <c r="E3552" i="6"/>
  <c r="E3553" i="6"/>
  <c r="E3554" i="6"/>
  <c r="E3555" i="6"/>
  <c r="E3556" i="6"/>
  <c r="E3557" i="6"/>
  <c r="E3558" i="6"/>
  <c r="E3559" i="6"/>
  <c r="E3560" i="6"/>
  <c r="E3561" i="6"/>
  <c r="E3562" i="6"/>
  <c r="E3563" i="6"/>
  <c r="E3564" i="6"/>
  <c r="E3565" i="6"/>
  <c r="E3566" i="6"/>
  <c r="E3567" i="6"/>
  <c r="E3568" i="6"/>
  <c r="E3569" i="6"/>
  <c r="E3570" i="6"/>
  <c r="E3571" i="6"/>
  <c r="E3572" i="6"/>
  <c r="E3573" i="6"/>
  <c r="E3574" i="6"/>
  <c r="E3575" i="6"/>
  <c r="E3576" i="6"/>
  <c r="E3577" i="6"/>
  <c r="E3578" i="6"/>
  <c r="E3579" i="6"/>
  <c r="E3580" i="6"/>
  <c r="E3581" i="6"/>
  <c r="E3582" i="6"/>
  <c r="E3583" i="6"/>
  <c r="E3584" i="6"/>
  <c r="E3585" i="6"/>
  <c r="E3586" i="6"/>
  <c r="E3587" i="6"/>
  <c r="E3588" i="6"/>
  <c r="E3589" i="6"/>
  <c r="E3590" i="6"/>
  <c r="E3591" i="6"/>
  <c r="E3592" i="6"/>
  <c r="E3593" i="6"/>
  <c r="E3594" i="6"/>
  <c r="E3595" i="6"/>
  <c r="E3596" i="6"/>
  <c r="E3597" i="6"/>
  <c r="E3598" i="6"/>
  <c r="E3599" i="6"/>
  <c r="E3600" i="6"/>
  <c r="E3601" i="6"/>
  <c r="E3602" i="6"/>
  <c r="E3603" i="6"/>
  <c r="E3604" i="6"/>
  <c r="E3605" i="6"/>
  <c r="E3606" i="6"/>
  <c r="E3607" i="6"/>
  <c r="E3608" i="6"/>
  <c r="E3609" i="6"/>
  <c r="E3610" i="6"/>
  <c r="E3611" i="6"/>
  <c r="E3612" i="6"/>
  <c r="E3613" i="6"/>
  <c r="E3614" i="6"/>
  <c r="E3615" i="6"/>
  <c r="E3616" i="6"/>
  <c r="E3617" i="6"/>
  <c r="E3618" i="6"/>
  <c r="E3619" i="6"/>
  <c r="E3620" i="6"/>
  <c r="E3621" i="6"/>
  <c r="E3622" i="6"/>
  <c r="E3623" i="6"/>
  <c r="E3624" i="6"/>
  <c r="E3625" i="6"/>
  <c r="E3626" i="6"/>
  <c r="E3627" i="6"/>
  <c r="E3628" i="6"/>
  <c r="E3629" i="6"/>
  <c r="E3630" i="6"/>
  <c r="E3631" i="6"/>
  <c r="E3632" i="6"/>
  <c r="E3633" i="6"/>
  <c r="E3634" i="6"/>
  <c r="E3635" i="6"/>
  <c r="E3636" i="6"/>
  <c r="E3637" i="6"/>
  <c r="E3638" i="6"/>
  <c r="E3639" i="6"/>
  <c r="E3640" i="6"/>
  <c r="E3641" i="6"/>
  <c r="E3642" i="6"/>
  <c r="E3643" i="6"/>
  <c r="E3644" i="6"/>
  <c r="E3645" i="6"/>
  <c r="E3646" i="6"/>
  <c r="E3647" i="6"/>
  <c r="E3648" i="6"/>
  <c r="E3649" i="6"/>
  <c r="E3650" i="6"/>
  <c r="E3651" i="6"/>
  <c r="E3652" i="6"/>
  <c r="E3653" i="6"/>
  <c r="E3654" i="6"/>
  <c r="E3655" i="6"/>
  <c r="E3656" i="6"/>
  <c r="E3657" i="6"/>
  <c r="E3658" i="6"/>
  <c r="E3659" i="6"/>
  <c r="E3660" i="6"/>
  <c r="E3661" i="6"/>
  <c r="E3662" i="6"/>
  <c r="E3663" i="6"/>
  <c r="E3664" i="6"/>
  <c r="E3665" i="6"/>
  <c r="E3666" i="6"/>
  <c r="E3667" i="6"/>
  <c r="E3668" i="6"/>
  <c r="E3669" i="6"/>
  <c r="E3670" i="6"/>
  <c r="E3671" i="6"/>
  <c r="E3672" i="6"/>
  <c r="E3673" i="6"/>
  <c r="E3674" i="6"/>
  <c r="E3675" i="6"/>
  <c r="E3676" i="6"/>
  <c r="E3677" i="6"/>
  <c r="E3678" i="6"/>
  <c r="E3679" i="6"/>
  <c r="E3680" i="6"/>
  <c r="E3681" i="6"/>
  <c r="E3682" i="6"/>
  <c r="E3683" i="6"/>
  <c r="E3684" i="6"/>
  <c r="E3685" i="6"/>
  <c r="E3686" i="6"/>
  <c r="E3687" i="6"/>
  <c r="E3688" i="6"/>
  <c r="E3689" i="6"/>
  <c r="E3690" i="6"/>
  <c r="E3691" i="6"/>
  <c r="E3692" i="6"/>
  <c r="E3693" i="6"/>
  <c r="E3694" i="6"/>
  <c r="E3695" i="6"/>
  <c r="E3696" i="6"/>
  <c r="E3697" i="6"/>
  <c r="E3698" i="6"/>
  <c r="E3699" i="6"/>
  <c r="E3700" i="6"/>
  <c r="E3701" i="6"/>
  <c r="E3702" i="6"/>
  <c r="E3703" i="6"/>
  <c r="E3704" i="6"/>
  <c r="E3705" i="6"/>
  <c r="E3706" i="6"/>
  <c r="E3707" i="6"/>
  <c r="E3708" i="6"/>
  <c r="E3709" i="6"/>
  <c r="E3710" i="6"/>
  <c r="E3711" i="6"/>
  <c r="E3712" i="6"/>
  <c r="E3713" i="6"/>
  <c r="E3714" i="6"/>
  <c r="E3715" i="6"/>
  <c r="E3716" i="6"/>
  <c r="E3717" i="6"/>
  <c r="E3718" i="6"/>
  <c r="E3719" i="6"/>
  <c r="E3720" i="6"/>
  <c r="E3721" i="6"/>
  <c r="E3722" i="6"/>
  <c r="E3723" i="6"/>
  <c r="E3724" i="6"/>
  <c r="E3725" i="6"/>
  <c r="E3726" i="6"/>
  <c r="E3727" i="6"/>
  <c r="E3728" i="6"/>
  <c r="E3729" i="6"/>
  <c r="E3730" i="6"/>
  <c r="E3731" i="6"/>
  <c r="E3732" i="6"/>
  <c r="E3733" i="6"/>
  <c r="E3734" i="6"/>
  <c r="E3735" i="6"/>
  <c r="E3736" i="6"/>
  <c r="E3737" i="6"/>
  <c r="E3738" i="6"/>
  <c r="E3739" i="6"/>
  <c r="E3740" i="6"/>
  <c r="E3741" i="6"/>
  <c r="E3742" i="6"/>
  <c r="E3743" i="6"/>
  <c r="E3744" i="6"/>
  <c r="E3745" i="6"/>
  <c r="E3746" i="6"/>
  <c r="E3747" i="6"/>
  <c r="E3748" i="6"/>
  <c r="E3749" i="6"/>
  <c r="E3750" i="6"/>
  <c r="E3751" i="6"/>
  <c r="E3752" i="6"/>
  <c r="E3753" i="6"/>
  <c r="E3754" i="6"/>
  <c r="E3755" i="6"/>
  <c r="E3756" i="6"/>
  <c r="E3757" i="6"/>
  <c r="E3758" i="6"/>
  <c r="E3759" i="6"/>
  <c r="E3760" i="6"/>
  <c r="E3761" i="6"/>
  <c r="E3762" i="6"/>
  <c r="E3763" i="6"/>
  <c r="E3764" i="6"/>
  <c r="E3765" i="6"/>
  <c r="E3766" i="6"/>
  <c r="E3767" i="6"/>
  <c r="E3768" i="6"/>
  <c r="E3769" i="6"/>
  <c r="E3770" i="6"/>
  <c r="E3771" i="6"/>
  <c r="E3772" i="6"/>
  <c r="E3773" i="6"/>
  <c r="E3774" i="6"/>
  <c r="E3775" i="6"/>
  <c r="E3776" i="6"/>
  <c r="E3777" i="6"/>
  <c r="E3778" i="6"/>
  <c r="E3779" i="6"/>
  <c r="E3780" i="6"/>
  <c r="E3781" i="6"/>
  <c r="E3782" i="6"/>
  <c r="E3783" i="6"/>
  <c r="E3784" i="6"/>
  <c r="E3785" i="6"/>
  <c r="E3786" i="6"/>
  <c r="E3787" i="6"/>
  <c r="E3788" i="6"/>
  <c r="E3789" i="6"/>
  <c r="E3790" i="6"/>
  <c r="E3791" i="6"/>
  <c r="E3792" i="6"/>
  <c r="E3793" i="6"/>
  <c r="E3794" i="6"/>
  <c r="E3795" i="6"/>
  <c r="E3796" i="6"/>
  <c r="E3797" i="6"/>
  <c r="E3798" i="6"/>
  <c r="E3799" i="6"/>
  <c r="E3800" i="6"/>
  <c r="E3801" i="6"/>
  <c r="E3802" i="6"/>
  <c r="E3803" i="6"/>
  <c r="E3804" i="6"/>
  <c r="E3805" i="6"/>
  <c r="E3806" i="6"/>
  <c r="E3807" i="6"/>
  <c r="E3808" i="6"/>
  <c r="E3809" i="6"/>
  <c r="E3810" i="6"/>
  <c r="E3811" i="6"/>
  <c r="E3812" i="6"/>
  <c r="E3813" i="6"/>
  <c r="E3814" i="6"/>
  <c r="E3815" i="6"/>
  <c r="E3816" i="6"/>
  <c r="E3817" i="6"/>
  <c r="E3818" i="6"/>
  <c r="E3819" i="6"/>
  <c r="E3820" i="6"/>
  <c r="E3821" i="6"/>
  <c r="E3822" i="6"/>
  <c r="E3823" i="6"/>
  <c r="E3824" i="6"/>
  <c r="E3825" i="6"/>
  <c r="E3826" i="6"/>
  <c r="E3827" i="6"/>
  <c r="E3828" i="6"/>
  <c r="E3829" i="6"/>
  <c r="E3830" i="6"/>
  <c r="E3831" i="6"/>
  <c r="E3832" i="6"/>
  <c r="E3833" i="6"/>
  <c r="E3834" i="6"/>
  <c r="E3835" i="6"/>
  <c r="E3836" i="6"/>
  <c r="E3837" i="6"/>
  <c r="E3838" i="6"/>
  <c r="E3839" i="6"/>
  <c r="E3840" i="6"/>
  <c r="E3841" i="6"/>
  <c r="E3842" i="6"/>
  <c r="E3843" i="6"/>
  <c r="E3844" i="6"/>
  <c r="E3845" i="6"/>
  <c r="E3846" i="6"/>
  <c r="E3847" i="6"/>
  <c r="E3848" i="6"/>
  <c r="E3849" i="6"/>
  <c r="E3850" i="6"/>
  <c r="E3851" i="6"/>
  <c r="E3852" i="6"/>
  <c r="E3853" i="6"/>
  <c r="E3854" i="6"/>
  <c r="E3855" i="6"/>
  <c r="E3856" i="6"/>
  <c r="E3857" i="6"/>
  <c r="E3858" i="6"/>
  <c r="E3859" i="6"/>
  <c r="E3860" i="6"/>
  <c r="E3861" i="6"/>
  <c r="E3862" i="6"/>
  <c r="E3863" i="6"/>
  <c r="E3864" i="6"/>
  <c r="E3865" i="6"/>
  <c r="E3866" i="6"/>
  <c r="E3867" i="6"/>
  <c r="E3868" i="6"/>
  <c r="E3869" i="6"/>
  <c r="E3870" i="6"/>
  <c r="E3871" i="6"/>
  <c r="E3872" i="6"/>
  <c r="E3873" i="6"/>
  <c r="E3874" i="6"/>
  <c r="E3875" i="6"/>
  <c r="E3876" i="6"/>
  <c r="E3877" i="6"/>
  <c r="E3878" i="6"/>
  <c r="E3879" i="6"/>
  <c r="E3880" i="6"/>
  <c r="E3881" i="6"/>
  <c r="E3882" i="6"/>
  <c r="E3883" i="6"/>
  <c r="E3884" i="6"/>
  <c r="E3885" i="6"/>
  <c r="E3886" i="6"/>
  <c r="E3887" i="6"/>
  <c r="E3888" i="6"/>
  <c r="E3889" i="6"/>
  <c r="E3890" i="6"/>
  <c r="E3891" i="6"/>
  <c r="E3892" i="6"/>
  <c r="E3893" i="6"/>
  <c r="E3894" i="6"/>
  <c r="E3895" i="6"/>
  <c r="E3896" i="6"/>
  <c r="E3897" i="6"/>
  <c r="E3898" i="6"/>
  <c r="E3899" i="6"/>
  <c r="E3900" i="6"/>
  <c r="E3901" i="6"/>
  <c r="E3902" i="6"/>
  <c r="E3903" i="6"/>
  <c r="E3904" i="6"/>
  <c r="E3905" i="6"/>
  <c r="E3906" i="6"/>
  <c r="E3907" i="6"/>
  <c r="E3908" i="6"/>
  <c r="E3909" i="6"/>
  <c r="E3910" i="6"/>
  <c r="E3911" i="6"/>
  <c r="E3912" i="6"/>
  <c r="E3913" i="6"/>
  <c r="E3914" i="6"/>
  <c r="E3915" i="6"/>
  <c r="E3916" i="6"/>
  <c r="E3917" i="6"/>
  <c r="E3918" i="6"/>
  <c r="E3919" i="6"/>
  <c r="E3920" i="6"/>
  <c r="E3921" i="6"/>
  <c r="E3922" i="6"/>
  <c r="E3923" i="6"/>
  <c r="E3924" i="6"/>
  <c r="E3925" i="6"/>
  <c r="E3926" i="6"/>
  <c r="E3927" i="6"/>
  <c r="E3928" i="6"/>
  <c r="E3929" i="6"/>
  <c r="E3930" i="6"/>
  <c r="E3931" i="6"/>
  <c r="E3932" i="6"/>
  <c r="E3933" i="6"/>
  <c r="E3934" i="6"/>
  <c r="E3935" i="6"/>
  <c r="E3936" i="6"/>
  <c r="E3937" i="6"/>
  <c r="E3938" i="6"/>
  <c r="E3939" i="6"/>
  <c r="E3940" i="6"/>
  <c r="E3941" i="6"/>
  <c r="E3942" i="6"/>
  <c r="E3943" i="6"/>
  <c r="E3944" i="6"/>
  <c r="E3945" i="6"/>
  <c r="E3946" i="6"/>
  <c r="E3947" i="6"/>
  <c r="E3948" i="6"/>
  <c r="E3949" i="6"/>
  <c r="E3950" i="6"/>
  <c r="E3951" i="6"/>
  <c r="E3952" i="6"/>
  <c r="E3953" i="6"/>
  <c r="E3954" i="6"/>
  <c r="E3955" i="6"/>
  <c r="E3956" i="6"/>
  <c r="E3957" i="6"/>
  <c r="E3958" i="6"/>
  <c r="E3959" i="6"/>
  <c r="E3960" i="6"/>
  <c r="E3961" i="6"/>
  <c r="E3962" i="6"/>
  <c r="E3963" i="6"/>
  <c r="E3964" i="6"/>
  <c r="E3965" i="6"/>
  <c r="E3966" i="6"/>
  <c r="E3967" i="6"/>
  <c r="E3968" i="6"/>
  <c r="E3969" i="6"/>
  <c r="E3970" i="6"/>
  <c r="E3971" i="6"/>
  <c r="E3972" i="6"/>
  <c r="E3973" i="6"/>
  <c r="E3974" i="6"/>
  <c r="E3975" i="6"/>
  <c r="E3976" i="6"/>
  <c r="E3977" i="6"/>
  <c r="E3978" i="6"/>
  <c r="E3979" i="6"/>
  <c r="E3980" i="6"/>
  <c r="E3981" i="6"/>
  <c r="E3982" i="6"/>
  <c r="E3983" i="6"/>
  <c r="E3984" i="6"/>
  <c r="E3985" i="6"/>
  <c r="E3986" i="6"/>
  <c r="E3987" i="6"/>
  <c r="E3988" i="6"/>
  <c r="E3989" i="6"/>
  <c r="E3990" i="6"/>
  <c r="E3991" i="6"/>
  <c r="E3992" i="6"/>
  <c r="E3993" i="6"/>
  <c r="E3994" i="6"/>
  <c r="E3995" i="6"/>
  <c r="E3996" i="6"/>
  <c r="E3997" i="6"/>
  <c r="E3998" i="6"/>
  <c r="E3999" i="6"/>
  <c r="E4000" i="6"/>
  <c r="E4001" i="6"/>
  <c r="E4002" i="6"/>
  <c r="E4003" i="6"/>
  <c r="E4004" i="6"/>
  <c r="E4005" i="6"/>
  <c r="E4006" i="6"/>
  <c r="E4007" i="6"/>
  <c r="E4008" i="6"/>
  <c r="E4009" i="6"/>
  <c r="E4010" i="6"/>
  <c r="E4011" i="6"/>
  <c r="E4012" i="6"/>
  <c r="E4013" i="6"/>
  <c r="E4014" i="6"/>
  <c r="E4015" i="6"/>
  <c r="E4016" i="6"/>
  <c r="E4017" i="6"/>
  <c r="E4018" i="6"/>
  <c r="E4019" i="6"/>
  <c r="E4020" i="6"/>
  <c r="E4021" i="6"/>
  <c r="E4022" i="6"/>
  <c r="E4023" i="6"/>
  <c r="E4024" i="6"/>
  <c r="E4025" i="6"/>
  <c r="E4026" i="6"/>
  <c r="E4027" i="6"/>
  <c r="E4028" i="6"/>
  <c r="E4029" i="6"/>
  <c r="E4030" i="6"/>
  <c r="E4031" i="6"/>
  <c r="E4032" i="6"/>
  <c r="E4033" i="6"/>
  <c r="E4034" i="6"/>
  <c r="E4035" i="6"/>
  <c r="E4036" i="6"/>
  <c r="E4037" i="6"/>
  <c r="E4038" i="6"/>
  <c r="E4039" i="6"/>
  <c r="E4040" i="6"/>
  <c r="E4041" i="6"/>
  <c r="E4042" i="6"/>
  <c r="E4043" i="6"/>
  <c r="E4044" i="6"/>
  <c r="E4045" i="6"/>
  <c r="E4046" i="6"/>
  <c r="E4047" i="6"/>
  <c r="E4048" i="6"/>
  <c r="E4049" i="6"/>
  <c r="E4050" i="6"/>
  <c r="E4051" i="6"/>
  <c r="E4052" i="6"/>
  <c r="E4053" i="6"/>
  <c r="E4054" i="6"/>
  <c r="E4055" i="6"/>
  <c r="E4056" i="6"/>
  <c r="E4057" i="6"/>
  <c r="E4058" i="6"/>
  <c r="E4059" i="6"/>
  <c r="E4060" i="6"/>
  <c r="E4061" i="6"/>
  <c r="E4062" i="6"/>
  <c r="E4063" i="6"/>
  <c r="E4064" i="6"/>
  <c r="E4065" i="6"/>
  <c r="E4066" i="6"/>
  <c r="E4067" i="6"/>
  <c r="E4068" i="6"/>
  <c r="E4069" i="6"/>
  <c r="E4070" i="6"/>
  <c r="E4071" i="6"/>
  <c r="E4072" i="6"/>
  <c r="E4073" i="6"/>
  <c r="E4074" i="6"/>
  <c r="E4075" i="6"/>
  <c r="E4076" i="6"/>
  <c r="E4077" i="6"/>
  <c r="E4078" i="6"/>
  <c r="E4079" i="6"/>
  <c r="E4080" i="6"/>
  <c r="E4081" i="6"/>
  <c r="E4082" i="6"/>
  <c r="E4083" i="6"/>
  <c r="E4084" i="6"/>
  <c r="E4085" i="6"/>
  <c r="E4086" i="6"/>
  <c r="E4087" i="6"/>
  <c r="E4088" i="6"/>
  <c r="E4089" i="6"/>
  <c r="E4090" i="6"/>
  <c r="E4091" i="6"/>
  <c r="E4092" i="6"/>
  <c r="E4093" i="6"/>
  <c r="E4094" i="6"/>
  <c r="E4095" i="6"/>
  <c r="E4096" i="6"/>
  <c r="E4097" i="6"/>
  <c r="E4098" i="6"/>
  <c r="E4099" i="6"/>
  <c r="E4100" i="6"/>
  <c r="E4101" i="6"/>
  <c r="E4102" i="6"/>
  <c r="E4103" i="6"/>
  <c r="E4104" i="6"/>
  <c r="E4105" i="6"/>
  <c r="E4106" i="6"/>
  <c r="E4107" i="6"/>
  <c r="E4108" i="6"/>
  <c r="E4109" i="6"/>
  <c r="E4110" i="6"/>
  <c r="E4111" i="6"/>
  <c r="E4112" i="6"/>
  <c r="E4113" i="6"/>
  <c r="E4114" i="6"/>
  <c r="E4115" i="6"/>
  <c r="E4116" i="6"/>
  <c r="E4117" i="6"/>
  <c r="E4118" i="6"/>
  <c r="E4119" i="6"/>
  <c r="E4120" i="6"/>
  <c r="E4121" i="6"/>
  <c r="E4122" i="6"/>
  <c r="E4123" i="6"/>
  <c r="E4124" i="6"/>
  <c r="E4125" i="6"/>
  <c r="E4126" i="6"/>
  <c r="E4127" i="6"/>
  <c r="E4128" i="6"/>
  <c r="E4129" i="6"/>
  <c r="E4130" i="6"/>
  <c r="E4131" i="6"/>
  <c r="E4132" i="6"/>
  <c r="E4133" i="6"/>
  <c r="E4134" i="6"/>
  <c r="E4135" i="6"/>
  <c r="E4136" i="6"/>
  <c r="E4137" i="6"/>
  <c r="E4138" i="6"/>
  <c r="E4139" i="6"/>
  <c r="E4140" i="6"/>
  <c r="E4141" i="6"/>
  <c r="E4142" i="6"/>
  <c r="E4143" i="6"/>
  <c r="E4144" i="6"/>
  <c r="E4145" i="6"/>
  <c r="E4146" i="6"/>
  <c r="E4147" i="6"/>
  <c r="E4148" i="6"/>
  <c r="E4149" i="6"/>
  <c r="E4150" i="6"/>
  <c r="E4151" i="6"/>
  <c r="E4152" i="6"/>
  <c r="E4153" i="6"/>
  <c r="E4154" i="6"/>
  <c r="E4155" i="6"/>
  <c r="E4156" i="6"/>
  <c r="E4157" i="6"/>
  <c r="E4158" i="6"/>
  <c r="E4159" i="6"/>
  <c r="E4160" i="6"/>
  <c r="E4161" i="6"/>
  <c r="E4162" i="6"/>
  <c r="E4163" i="6"/>
  <c r="E4164" i="6"/>
  <c r="E4165" i="6"/>
  <c r="E4166" i="6"/>
  <c r="E4167" i="6"/>
  <c r="E4168" i="6"/>
  <c r="E4169" i="6"/>
  <c r="E4170" i="6"/>
  <c r="E4171" i="6"/>
  <c r="E4172" i="6"/>
  <c r="E4173" i="6"/>
  <c r="E4174" i="6"/>
  <c r="E4175" i="6"/>
  <c r="E4176" i="6"/>
  <c r="E4177" i="6"/>
  <c r="E4178" i="6"/>
  <c r="E4179" i="6"/>
  <c r="E4180" i="6"/>
  <c r="E4181" i="6"/>
  <c r="E4182" i="6"/>
  <c r="E4183" i="6"/>
  <c r="E4184" i="6"/>
  <c r="E4185" i="6"/>
  <c r="E4186" i="6"/>
  <c r="E4187" i="6"/>
  <c r="E4188" i="6"/>
  <c r="E4189" i="6"/>
  <c r="E4190" i="6"/>
  <c r="E4191" i="6"/>
  <c r="E4192" i="6"/>
  <c r="E4193" i="6"/>
  <c r="E4194" i="6"/>
  <c r="E4195" i="6"/>
  <c r="E4196" i="6"/>
  <c r="E4197" i="6"/>
  <c r="E4198" i="6"/>
  <c r="E4199" i="6"/>
  <c r="E4200" i="6"/>
  <c r="E4201" i="6"/>
  <c r="E4202" i="6"/>
  <c r="E4203" i="6"/>
  <c r="E4204" i="6"/>
  <c r="E4205" i="6"/>
  <c r="E4206" i="6"/>
  <c r="E4207" i="6"/>
  <c r="E4208" i="6"/>
  <c r="E4209" i="6"/>
  <c r="E4210" i="6"/>
  <c r="E4211" i="6"/>
  <c r="E4212" i="6"/>
  <c r="E4213" i="6"/>
  <c r="E4214" i="6"/>
  <c r="E4215" i="6"/>
  <c r="E4216" i="6"/>
  <c r="E4217" i="6"/>
  <c r="E4218" i="6"/>
  <c r="E4219" i="6"/>
  <c r="E4220" i="6"/>
  <c r="E4221" i="6"/>
  <c r="E4222" i="6"/>
  <c r="E4223" i="6"/>
  <c r="E4224" i="6"/>
  <c r="E4225" i="6"/>
  <c r="E4226" i="6"/>
  <c r="E4227" i="6"/>
  <c r="E4228" i="6"/>
  <c r="E4229" i="6"/>
  <c r="E4230" i="6"/>
  <c r="E4231" i="6"/>
  <c r="E4232" i="6"/>
  <c r="E4233" i="6"/>
  <c r="E4234" i="6"/>
  <c r="E4235" i="6"/>
  <c r="E4236" i="6"/>
  <c r="E4237" i="6"/>
  <c r="E4238" i="6"/>
  <c r="E4239" i="6"/>
  <c r="E4240" i="6"/>
  <c r="E4241" i="6"/>
  <c r="E4242" i="6"/>
  <c r="E4243" i="6"/>
  <c r="E4244" i="6"/>
  <c r="E4245" i="6"/>
  <c r="E4246" i="6"/>
  <c r="E4247" i="6"/>
  <c r="E4248" i="6"/>
  <c r="E4249" i="6"/>
  <c r="E4250" i="6"/>
  <c r="E4251" i="6"/>
  <c r="E4252" i="6"/>
  <c r="E4253" i="6"/>
  <c r="E4254" i="6"/>
  <c r="E4255" i="6"/>
  <c r="E4256" i="6"/>
  <c r="E4257" i="6"/>
  <c r="E4258" i="6"/>
  <c r="E4259" i="6"/>
  <c r="E4260" i="6"/>
  <c r="E4261" i="6"/>
  <c r="E4262" i="6"/>
  <c r="E4263" i="6"/>
  <c r="E4264" i="6"/>
  <c r="E4265" i="6"/>
  <c r="E4266" i="6"/>
  <c r="E4267" i="6"/>
  <c r="E4268" i="6"/>
  <c r="E4269" i="6"/>
  <c r="E4270" i="6"/>
  <c r="E4271" i="6"/>
  <c r="E4272" i="6"/>
  <c r="E4273" i="6"/>
  <c r="E4274" i="6"/>
  <c r="E4275" i="6"/>
  <c r="E4276" i="6"/>
  <c r="E4277" i="6"/>
  <c r="E4278" i="6"/>
  <c r="E4279" i="6"/>
  <c r="E4280" i="6"/>
  <c r="E4281" i="6"/>
  <c r="E4282" i="6"/>
  <c r="E4283" i="6"/>
  <c r="E4284" i="6"/>
  <c r="E4285" i="6"/>
  <c r="E4286" i="6"/>
  <c r="E4287" i="6"/>
  <c r="E4288" i="6"/>
  <c r="E4289" i="6"/>
  <c r="E4290" i="6"/>
  <c r="E4291" i="6"/>
  <c r="E4292" i="6"/>
  <c r="E4293" i="6"/>
  <c r="E4294" i="6"/>
  <c r="E4295" i="6"/>
  <c r="E4296" i="6"/>
  <c r="E4297" i="6"/>
  <c r="E4298" i="6"/>
  <c r="E4299" i="6"/>
  <c r="E4300" i="6"/>
  <c r="E4301" i="6"/>
  <c r="E4302" i="6"/>
  <c r="E4303" i="6"/>
  <c r="E4304" i="6"/>
  <c r="E4305" i="6"/>
  <c r="E4306" i="6"/>
  <c r="E4307" i="6"/>
  <c r="E4308" i="6"/>
  <c r="E4309" i="6"/>
  <c r="E4310" i="6"/>
  <c r="E4311" i="6"/>
  <c r="E4312" i="6"/>
  <c r="E4313" i="6"/>
  <c r="E4314" i="6"/>
  <c r="E4315" i="6"/>
  <c r="E4316" i="6"/>
  <c r="E4317" i="6"/>
  <c r="E4318" i="6"/>
  <c r="E4319" i="6"/>
  <c r="E4320" i="6"/>
  <c r="E4321" i="6"/>
  <c r="E4322" i="6"/>
  <c r="E4323" i="6"/>
  <c r="E4324" i="6"/>
  <c r="E4325" i="6"/>
  <c r="E4326" i="6"/>
  <c r="E4327" i="6"/>
  <c r="E4328" i="6"/>
  <c r="E4329" i="6"/>
  <c r="E4330" i="6"/>
  <c r="E4331" i="6"/>
  <c r="E4332" i="6"/>
  <c r="E4333" i="6"/>
  <c r="E4334" i="6"/>
  <c r="E4335" i="6"/>
  <c r="E4336" i="6"/>
  <c r="E4337" i="6"/>
  <c r="E4338" i="6"/>
  <c r="E4339" i="6"/>
  <c r="E4340" i="6"/>
  <c r="E4341" i="6"/>
  <c r="E4342" i="6"/>
  <c r="E4343" i="6"/>
  <c r="E4344" i="6"/>
  <c r="E4345" i="6"/>
  <c r="E4346" i="6"/>
  <c r="E4347" i="6"/>
  <c r="E4348" i="6"/>
  <c r="E4349" i="6"/>
  <c r="E4350" i="6"/>
  <c r="E4351" i="6"/>
  <c r="E4352" i="6"/>
  <c r="E4353" i="6"/>
  <c r="E4354" i="6"/>
  <c r="E4355" i="6"/>
  <c r="E4356" i="6"/>
  <c r="E4357" i="6"/>
  <c r="E4358" i="6"/>
  <c r="E4359" i="6"/>
  <c r="E4360" i="6"/>
  <c r="E4361" i="6"/>
  <c r="E4362" i="6"/>
  <c r="E4363" i="6"/>
  <c r="E4364" i="6"/>
  <c r="E4365" i="6"/>
  <c r="E4366" i="6"/>
  <c r="E4367" i="6"/>
  <c r="E4368" i="6"/>
  <c r="E4369" i="6"/>
  <c r="E4370" i="6"/>
  <c r="E4371" i="6"/>
  <c r="E4372" i="6"/>
  <c r="E4373" i="6"/>
  <c r="E4374" i="6"/>
  <c r="E4375" i="6"/>
  <c r="E4376" i="6"/>
  <c r="E4377" i="6"/>
  <c r="E4378" i="6"/>
  <c r="E4379" i="6"/>
  <c r="E4380" i="6"/>
  <c r="E4381" i="6"/>
  <c r="E4382" i="6"/>
  <c r="E4383" i="6"/>
  <c r="E4384" i="6"/>
  <c r="E4385" i="6"/>
  <c r="E4386" i="6"/>
  <c r="E4387" i="6"/>
  <c r="E4388" i="6"/>
  <c r="E4389" i="6"/>
  <c r="E4390" i="6"/>
  <c r="E4391" i="6"/>
  <c r="E4392" i="6"/>
  <c r="E4393" i="6"/>
  <c r="E4394" i="6"/>
  <c r="E4395" i="6"/>
  <c r="E4396" i="6"/>
  <c r="E4397" i="6"/>
  <c r="E4398" i="6"/>
  <c r="E4399" i="6"/>
  <c r="E4400" i="6"/>
  <c r="E4401" i="6"/>
  <c r="E4402" i="6"/>
  <c r="E4403" i="6"/>
  <c r="E4404" i="6"/>
  <c r="E4405" i="6"/>
  <c r="E4406" i="6"/>
  <c r="E4407" i="6"/>
  <c r="E4408" i="6"/>
  <c r="E4409" i="6"/>
  <c r="E4410" i="6"/>
  <c r="E4411" i="6"/>
  <c r="E4412" i="6"/>
  <c r="E4413" i="6"/>
  <c r="E4414" i="6"/>
  <c r="E4415" i="6"/>
  <c r="E4416" i="6"/>
  <c r="E4417" i="6"/>
  <c r="E4418" i="6"/>
  <c r="E4419" i="6"/>
  <c r="E4420" i="6"/>
  <c r="E4421" i="6"/>
  <c r="E4422" i="6"/>
  <c r="E4423" i="6"/>
  <c r="E4424" i="6"/>
  <c r="E4425" i="6"/>
  <c r="E4426" i="6"/>
  <c r="E4427" i="6"/>
  <c r="E4428" i="6"/>
  <c r="E4429" i="6"/>
  <c r="E4430" i="6"/>
  <c r="E4431" i="6"/>
  <c r="E4432" i="6"/>
  <c r="E4433" i="6"/>
  <c r="E4434" i="6"/>
  <c r="E4435" i="6"/>
  <c r="E4436" i="6"/>
  <c r="E4437" i="6"/>
  <c r="E4438" i="6"/>
  <c r="E4439" i="6"/>
  <c r="E4440" i="6"/>
  <c r="E4441" i="6"/>
  <c r="E4442" i="6"/>
  <c r="E4443" i="6"/>
  <c r="E4444" i="6"/>
  <c r="E4445" i="6"/>
  <c r="E4446" i="6"/>
  <c r="E4447" i="6"/>
  <c r="E4448" i="6"/>
  <c r="E4449" i="6"/>
  <c r="E4450" i="6"/>
  <c r="E4451" i="6"/>
  <c r="E4452" i="6"/>
  <c r="E4453" i="6"/>
  <c r="E4454" i="6"/>
  <c r="E4455" i="6"/>
  <c r="E4456" i="6"/>
  <c r="E4457" i="6"/>
  <c r="E4458" i="6"/>
  <c r="E4459" i="6"/>
  <c r="E4460" i="6"/>
  <c r="E4461" i="6"/>
  <c r="E4462" i="6"/>
  <c r="E4463" i="6"/>
  <c r="E4464" i="6"/>
  <c r="E4465" i="6"/>
  <c r="E4466" i="6"/>
  <c r="E4467" i="6"/>
  <c r="E4468" i="6"/>
  <c r="E4469" i="6"/>
  <c r="E4470" i="6"/>
  <c r="E4471" i="6"/>
  <c r="E4472" i="6"/>
  <c r="E4473" i="6"/>
  <c r="E4474" i="6"/>
  <c r="E4475" i="6"/>
  <c r="E4476" i="6"/>
  <c r="E4477" i="6"/>
  <c r="E4478" i="6"/>
  <c r="E4479" i="6"/>
  <c r="E4480" i="6"/>
  <c r="E4481" i="6"/>
  <c r="E4482" i="6"/>
  <c r="E4483" i="6"/>
  <c r="E4484" i="6"/>
  <c r="E4485" i="6"/>
  <c r="E4486" i="6"/>
  <c r="E4487" i="6"/>
  <c r="E4488" i="6"/>
  <c r="E4489" i="6"/>
  <c r="E4490" i="6"/>
  <c r="E4491" i="6"/>
  <c r="E4492" i="6"/>
  <c r="E4493" i="6"/>
  <c r="E4494" i="6"/>
  <c r="E4495" i="6"/>
  <c r="E4496" i="6"/>
  <c r="E4497" i="6"/>
  <c r="E4498" i="6"/>
  <c r="E4499" i="6"/>
  <c r="E4500" i="6"/>
  <c r="E4501" i="6"/>
  <c r="E4502" i="6"/>
  <c r="E4503" i="6"/>
  <c r="E4504" i="6"/>
  <c r="E4505" i="6"/>
  <c r="E4506" i="6"/>
  <c r="E4507" i="6"/>
  <c r="E4508" i="6"/>
  <c r="E4509" i="6"/>
  <c r="E4510" i="6"/>
  <c r="E4511" i="6"/>
  <c r="E4512" i="6"/>
  <c r="E4513" i="6"/>
  <c r="E4514" i="6"/>
  <c r="E4515" i="6"/>
  <c r="E4516" i="6"/>
  <c r="E4517" i="6"/>
  <c r="E4518" i="6"/>
  <c r="E4519" i="6"/>
  <c r="E4520" i="6"/>
  <c r="E4521" i="6"/>
  <c r="E4522" i="6"/>
  <c r="E4523" i="6"/>
  <c r="E4524" i="6"/>
  <c r="E4525" i="6"/>
  <c r="E4526" i="6"/>
  <c r="E4527" i="6"/>
  <c r="E4528" i="6"/>
  <c r="E4529" i="6"/>
  <c r="E4530" i="6"/>
  <c r="E4531" i="6"/>
  <c r="E4532" i="6"/>
  <c r="E4533" i="6"/>
  <c r="E4534" i="6"/>
  <c r="E4535" i="6"/>
  <c r="E4536" i="6"/>
  <c r="E4537" i="6"/>
  <c r="E4538" i="6"/>
  <c r="E4539" i="6"/>
  <c r="E4540" i="6"/>
  <c r="E4541" i="6"/>
  <c r="E4542" i="6"/>
  <c r="E4543" i="6"/>
  <c r="E4544" i="6"/>
  <c r="E4545" i="6"/>
  <c r="E4546" i="6"/>
  <c r="E4547" i="6"/>
  <c r="E4548" i="6"/>
  <c r="E4549" i="6"/>
  <c r="E4550" i="6"/>
  <c r="E4551" i="6"/>
  <c r="E4552" i="6"/>
  <c r="E4553" i="6"/>
  <c r="E4554" i="6"/>
  <c r="E4555" i="6"/>
  <c r="E4556" i="6"/>
  <c r="E4557" i="6"/>
  <c r="E4558" i="6"/>
  <c r="E4559" i="6"/>
  <c r="E4560" i="6"/>
  <c r="E4561" i="6"/>
  <c r="E4562" i="6"/>
  <c r="E4563" i="6"/>
  <c r="E4564" i="6"/>
  <c r="E4565" i="6"/>
  <c r="E4566" i="6"/>
  <c r="E4567" i="6"/>
  <c r="E4568" i="6"/>
  <c r="E4569" i="6"/>
  <c r="E4570" i="6"/>
  <c r="E4571" i="6"/>
  <c r="E4572" i="6"/>
  <c r="E4573" i="6"/>
  <c r="E4574" i="6"/>
  <c r="E4575" i="6"/>
  <c r="E4576" i="6"/>
  <c r="E4577" i="6"/>
  <c r="E4578" i="6"/>
  <c r="E4579" i="6"/>
  <c r="E4580" i="6"/>
  <c r="E4581" i="6"/>
  <c r="E4582" i="6"/>
  <c r="E4583" i="6"/>
  <c r="E4584" i="6"/>
  <c r="E4585" i="6"/>
  <c r="E4586" i="6"/>
  <c r="E4587" i="6"/>
  <c r="E4588" i="6"/>
  <c r="E4589" i="6"/>
  <c r="E4590" i="6"/>
  <c r="E4591" i="6"/>
  <c r="E4592" i="6"/>
  <c r="E4593" i="6"/>
  <c r="E4594" i="6"/>
  <c r="E4595" i="6"/>
  <c r="E4596" i="6"/>
  <c r="E4597" i="6"/>
  <c r="E4598" i="6"/>
  <c r="E4599" i="6"/>
  <c r="E4600" i="6"/>
  <c r="E4601" i="6"/>
  <c r="E4602" i="6"/>
  <c r="E4603" i="6"/>
  <c r="E4604" i="6"/>
  <c r="E4605" i="6"/>
  <c r="E4606" i="6"/>
  <c r="E4607" i="6"/>
  <c r="E4608" i="6"/>
  <c r="E4609" i="6"/>
  <c r="E4610" i="6"/>
  <c r="E4611" i="6"/>
  <c r="E4612" i="6"/>
  <c r="E4613" i="6"/>
  <c r="E4614" i="6"/>
  <c r="E4615" i="6"/>
  <c r="E4616" i="6"/>
  <c r="E4617" i="6"/>
  <c r="E4618" i="6"/>
  <c r="E4619" i="6"/>
  <c r="E4620" i="6"/>
  <c r="E4621" i="6"/>
  <c r="E4622" i="6"/>
  <c r="E4623" i="6"/>
  <c r="E4624" i="6"/>
  <c r="E4625" i="6"/>
  <c r="E4626" i="6"/>
  <c r="E4627" i="6"/>
  <c r="E4628" i="6"/>
  <c r="E4629" i="6"/>
  <c r="E4630" i="6"/>
  <c r="E4631" i="6"/>
  <c r="E4632" i="6"/>
  <c r="E4633" i="6"/>
  <c r="E4634" i="6"/>
  <c r="E4635" i="6"/>
  <c r="E4636" i="6"/>
  <c r="E4637" i="6"/>
  <c r="E4638" i="6"/>
  <c r="E4639" i="6"/>
  <c r="E4640" i="6"/>
  <c r="E4641" i="6"/>
  <c r="E4642" i="6"/>
  <c r="E4643" i="6"/>
  <c r="E4644" i="6"/>
  <c r="E4645" i="6"/>
  <c r="E4646" i="6"/>
  <c r="E4647" i="6"/>
  <c r="E4648" i="6"/>
  <c r="E4649" i="6"/>
  <c r="E4650" i="6"/>
  <c r="E4651" i="6"/>
  <c r="E4652" i="6"/>
  <c r="E4653" i="6"/>
  <c r="E4654" i="6"/>
  <c r="E4655" i="6"/>
  <c r="E4656" i="6"/>
  <c r="E4657" i="6"/>
  <c r="E4658" i="6"/>
  <c r="E4659" i="6"/>
  <c r="E4660" i="6"/>
  <c r="E4661" i="6"/>
  <c r="E4662" i="6"/>
  <c r="E4663" i="6"/>
  <c r="E4664" i="6"/>
  <c r="E4665" i="6"/>
  <c r="E4666" i="6"/>
  <c r="E4667" i="6"/>
  <c r="E4668" i="6"/>
  <c r="E4669" i="6"/>
  <c r="E4670" i="6"/>
  <c r="E4671" i="6"/>
  <c r="E4672" i="6"/>
  <c r="E4673" i="6"/>
  <c r="E4674" i="6"/>
  <c r="E4675" i="6"/>
  <c r="E4676" i="6"/>
  <c r="E4677" i="6"/>
  <c r="E4678" i="6"/>
  <c r="E4679" i="6"/>
  <c r="E4680" i="6"/>
  <c r="E4681" i="6"/>
  <c r="E4682" i="6"/>
  <c r="E4683" i="6"/>
  <c r="E4684" i="6"/>
  <c r="E4685" i="6"/>
  <c r="E4686" i="6"/>
  <c r="E4687" i="6"/>
  <c r="E4688" i="6"/>
  <c r="E4689" i="6"/>
  <c r="E4690" i="6"/>
  <c r="E4691" i="6"/>
  <c r="E4692" i="6"/>
  <c r="E4693" i="6"/>
  <c r="E4694" i="6"/>
  <c r="E4695" i="6"/>
  <c r="E4696" i="6"/>
  <c r="E4697" i="6"/>
  <c r="E4698" i="6"/>
  <c r="E4699" i="6"/>
  <c r="E4700" i="6"/>
  <c r="E4701" i="6"/>
  <c r="E4702" i="6"/>
  <c r="E4703" i="6"/>
  <c r="E4704" i="6"/>
  <c r="E4705" i="6"/>
  <c r="E4706" i="6"/>
  <c r="E4707" i="6"/>
  <c r="E4708" i="6"/>
  <c r="E4709" i="6"/>
  <c r="E4710" i="6"/>
  <c r="E4711" i="6"/>
  <c r="E4712" i="6"/>
  <c r="E4713" i="6"/>
  <c r="E4714" i="6"/>
  <c r="E4715" i="6"/>
  <c r="E4716" i="6"/>
  <c r="E4717" i="6"/>
  <c r="E4718" i="6"/>
  <c r="E4719" i="6"/>
  <c r="E4720" i="6"/>
  <c r="E4721" i="6"/>
  <c r="E4722" i="6"/>
  <c r="E4723" i="6"/>
  <c r="E4724" i="6"/>
  <c r="E4725" i="6"/>
  <c r="E4726" i="6"/>
  <c r="E4727" i="6"/>
  <c r="E4728" i="6"/>
  <c r="E4729" i="6"/>
  <c r="E4730" i="6"/>
  <c r="E4731" i="6"/>
  <c r="E4732" i="6"/>
  <c r="E4733" i="6"/>
  <c r="E4734" i="6"/>
  <c r="E4735" i="6"/>
  <c r="E4736" i="6"/>
  <c r="E4737" i="6"/>
  <c r="E4738" i="6"/>
  <c r="E4739" i="6"/>
  <c r="E4740" i="6"/>
  <c r="E4741" i="6"/>
  <c r="E4742" i="6"/>
  <c r="E4743" i="6"/>
  <c r="E4744" i="6"/>
  <c r="E4745" i="6"/>
  <c r="E4746" i="6"/>
  <c r="E4747" i="6"/>
  <c r="E4748" i="6"/>
  <c r="E4749" i="6"/>
  <c r="E4750" i="6"/>
  <c r="E4751" i="6"/>
  <c r="E4752" i="6"/>
  <c r="E4753" i="6"/>
  <c r="E4754" i="6"/>
  <c r="E4755" i="6"/>
  <c r="E4756" i="6"/>
  <c r="E4757" i="6"/>
  <c r="E4758" i="6"/>
  <c r="E4759" i="6"/>
  <c r="E4760" i="6"/>
  <c r="E4761" i="6"/>
  <c r="E4762" i="6"/>
  <c r="E4763" i="6"/>
  <c r="E4764" i="6"/>
  <c r="E4765" i="6"/>
  <c r="E4766" i="6"/>
  <c r="E4767" i="6"/>
  <c r="E4768" i="6"/>
  <c r="E4769" i="6"/>
  <c r="E4770" i="6"/>
  <c r="E4771" i="6"/>
  <c r="E4772" i="6"/>
  <c r="E4773" i="6"/>
  <c r="E4774" i="6"/>
  <c r="E4775" i="6"/>
  <c r="E4776" i="6"/>
  <c r="E4777" i="6"/>
  <c r="E4778" i="6"/>
  <c r="E4779" i="6"/>
  <c r="E4780" i="6"/>
  <c r="E4781" i="6"/>
  <c r="E4782" i="6"/>
  <c r="E4783" i="6"/>
  <c r="E4784" i="6"/>
  <c r="E4785" i="6"/>
  <c r="E4786" i="6"/>
  <c r="E4787" i="6"/>
  <c r="E4788" i="6"/>
  <c r="E4789" i="6"/>
  <c r="E4790" i="6"/>
  <c r="E4791" i="6"/>
  <c r="E4792" i="6"/>
  <c r="E4793" i="6"/>
  <c r="E4794" i="6"/>
  <c r="E4795" i="6"/>
  <c r="E4796" i="6"/>
  <c r="E4797" i="6"/>
  <c r="E4798" i="6"/>
  <c r="E4799" i="6"/>
  <c r="E4800" i="6"/>
  <c r="E4801" i="6"/>
  <c r="E4802" i="6"/>
  <c r="E4803" i="6"/>
  <c r="E4804" i="6"/>
  <c r="E4805" i="6"/>
  <c r="E4806" i="6"/>
  <c r="E4807" i="6"/>
  <c r="E4808" i="6"/>
  <c r="E4809" i="6"/>
  <c r="E4810" i="6"/>
  <c r="E4811" i="6"/>
  <c r="E4812" i="6"/>
  <c r="E4813" i="6"/>
  <c r="E4814" i="6"/>
  <c r="E4815" i="6"/>
  <c r="E4816" i="6"/>
  <c r="E4817" i="6"/>
  <c r="E4818" i="6"/>
  <c r="E4819" i="6"/>
  <c r="E4820" i="6"/>
  <c r="E4821" i="6"/>
  <c r="E4822" i="6"/>
  <c r="E4823" i="6"/>
  <c r="E4824" i="6"/>
  <c r="E4825" i="6"/>
  <c r="E4826" i="6"/>
  <c r="E4827" i="6"/>
  <c r="E4828" i="6"/>
  <c r="E4829" i="6"/>
  <c r="E4830" i="6"/>
  <c r="E4831" i="6"/>
  <c r="E4832" i="6"/>
  <c r="E4833" i="6"/>
  <c r="E4834" i="6"/>
  <c r="E4835" i="6"/>
  <c r="E4836" i="6"/>
  <c r="E4837" i="6"/>
  <c r="E4838" i="6"/>
  <c r="E4839" i="6"/>
  <c r="E4840" i="6"/>
  <c r="E4841" i="6"/>
  <c r="E4842" i="6"/>
  <c r="E4843" i="6"/>
  <c r="E4844" i="6"/>
  <c r="E4845" i="6"/>
  <c r="E4846" i="6"/>
  <c r="E4847" i="6"/>
  <c r="E4848" i="6"/>
  <c r="E4849" i="6"/>
  <c r="E4850" i="6"/>
  <c r="E4851" i="6"/>
  <c r="E4852" i="6"/>
  <c r="E4853" i="6"/>
  <c r="E4854" i="6"/>
  <c r="E4855" i="6"/>
  <c r="E4856" i="6"/>
  <c r="E4857" i="6"/>
  <c r="E4858" i="6"/>
  <c r="E4859" i="6"/>
  <c r="E4860" i="6"/>
  <c r="E4861" i="6"/>
  <c r="E4862" i="6"/>
  <c r="E4863" i="6"/>
  <c r="E4864" i="6"/>
  <c r="E4865" i="6"/>
  <c r="E4866" i="6"/>
  <c r="E4867" i="6"/>
  <c r="E4868" i="6"/>
  <c r="E4869" i="6"/>
  <c r="E4870" i="6"/>
  <c r="E4871" i="6"/>
  <c r="E4872" i="6"/>
  <c r="E4873" i="6"/>
  <c r="E4874" i="6"/>
  <c r="E4875" i="6"/>
  <c r="E4876" i="6"/>
  <c r="E4877" i="6"/>
  <c r="E4878" i="6"/>
  <c r="E4879" i="6"/>
  <c r="E4880" i="6"/>
  <c r="E4881" i="6"/>
  <c r="E4882" i="6"/>
  <c r="E4883" i="6"/>
  <c r="E4884" i="6"/>
  <c r="E4885" i="6"/>
  <c r="E4886" i="6"/>
  <c r="E4887" i="6"/>
  <c r="E4888" i="6"/>
  <c r="E4889" i="6"/>
  <c r="E4890" i="6"/>
  <c r="E4891" i="6"/>
  <c r="E4892" i="6"/>
  <c r="E4893" i="6"/>
  <c r="E4894" i="6"/>
  <c r="E4895" i="6"/>
  <c r="E4896" i="6"/>
  <c r="E4897" i="6"/>
  <c r="E4898" i="6"/>
  <c r="E4899" i="6"/>
  <c r="E4900" i="6"/>
  <c r="E4901" i="6"/>
  <c r="E4902" i="6"/>
  <c r="E4903" i="6"/>
  <c r="E4904" i="6"/>
  <c r="E4905" i="6"/>
  <c r="E4906" i="6"/>
  <c r="E4907" i="6"/>
  <c r="E4908" i="6"/>
  <c r="E4909" i="6"/>
  <c r="E4910" i="6"/>
  <c r="E4911" i="6"/>
  <c r="E4912" i="6"/>
  <c r="E4913" i="6"/>
  <c r="E4914" i="6"/>
  <c r="E4915" i="6"/>
  <c r="E4916" i="6"/>
  <c r="E4917" i="6"/>
  <c r="E4918" i="6"/>
  <c r="E4919" i="6"/>
  <c r="E4920" i="6"/>
  <c r="E4921" i="6"/>
  <c r="E4922" i="6"/>
  <c r="E4923" i="6"/>
  <c r="E4924" i="6"/>
  <c r="E4925" i="6"/>
  <c r="E4926" i="6"/>
  <c r="E4927" i="6"/>
  <c r="E4928" i="6"/>
  <c r="E4929" i="6"/>
  <c r="E4930" i="6"/>
  <c r="E4931" i="6"/>
  <c r="E4932" i="6"/>
  <c r="E4933" i="6"/>
  <c r="E4934" i="6"/>
  <c r="E4935" i="6"/>
  <c r="E4936" i="6"/>
  <c r="E4937" i="6"/>
  <c r="E4938" i="6"/>
  <c r="E4939" i="6"/>
  <c r="E4940" i="6"/>
  <c r="E4941" i="6"/>
  <c r="E4942" i="6"/>
  <c r="E4943" i="6"/>
  <c r="E4944" i="6"/>
  <c r="E4945" i="6"/>
  <c r="E4946" i="6"/>
  <c r="E4947" i="6"/>
  <c r="E4948" i="6"/>
  <c r="E4949" i="6"/>
  <c r="E4950" i="6"/>
  <c r="E4951" i="6"/>
  <c r="E4952" i="6"/>
  <c r="E4953" i="6"/>
  <c r="E4954" i="6"/>
  <c r="E4955" i="6"/>
  <c r="E4956" i="6"/>
  <c r="E4957" i="6"/>
  <c r="E4958" i="6"/>
  <c r="E4959" i="6"/>
  <c r="E4960" i="6"/>
  <c r="E4961" i="6"/>
  <c r="E4962" i="6"/>
  <c r="E4963" i="6"/>
  <c r="E4964" i="6"/>
  <c r="E4965" i="6"/>
  <c r="E4966" i="6"/>
  <c r="E4967" i="6"/>
  <c r="E4968" i="6"/>
  <c r="E4969" i="6"/>
  <c r="E4970" i="6"/>
  <c r="E4971" i="6"/>
  <c r="E4972" i="6"/>
  <c r="E4973" i="6"/>
  <c r="E4974" i="6"/>
  <c r="E4975" i="6"/>
  <c r="E4976" i="6"/>
  <c r="E4977" i="6"/>
  <c r="E4978" i="6"/>
  <c r="E4979" i="6"/>
  <c r="E4980" i="6"/>
  <c r="E4981" i="6"/>
  <c r="E4982" i="6"/>
  <c r="E4983" i="6"/>
  <c r="E4984" i="6"/>
  <c r="E4985" i="6"/>
  <c r="E4986" i="6"/>
  <c r="E4987" i="6"/>
  <c r="E4988" i="6"/>
  <c r="E4989" i="6"/>
  <c r="E4990" i="6"/>
  <c r="E4991" i="6"/>
  <c r="E4992" i="6"/>
  <c r="E4993" i="6"/>
  <c r="E4994" i="6"/>
  <c r="E4995" i="6"/>
  <c r="E4996" i="6"/>
  <c r="E4997" i="6"/>
  <c r="E4998" i="6"/>
  <c r="E4999" i="6"/>
  <c r="E5000" i="6"/>
  <c r="E5001" i="6"/>
  <c r="E5002" i="6"/>
  <c r="E5003" i="6"/>
  <c r="E5004" i="6"/>
  <c r="E5005" i="6"/>
  <c r="E5006" i="6"/>
  <c r="E5007" i="6"/>
  <c r="E5008" i="6"/>
  <c r="E5009" i="6"/>
  <c r="E5010" i="6"/>
  <c r="E5011" i="6"/>
  <c r="E5012" i="6"/>
  <c r="E5013" i="6"/>
  <c r="E5014" i="6"/>
  <c r="E5015" i="6"/>
  <c r="E5016" i="6"/>
  <c r="E5017" i="6"/>
  <c r="E5018" i="6"/>
  <c r="E5019" i="6"/>
  <c r="E5020" i="6"/>
  <c r="E5021" i="6"/>
  <c r="E5022" i="6"/>
  <c r="E5023" i="6"/>
  <c r="E5024" i="6"/>
  <c r="E5025" i="6"/>
  <c r="E5026" i="6"/>
  <c r="E5027" i="6"/>
  <c r="E5028" i="6"/>
  <c r="E5029" i="6"/>
  <c r="E5030" i="6"/>
  <c r="E5031" i="6"/>
  <c r="E5032" i="6"/>
  <c r="E5033" i="6"/>
  <c r="E5034" i="6"/>
  <c r="E5035" i="6"/>
  <c r="E5036" i="6"/>
  <c r="E5037" i="6"/>
  <c r="E5038" i="6"/>
  <c r="E5039" i="6"/>
  <c r="E5040" i="6"/>
  <c r="E5041" i="6"/>
  <c r="E5042" i="6"/>
  <c r="E5043" i="6"/>
  <c r="E5044" i="6"/>
  <c r="E5045" i="6"/>
  <c r="E5046" i="6"/>
  <c r="E5047" i="6"/>
  <c r="E5048" i="6"/>
  <c r="E5049" i="6"/>
  <c r="E5050" i="6"/>
  <c r="E5051" i="6"/>
  <c r="E5052" i="6"/>
  <c r="E5053" i="6"/>
  <c r="E5054" i="6"/>
  <c r="E5055" i="6"/>
  <c r="E5056" i="6"/>
  <c r="E5057" i="6"/>
  <c r="E5058" i="6"/>
  <c r="E5059" i="6"/>
  <c r="E5060" i="6"/>
  <c r="E5061" i="6"/>
  <c r="E5062" i="6"/>
  <c r="E5063" i="6"/>
  <c r="E5064" i="6"/>
  <c r="E5065" i="6"/>
  <c r="E5066" i="6"/>
  <c r="E5067" i="6"/>
  <c r="E5068" i="6"/>
  <c r="E5069" i="6"/>
  <c r="E5070" i="6"/>
  <c r="E5071" i="6"/>
  <c r="E5072" i="6"/>
  <c r="E5073" i="6"/>
  <c r="E5074" i="6"/>
  <c r="E5075" i="6"/>
  <c r="E5076" i="6"/>
  <c r="E5077" i="6"/>
  <c r="E5078" i="6"/>
  <c r="E5079" i="6"/>
  <c r="E5080" i="6"/>
  <c r="E5081" i="6"/>
  <c r="E5082" i="6"/>
  <c r="E5083" i="6"/>
  <c r="E5084" i="6"/>
  <c r="E5085" i="6"/>
  <c r="E5086" i="6"/>
  <c r="E5087" i="6"/>
  <c r="E5088" i="6"/>
  <c r="E5089" i="6"/>
  <c r="E5090" i="6"/>
  <c r="E5091" i="6"/>
  <c r="E5092" i="6"/>
  <c r="E5093" i="6"/>
  <c r="E5094" i="6"/>
  <c r="E5095" i="6"/>
  <c r="E5096" i="6"/>
  <c r="E5097" i="6"/>
  <c r="E5098" i="6"/>
  <c r="E5099" i="6"/>
  <c r="E5100" i="6"/>
  <c r="E5101" i="6"/>
  <c r="E5102" i="6"/>
  <c r="E5103" i="6"/>
  <c r="E5104" i="6"/>
  <c r="E5105" i="6"/>
  <c r="E5106" i="6"/>
  <c r="E5107" i="6"/>
  <c r="E5108" i="6"/>
  <c r="E5109" i="6"/>
  <c r="E5110" i="6"/>
  <c r="E5111" i="6"/>
  <c r="E5112" i="6"/>
  <c r="E5113" i="6"/>
  <c r="E5114" i="6"/>
  <c r="E5115" i="6"/>
  <c r="E5116" i="6"/>
  <c r="E5117" i="6"/>
  <c r="E5118" i="6"/>
  <c r="E5119" i="6"/>
  <c r="E5120" i="6"/>
  <c r="E5121" i="6"/>
  <c r="E5122" i="6"/>
  <c r="E5123" i="6"/>
  <c r="E5124" i="6"/>
  <c r="E5125" i="6"/>
  <c r="E5126" i="6"/>
  <c r="E5127" i="6"/>
  <c r="E5128" i="6"/>
  <c r="E5129" i="6"/>
  <c r="E5130" i="6"/>
  <c r="E5131" i="6"/>
  <c r="E5132" i="6"/>
  <c r="E5133" i="6"/>
  <c r="E5134" i="6"/>
  <c r="E5135" i="6"/>
  <c r="E5136" i="6"/>
  <c r="E5137" i="6"/>
  <c r="E5138" i="6"/>
  <c r="E5139" i="6"/>
  <c r="E5140" i="6"/>
  <c r="E5141" i="6"/>
  <c r="E5142" i="6"/>
  <c r="E5143" i="6"/>
  <c r="E5144" i="6"/>
  <c r="E5145" i="6"/>
  <c r="E5146" i="6"/>
  <c r="E5147" i="6"/>
  <c r="E5148" i="6"/>
  <c r="E5149" i="6"/>
  <c r="E5150" i="6"/>
  <c r="E5151" i="6"/>
  <c r="E5152" i="6"/>
  <c r="E5153" i="6"/>
  <c r="E5154" i="6"/>
  <c r="E5155" i="6"/>
  <c r="E5156" i="6"/>
  <c r="E5157" i="6"/>
  <c r="E5158" i="6"/>
  <c r="E5159" i="6"/>
  <c r="E5160" i="6"/>
  <c r="E5161" i="6"/>
  <c r="E5162" i="6"/>
  <c r="E5163" i="6"/>
  <c r="E5164" i="6"/>
  <c r="E5165" i="6"/>
  <c r="E5166" i="6"/>
  <c r="E5167" i="6"/>
  <c r="E5168" i="6"/>
  <c r="E5169" i="6"/>
  <c r="E5170" i="6"/>
  <c r="E5171" i="6"/>
  <c r="E5172" i="6"/>
  <c r="E5173" i="6"/>
  <c r="E5174" i="6"/>
  <c r="E5175" i="6"/>
  <c r="E5176" i="6"/>
  <c r="E5177" i="6"/>
  <c r="E5178" i="6"/>
  <c r="E5179" i="6"/>
  <c r="E5180" i="6"/>
  <c r="E5181" i="6"/>
  <c r="E5182" i="6"/>
  <c r="E5183" i="6"/>
  <c r="E5184" i="6"/>
  <c r="E5185" i="6"/>
  <c r="E5186" i="6"/>
  <c r="E5187" i="6"/>
  <c r="E5188" i="6"/>
  <c r="E5189" i="6"/>
  <c r="E5190" i="6"/>
  <c r="E5191" i="6"/>
  <c r="E5192" i="6"/>
  <c r="E5193" i="6"/>
  <c r="E5194" i="6"/>
  <c r="E5195" i="6"/>
  <c r="E5196" i="6"/>
  <c r="E5197" i="6"/>
  <c r="E5198" i="6"/>
  <c r="E5199" i="6"/>
  <c r="E5200" i="6"/>
  <c r="E5201" i="6"/>
  <c r="E5202" i="6"/>
  <c r="E5203" i="6"/>
  <c r="E5204" i="6"/>
  <c r="E5205" i="6"/>
  <c r="E5206" i="6"/>
  <c r="E5207" i="6"/>
  <c r="E5208" i="6"/>
  <c r="E5209" i="6"/>
  <c r="E5210" i="6"/>
  <c r="E5211" i="6"/>
  <c r="E5212" i="6"/>
  <c r="E5213" i="6"/>
  <c r="E5214" i="6"/>
  <c r="E5215" i="6"/>
  <c r="E5216" i="6"/>
  <c r="E5217" i="6"/>
  <c r="E5218" i="6"/>
  <c r="E5219" i="6"/>
  <c r="E5220" i="6"/>
  <c r="E5221" i="6"/>
  <c r="E5222" i="6"/>
  <c r="E5223" i="6"/>
  <c r="E5224" i="6"/>
  <c r="E5225" i="6"/>
  <c r="E5226" i="6"/>
  <c r="E5227" i="6"/>
  <c r="E5228" i="6"/>
  <c r="E5229" i="6"/>
  <c r="E5230" i="6"/>
  <c r="E5231" i="6"/>
  <c r="E5232" i="6"/>
  <c r="E5233" i="6"/>
  <c r="E5234" i="6"/>
  <c r="E5235" i="6"/>
  <c r="E5236" i="6"/>
  <c r="E5237" i="6"/>
  <c r="E5238" i="6"/>
  <c r="E5239" i="6"/>
  <c r="E5240" i="6"/>
  <c r="E5241" i="6"/>
  <c r="E5242" i="6"/>
  <c r="E5243" i="6"/>
  <c r="E5244" i="6"/>
  <c r="E5245" i="6"/>
  <c r="E5246" i="6"/>
  <c r="E5247" i="6"/>
  <c r="E5248" i="6"/>
  <c r="E5249" i="6"/>
  <c r="E5250" i="6"/>
  <c r="E5251" i="6"/>
  <c r="E5252" i="6"/>
  <c r="E5253" i="6"/>
  <c r="E5254" i="6"/>
  <c r="E5255" i="6"/>
  <c r="E5256" i="6"/>
  <c r="E5257" i="6"/>
  <c r="E5258" i="6"/>
  <c r="E5259" i="6"/>
  <c r="E5260" i="6"/>
  <c r="E5261" i="6"/>
  <c r="E5262" i="6"/>
  <c r="E5263" i="6"/>
  <c r="E5264" i="6"/>
  <c r="E5265" i="6"/>
  <c r="E5266" i="6"/>
  <c r="E5267" i="6"/>
  <c r="E5268" i="6"/>
  <c r="E5269" i="6"/>
  <c r="E5270" i="6"/>
  <c r="E5271" i="6"/>
  <c r="E5272" i="6"/>
  <c r="E5273" i="6"/>
  <c r="E5274" i="6"/>
  <c r="E5275" i="6"/>
  <c r="E5276" i="6"/>
  <c r="E5277" i="6"/>
  <c r="E5278" i="6"/>
  <c r="E5279" i="6"/>
  <c r="E5280" i="6"/>
  <c r="E5281" i="6"/>
  <c r="E5282" i="6"/>
  <c r="E5283" i="6"/>
  <c r="E5284" i="6"/>
  <c r="E5285" i="6"/>
  <c r="E5286" i="6"/>
  <c r="E5287" i="6"/>
  <c r="E5288" i="6"/>
  <c r="E5289" i="6"/>
  <c r="E5290" i="6"/>
  <c r="E5291" i="6"/>
  <c r="E5292" i="6"/>
  <c r="E5293" i="6"/>
  <c r="E5294" i="6"/>
  <c r="E5295" i="6"/>
  <c r="E5296" i="6"/>
  <c r="E5297" i="6"/>
  <c r="E5298" i="6"/>
  <c r="E5299" i="6"/>
  <c r="E5300" i="6"/>
  <c r="E5301" i="6"/>
  <c r="E5302" i="6"/>
  <c r="E5303" i="6"/>
  <c r="E5304" i="6"/>
  <c r="E5305" i="6"/>
  <c r="E5306" i="6"/>
  <c r="E5307" i="6"/>
  <c r="E5308" i="6"/>
  <c r="E5309" i="6"/>
  <c r="E5310" i="6"/>
  <c r="E5311" i="6"/>
  <c r="E5312" i="6"/>
  <c r="E5313" i="6"/>
  <c r="E5314" i="6"/>
  <c r="E5315" i="6"/>
  <c r="E5316" i="6"/>
  <c r="E5317" i="6"/>
  <c r="E5318" i="6"/>
  <c r="E5319" i="6"/>
  <c r="E5320" i="6"/>
  <c r="E5321" i="6"/>
  <c r="E5322" i="6"/>
  <c r="E2" i="6"/>
  <c r="Q134" i="10" l="1"/>
  <c r="Q245" i="10" s="1"/>
  <c r="R24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SYRYMBET Nuray</author>
  </authors>
  <commentList>
    <comment ref="B27" authorId="0" shapeId="0" xr:uid="{BEDC4328-20E2-4C4E-B1D2-85AC1389242A}">
      <text/>
    </comment>
    <comment ref="B28" authorId="0" shapeId="0" xr:uid="{5B4B70DF-7DF7-42BF-ACEE-967761CCFF6C}">
      <text/>
    </comment>
  </commentList>
</comments>
</file>

<file path=xl/sharedStrings.xml><?xml version="1.0" encoding="utf-8"?>
<sst xmlns="http://schemas.openxmlformats.org/spreadsheetml/2006/main" count="16012" uniqueCount="6012">
  <si>
    <t>CMMF</t>
  </si>
  <si>
    <t>Comm.Code</t>
  </si>
  <si>
    <t>RPP</t>
  </si>
  <si>
    <t>HF80B832</t>
  </si>
  <si>
    <t>Утюги</t>
  </si>
  <si>
    <t>FV9867E0</t>
  </si>
  <si>
    <t>FV9865E0</t>
  </si>
  <si>
    <t>QT2020E0</t>
  </si>
  <si>
    <t>QT1510E0</t>
  </si>
  <si>
    <t>QT1511E0</t>
  </si>
  <si>
    <t>UT2020E0</t>
  </si>
  <si>
    <t>Парогенераторы</t>
  </si>
  <si>
    <t>GV9820E0</t>
  </si>
  <si>
    <t>GV9812E0</t>
  </si>
  <si>
    <t>GV9810E0</t>
  </si>
  <si>
    <t>GV9821E0</t>
  </si>
  <si>
    <t>GV9570E0</t>
  </si>
  <si>
    <t>SV9202E0</t>
  </si>
  <si>
    <t>SV9201E0</t>
  </si>
  <si>
    <t>GV9620E0</t>
  </si>
  <si>
    <t>GV9221E0</t>
  </si>
  <si>
    <t>GV9230E0</t>
  </si>
  <si>
    <t>GV9220E0</t>
  </si>
  <si>
    <t>Уход за домом</t>
  </si>
  <si>
    <t>QF5030F0</t>
  </si>
  <si>
    <t>TW7690EA</t>
  </si>
  <si>
    <t>TW7689EA</t>
  </si>
  <si>
    <t>TW7272EA</t>
  </si>
  <si>
    <t>TW7260EA</t>
  </si>
  <si>
    <t>TW7256EA</t>
  </si>
  <si>
    <t>TW7253EA</t>
  </si>
  <si>
    <t>RG7987WH</t>
  </si>
  <si>
    <t>RG7975WH</t>
  </si>
  <si>
    <t>RG7447WH</t>
  </si>
  <si>
    <t>RG7455WH</t>
  </si>
  <si>
    <t>TY9990WO</t>
  </si>
  <si>
    <t>TY9571WO</t>
  </si>
  <si>
    <t>TY9958WO</t>
  </si>
  <si>
    <t>TY9890WO</t>
  </si>
  <si>
    <t>Грили</t>
  </si>
  <si>
    <t>GC712D34</t>
  </si>
  <si>
    <t>GC722D34</t>
  </si>
  <si>
    <t>GC750D30</t>
  </si>
  <si>
    <t>GC760D30</t>
  </si>
  <si>
    <t>GC724D12</t>
  </si>
  <si>
    <t>Мультиварки</t>
  </si>
  <si>
    <t>CE430A32</t>
  </si>
  <si>
    <t>CE430832</t>
  </si>
  <si>
    <t>RK901832</t>
  </si>
  <si>
    <t>RK901F32</t>
  </si>
  <si>
    <t>CY625D32</t>
  </si>
  <si>
    <t>KD802112</t>
  </si>
  <si>
    <t>DD95HD10</t>
  </si>
  <si>
    <t>DD94J110</t>
  </si>
  <si>
    <t>LM811D10</t>
  </si>
  <si>
    <t>LM811132</t>
  </si>
  <si>
    <t>LM91HD32</t>
  </si>
  <si>
    <t>LM936E10</t>
  </si>
  <si>
    <t>DD95MD10</t>
  </si>
  <si>
    <t>DD944810</t>
  </si>
  <si>
    <t>DD65L832</t>
  </si>
  <si>
    <t>DD95KD10</t>
  </si>
  <si>
    <t>Мясорубки</t>
  </si>
  <si>
    <t>ME858D32</t>
  </si>
  <si>
    <t>ME856D32</t>
  </si>
  <si>
    <t>ME740H30</t>
  </si>
  <si>
    <t>ME683832</t>
  </si>
  <si>
    <t>ME684832</t>
  </si>
  <si>
    <t>ME626132</t>
  </si>
  <si>
    <t>ME688832</t>
  </si>
  <si>
    <t>ME686832</t>
  </si>
  <si>
    <t>Соковыжималки</t>
  </si>
  <si>
    <t>ZU420E10</t>
  </si>
  <si>
    <t>ZU600110</t>
  </si>
  <si>
    <t>Кофемашины</t>
  </si>
  <si>
    <t>EA875E10</t>
  </si>
  <si>
    <t>EA873810</t>
  </si>
  <si>
    <t>EA895N10</t>
  </si>
  <si>
    <t>EA891C10</t>
  </si>
  <si>
    <t>EA894T10</t>
  </si>
  <si>
    <t>EA891810</t>
  </si>
  <si>
    <t>KO851830</t>
  </si>
  <si>
    <t>KO693110</t>
  </si>
  <si>
    <t>G719S674</t>
  </si>
  <si>
    <t>G723S674</t>
  </si>
  <si>
    <t>G720SD74</t>
  </si>
  <si>
    <t>E4926S75</t>
  </si>
  <si>
    <t>G2550472</t>
  </si>
  <si>
    <t>G2550572</t>
  </si>
  <si>
    <t>G2550672</t>
  </si>
  <si>
    <t>G2551972</t>
  </si>
  <si>
    <t>G2557172</t>
  </si>
  <si>
    <t>G2553872</t>
  </si>
  <si>
    <t>Красота</t>
  </si>
  <si>
    <t>CV9820F0</t>
  </si>
  <si>
    <t>SF8210F0</t>
  </si>
  <si>
    <t>CF9620F0</t>
  </si>
  <si>
    <t>CV9240F0</t>
  </si>
  <si>
    <t>CF4310F0</t>
  </si>
  <si>
    <t>TN5243F4</t>
  </si>
  <si>
    <t>TN9440F4</t>
  </si>
  <si>
    <t>TN9461F4</t>
  </si>
  <si>
    <t>TN6201F4</t>
  </si>
  <si>
    <t>LV7030F0</t>
  </si>
  <si>
    <t>LV6020F0</t>
  </si>
  <si>
    <t>LV4020F0</t>
  </si>
  <si>
    <t>LV4010F0</t>
  </si>
  <si>
    <t>LV2020F0</t>
  </si>
  <si>
    <t>LV2010F0</t>
  </si>
  <si>
    <t>EA894810</t>
  </si>
  <si>
    <t>RK908A32</t>
  </si>
  <si>
    <t>GV9721E0</t>
  </si>
  <si>
    <t>GV9720E0</t>
  </si>
  <si>
    <t>GV9712E0</t>
  </si>
  <si>
    <t>GV9710E0</t>
  </si>
  <si>
    <t>GV9711E0</t>
  </si>
  <si>
    <t>EA819N10</t>
  </si>
  <si>
    <t>Кух.машины</t>
  </si>
  <si>
    <t>QA51AD10</t>
  </si>
  <si>
    <t>QA519D32</t>
  </si>
  <si>
    <t>QA613DB1</t>
  </si>
  <si>
    <t>ZU255B10</t>
  </si>
  <si>
    <t>Выполнение  100%</t>
  </si>
  <si>
    <t>% Выполнение  100%</t>
  </si>
  <si>
    <t>% Выполнение ниже 100%</t>
  </si>
  <si>
    <t>KI770D30</t>
  </si>
  <si>
    <t>RG7865WH</t>
  </si>
  <si>
    <t>RG7867WH</t>
  </si>
  <si>
    <t>TY99F1WO</t>
  </si>
  <si>
    <t>Выполнение ниже 100%</t>
  </si>
  <si>
    <t>Кухонный робот Moulinex Companion XL HF-80B832</t>
  </si>
  <si>
    <t>Утюг Tefal FV-9867</t>
  </si>
  <si>
    <t>Гладильная система Tefal QT-2020</t>
  </si>
  <si>
    <t>Гладильная система Tefal QT-1510</t>
  </si>
  <si>
    <t>Гладильная система Tefal UT-2020</t>
  </si>
  <si>
    <t>Гладильная система Tefal GV-9820</t>
  </si>
  <si>
    <t>Гладильная система Tefal GV-9812</t>
  </si>
  <si>
    <t>Гладильная система Tefal GV-9810</t>
  </si>
  <si>
    <t>Гладильная система Tefal GV-9821</t>
  </si>
  <si>
    <t>Паровой шкаф Tefal YT-3040E1</t>
  </si>
  <si>
    <t>Гладильная система Tefal GV-9720</t>
  </si>
  <si>
    <t>Гладильная система Tefal SV-9202</t>
  </si>
  <si>
    <t>Гладильная система Tefal GV-9230</t>
  </si>
  <si>
    <t>Гладильная система Tefal GV-9565</t>
  </si>
  <si>
    <t>Пылесос Tefal TW-7690EA</t>
  </si>
  <si>
    <t>Пылесос Tefal TW-7272EA</t>
  </si>
  <si>
    <t>Пылесос Tefal TW-7260EA</t>
  </si>
  <si>
    <t>Робот пылесос Tefal RG-7975WH</t>
  </si>
  <si>
    <t>Робот пылесос Tefal RG-7447WH</t>
  </si>
  <si>
    <t>Робот пылесос Tefal RG-7455WH</t>
  </si>
  <si>
    <t>Вертикальный моющий пылесос Tefal TY-9990WO</t>
  </si>
  <si>
    <t>Вертикальный пылесос Tefal TY-9571WO</t>
  </si>
  <si>
    <t>Вертикальный пылесос Tefal TY-99F1</t>
  </si>
  <si>
    <t>Вертикальный пылесос Tefal TY-9958WO</t>
  </si>
  <si>
    <t>Гриль Tefal GC-712D34</t>
  </si>
  <si>
    <t>Гриль Tefal GC-706D34</t>
  </si>
  <si>
    <t>Гриль Tefal GC-722D34</t>
  </si>
  <si>
    <t>Гриль Tefal GC-750D30</t>
  </si>
  <si>
    <t>Гриль Tefal Optigrill Elite XL GC-760D30</t>
  </si>
  <si>
    <t>Гриль Tefal GC-724D12</t>
  </si>
  <si>
    <t>Мультиварка-скороварка Moulinex CE-430A32</t>
  </si>
  <si>
    <t>Мультиварка Tefal RK-901832</t>
  </si>
  <si>
    <t>Мультиварка Tefal RK-908A32</t>
  </si>
  <si>
    <t>Мультиварка-скороварка Tefal CY-625D32</t>
  </si>
  <si>
    <t>Мультикондитер Tefal KD-802112</t>
  </si>
  <si>
    <t>Блендер погружной Moulinex DD-95HD10</t>
  </si>
  <si>
    <t>Блендер погружной Moulinex DD-94J110</t>
  </si>
  <si>
    <t>Блендер стационарный Moulinex LM-811</t>
  </si>
  <si>
    <t>Блендер стационарный Moulinex LM-91HD32</t>
  </si>
  <si>
    <t>Блендер стационарный Moulinex LM-936</t>
  </si>
  <si>
    <t>Блендер погружной Moulinex DD-95MD10</t>
  </si>
  <si>
    <t>Блендер погружной Moulinex DD-944810</t>
  </si>
  <si>
    <t>Блендер погружной Moulinex DD-65L</t>
  </si>
  <si>
    <t>Блендер погружной Moulinex DD-95KD10</t>
  </si>
  <si>
    <t>Мясорубка Moulinex ME-858D32</t>
  </si>
  <si>
    <t>Мясорубка Moulinex ME-856</t>
  </si>
  <si>
    <t>Мясорубка Moulinex ME-740</t>
  </si>
  <si>
    <t>Мясорубка Moulinex ME-626</t>
  </si>
  <si>
    <t>Мясорубка Moulinex ME-688832</t>
  </si>
  <si>
    <t>Соковыжималка прессовая Moulinex ZU-420E10</t>
  </si>
  <si>
    <t>Соковыжималка прессовая Moulinex ZU-600110</t>
  </si>
  <si>
    <t>Кофемашина Krups Intuition Preference+ EA-875E10</t>
  </si>
  <si>
    <t>Кофемашина Krups EA-819N10</t>
  </si>
  <si>
    <t>Кофемашина Krups EA-894T10</t>
  </si>
  <si>
    <t>Кофемашина Krups EA-8918</t>
  </si>
  <si>
    <t>Кухонная машина Moulinex QA-51A</t>
  </si>
  <si>
    <t>Кухонная машина Moulinex QA-519</t>
  </si>
  <si>
    <t>Чайник Tefal KO-851</t>
  </si>
  <si>
    <t>Чайник Tefal KO-693110</t>
  </si>
  <si>
    <t>Чайник Tefal KI-770</t>
  </si>
  <si>
    <t>Набор посуды 6 пр. Duetto+ Tefal G719S674</t>
  </si>
  <si>
    <t>Набор посуды 6 пр. Cook&amp;Clip Tefal G723S674</t>
  </si>
  <si>
    <t>Набор посуды 13 пр. Opti'Space Tefal G720SD74</t>
  </si>
  <si>
    <t>Сковорода 24см Unlimited Tefal G2550472</t>
  </si>
  <si>
    <t>Сковорода 26см Unlimited Tefal G2550572</t>
  </si>
  <si>
    <t>Сковорода 28см Unlimited Tefal G2550672</t>
  </si>
  <si>
    <t>Сковорода ВОК 28см Unlimited Tefal G2551972</t>
  </si>
  <si>
    <t>Сковорода с 2-мя ручками 26см ст/кр Unlimited Tefal G2557172</t>
  </si>
  <si>
    <t>Сковорода для блинов 25см Unlimited Tefal G2553872</t>
  </si>
  <si>
    <t>Фен Rowenta CV-9820F0</t>
  </si>
  <si>
    <t>Утюг Rowenta DW-8220</t>
  </si>
  <si>
    <t>Выпрямитель Rowenta SF-8210</t>
  </si>
  <si>
    <t>Фен-щетка Rowenta CF-9620</t>
  </si>
  <si>
    <t>Фен Rowenta CV-9240</t>
  </si>
  <si>
    <t>Выпрямитель Rowenta SF-8230</t>
  </si>
  <si>
    <t>Стайлер Rowenta CF-4310</t>
  </si>
  <si>
    <t>Машинка для стрижки волос Rowenta TN-5243</t>
  </si>
  <si>
    <t>Мультитриммер Rowenta TN-9461</t>
  </si>
  <si>
    <t>Антивозрастной массажер для лица и кожи вокруг глаз Rowenta Lift Contour LV-7030</t>
  </si>
  <si>
    <t>Массажер для ухода за кожей лица Rowenta Youth Facial Massager LV-6020</t>
  </si>
  <si>
    <t>Ультразвуковая щетка для улучшения цвета лица Rowenta LV-4020</t>
  </si>
  <si>
    <t>Ультразвуковая щетка для очищения кожи лица Rowenta LV-4010</t>
  </si>
  <si>
    <t>Массажер для коррекции кожи вокруг глаз Rowenta LV-2020</t>
  </si>
  <si>
    <t>Массажер для кожи вокруг глаз Rowenta LV-2010</t>
  </si>
  <si>
    <t>YT3040E1</t>
  </si>
  <si>
    <t>CV9920F0</t>
  </si>
  <si>
    <t>SF8230F0</t>
  </si>
  <si>
    <t>Технодом</t>
  </si>
  <si>
    <t xml:space="preserve">Сулпак </t>
  </si>
  <si>
    <t xml:space="preserve">Мечта </t>
  </si>
  <si>
    <t>Эврика</t>
  </si>
  <si>
    <t>Кухонный робот MOULINEX Companion XL HF 80B832</t>
  </si>
  <si>
    <t>Утюг TEFAL FV 9867</t>
  </si>
  <si>
    <t>Гладильная система TEFAL 3 в 1 IXEO Power QT 2020E0</t>
  </si>
  <si>
    <t>Гладильная система TEFAL QT 1510E0</t>
  </si>
  <si>
    <t>Гладильная система TEFAL QT 1511E0</t>
  </si>
  <si>
    <t>Мобильная гладильная система TEFAL Cube UT 2020E0</t>
  </si>
  <si>
    <t>Гладильный паровой шкаф TEFAL YT 3040E1</t>
  </si>
  <si>
    <t>Гладильная система TEFAL SV 9202E0</t>
  </si>
  <si>
    <t>Гладильная система TEFAL GV 9220E0</t>
  </si>
  <si>
    <t>Гладильная система TEFAL GV 9565E0</t>
  </si>
  <si>
    <t>Гладильная система TEFAL GV 9566E0</t>
  </si>
  <si>
    <t>Пылесос TEFAL Silence Force TW 7690EA</t>
  </si>
  <si>
    <t>Пылесос TEFAL Silence Force TW 7689EA</t>
  </si>
  <si>
    <t>Пылесос TEFAL Silence Force TW 7272EA</t>
  </si>
  <si>
    <t>Пылесос TEFAL Silence Force  TW 7256EA</t>
  </si>
  <si>
    <t>Робот-пылесос TEFAL RG 7975 WH</t>
  </si>
  <si>
    <t>Робот-пылесос TEFAL RG 7447 WH</t>
  </si>
  <si>
    <t>Вертикальный пылесос TEFAL TY 9990WO</t>
  </si>
  <si>
    <t>Вертикальный пылесос TEFAL TY 9571WO</t>
  </si>
  <si>
    <t>Вертикальный пылесос TEFAL TY 99F1WO</t>
  </si>
  <si>
    <t>Вертикальный пылесос TEFAL TY 9958 WO</t>
  </si>
  <si>
    <t>Настольный гриль TEFAL GC 712D34</t>
  </si>
  <si>
    <t>Настольный гриль TEFAL GC 722D34</t>
  </si>
  <si>
    <t>Настольный гриль TEFAL GC 750D30</t>
  </si>
  <si>
    <t>Настольный гриль TEFAL GC 760D30</t>
  </si>
  <si>
    <t>Настольный гриль TEFAL GC 724D12</t>
  </si>
  <si>
    <t>Мультиварка-скороварка MOULINEX CE 430832</t>
  </si>
  <si>
    <t>Мультиварка TEFAL RK 908A32</t>
  </si>
  <si>
    <t>Мультиварка-скороварка TEFAL CY 625D32</t>
  </si>
  <si>
    <t>Прибор для выпечки TEFAL KD 802112</t>
  </si>
  <si>
    <t>Ручной блендер MOULINEX DD 95HD10</t>
  </si>
  <si>
    <t>Стационарный блендер MOULINEX LM 811D10</t>
  </si>
  <si>
    <t>Стационарный блендер MOULINEX LM 91HD32</t>
  </si>
  <si>
    <t>Ручной блендер MOULINEX DD 95MD10</t>
  </si>
  <si>
    <t>Ручной блендер MOULINEX DD 944810</t>
  </si>
  <si>
    <t>Ручной блендер MOULINEX DD 65L832</t>
  </si>
  <si>
    <t>Ручной блендер MOULINEX DD 95KD10</t>
  </si>
  <si>
    <t>Мясорубка MOULINEX ME 740H30</t>
  </si>
  <si>
    <t>Мясорубка MOULINEX ME 683832</t>
  </si>
  <si>
    <t>Мясорубка MOULINEX ME 688832</t>
  </si>
  <si>
    <t>Мясорубка MOULINEX ME 686832</t>
  </si>
  <si>
    <t>Соковыжималка MOULINEX ZU 420E10</t>
  </si>
  <si>
    <t>Соковыжималка MOULINEX ZU 600110</t>
  </si>
  <si>
    <t>Кофемашина KRUPS EA 875E10</t>
  </si>
  <si>
    <t>Электрочайник TEFAL KI 770D30</t>
  </si>
  <si>
    <t>Набор посуды TEFAL G723S674 (6 пр) COOK&amp;CLIP</t>
  </si>
  <si>
    <t>Набор посуды TEFAL G720SD74 (13 пр)</t>
  </si>
  <si>
    <t>Сковорода TEFAL G2550472 24 см Unlimited</t>
  </si>
  <si>
    <t>Сковорода TEFAL G2550572 26 см Unlimited</t>
  </si>
  <si>
    <t>Сковорода TEFAL G2550672 28 см Unlimited</t>
  </si>
  <si>
    <t>Сковорода ВОК TEFAL G2551972 28 см Unlimited</t>
  </si>
  <si>
    <t>Низкая кастрюля TEFAL G2557172 26 см с крышкой</t>
  </si>
  <si>
    <t>Блинная сковорода TEFAL G2553872 25 см Unlimited</t>
  </si>
  <si>
    <t>Фен ROWENTA CV 9820 F0</t>
  </si>
  <si>
    <t>Прибор для распрямления волос ROWENTA SF 8210 F0</t>
  </si>
  <si>
    <t>Фен плойка ROWENTA CF 9620 F0</t>
  </si>
  <si>
    <t>Плойка ROWENTA CF 4310 F0</t>
  </si>
  <si>
    <t>Триммер для бороды ROWENTA TN 6201F4</t>
  </si>
  <si>
    <t>Косметический прибор ROWENTA Массажер для лица LV 7030 F0</t>
  </si>
  <si>
    <t>Косметический прибор ROWENTA Массажер для лица LV 6020 F0</t>
  </si>
  <si>
    <t>Косметический прибор ROWENTA Щётка для очистки лица LV 4020 F0</t>
  </si>
  <si>
    <t>Косметический прибор ROWENTA Щётка для очистки лица LV 4010 F0</t>
  </si>
  <si>
    <t>Кухонный робот Moulinex / Companion XL HF80B832 с функцией нагрева</t>
  </si>
  <si>
    <t>FV9867/утюги Tefal</t>
  </si>
  <si>
    <t>Гладильная система Tefal / IXEO POWER QT2020E0</t>
  </si>
  <si>
    <t>Паровая гладильная система Tefal / QT1510E0</t>
  </si>
  <si>
    <t>Гладильная система Tefal / Cube by Ixeo UT2020E0</t>
  </si>
  <si>
    <t>Парогенератор TEFAL / PRO EXPRESS VISION GV9820E0</t>
  </si>
  <si>
    <t>Парогенератор TEFAL / PRO EXPRESS VISION GV9810E0</t>
  </si>
  <si>
    <t>Паровой шкаф для ухода за одеждой TEFAL / CARE FOR YOU YT3040E1</t>
  </si>
  <si>
    <t>Парогенератор Tefal / Pro Express Ultimate II GV9721E0</t>
  </si>
  <si>
    <t>Парогенератор Tefal/ GV9570</t>
  </si>
  <si>
    <t>Парогенератор Tefal / Express Protect SV9202E0</t>
  </si>
  <si>
    <t>Парогенератор Tefal / GV9221 Pro Express Protect</t>
  </si>
  <si>
    <t>Парогенератор Tefal / GV9565E0 Pro Express Ultimate</t>
  </si>
  <si>
    <t>Пылесос  TEFAL / TW7690EA</t>
  </si>
  <si>
    <t>Пылесос  TEFAL / TW7272EA</t>
  </si>
  <si>
    <t>Пылесос Tefal / Silence Force Cyclonic TW7256EA</t>
  </si>
  <si>
    <t>Пылесос  TEFAL / TW7253EA</t>
  </si>
  <si>
    <t>Робот пылесос Tefal / RG7975WH</t>
  </si>
  <si>
    <t>Робот-пылесос / RG7867WH</t>
  </si>
  <si>
    <t>Робот-пылесос TEFAL / RG7447WH</t>
  </si>
  <si>
    <t>Робот-пылесос TEFAL / RG7455WH</t>
  </si>
  <si>
    <t>Пылесос Tefal / X-FORCE FLEX 15.6  TY99F1WO</t>
  </si>
  <si>
    <t>Вертикальный пылесос Tefal / TY9958WO</t>
  </si>
  <si>
    <t>Гриль Tefal/ GC712D34</t>
  </si>
  <si>
    <t>Гриль Tefal/ GC722</t>
  </si>
  <si>
    <t>Гриль Tefal / OPTIGRILL ELITE GC750D30</t>
  </si>
  <si>
    <t>Гриль Tefal/ Optigrill Ellite XL GC760D30</t>
  </si>
  <si>
    <t>Электрогриль Tefal Optigrill+ XL / GC724D12</t>
  </si>
  <si>
    <t>Мультиварка-скороварка Moulinex / CE430832</t>
  </si>
  <si>
    <t>Мультиварка Tefal/ RK901F32</t>
  </si>
  <si>
    <t>Мультикондитер CAKE FACTORY Tefal / KD802</t>
  </si>
  <si>
    <t>Cтационарный блендер Moulinex / LM811132</t>
  </si>
  <si>
    <t>Блендер погружной Moulinex / Infiny Force Pro / DD95MD10</t>
  </si>
  <si>
    <t>Погружной блендер Moulinex / INFINY FORCE V2 DD944810</t>
  </si>
  <si>
    <t>Блендер погружной Moulinex / INFINY FORCE DD95KD10</t>
  </si>
  <si>
    <t>ME858D32/мясорубка Moulinex</t>
  </si>
  <si>
    <t>MЕ740Н30/мясорубка Moulinex</t>
  </si>
  <si>
    <t>ME684832/Мясорубка Moulinex</t>
  </si>
  <si>
    <t>Соковыжималка шнековая Moulinex / ZU420E</t>
  </si>
  <si>
    <t>Соковыжималка Moulinex / ZU255B10</t>
  </si>
  <si>
    <t>Соковыжималка шнековая Moulinex / ZU600</t>
  </si>
  <si>
    <t>АВТОМАТИЧЕСКАЯ КОФЕМАШИНА KRUPS / EA819N10</t>
  </si>
  <si>
    <t>Кофемашина KRUPS / EA895N10</t>
  </si>
  <si>
    <t>EA891C10/кофемашина Krups</t>
  </si>
  <si>
    <t>QA51AD10 / Кухонная Машина Moulinex</t>
  </si>
  <si>
    <t>QA613/кухонная машина Moulinex</t>
  </si>
  <si>
    <t>Чайник Tefal / KO851830</t>
  </si>
  <si>
    <t>Чайник Tefal / KO693110 Sense</t>
  </si>
  <si>
    <t>Чайник Tefal / KI770D30</t>
  </si>
  <si>
    <t>Набор Tefal Cook&amp;Clip / G723S674</t>
  </si>
  <si>
    <t>Набор посуды TEFAL / OPTI'SPACE 13 предметов G720SD74</t>
  </si>
  <si>
    <t>Сковорода Tefal Unlimited 24 см / G2550472</t>
  </si>
  <si>
    <t>Сковорода Tefal Unlimited 26 см / G2550572</t>
  </si>
  <si>
    <t>Сковорода Tefal Unlimited 28 см / G2550672</t>
  </si>
  <si>
    <t>Сковорода ВОК Tefal Unlimited 28 см / G2551972</t>
  </si>
  <si>
    <t>Мультифункциональная cковорода Tefal Unlimited 26 см с крышкой/ G2557172</t>
  </si>
  <si>
    <t>Сковорода блинная Tefal Unlimited 25 см / G2553872</t>
  </si>
  <si>
    <t>Фен Rowenta / CV9820</t>
  </si>
  <si>
    <t>Выпрямитель для волос Rowenta / SF8210</t>
  </si>
  <si>
    <t>Фен-щетка Rowenta / CF9620</t>
  </si>
  <si>
    <t>Фен Rowenta / CV9240F0 Ultimate Experience</t>
  </si>
  <si>
    <t>Выпрямитель Rowenta / SF8230F0</t>
  </si>
  <si>
    <t>Стайлер Rowenta / CF4310F0 Ultimate Experience Air Care</t>
  </si>
  <si>
    <t>Триммер Rowenta / TN9440F4 STYLE Selectium</t>
  </si>
  <si>
    <t>Триммер Rowenta / TN6201F4 XPERT Forever Sharp Ultimate</t>
  </si>
  <si>
    <t>Массажер для лица и кожи вокруг глаз Rowenta / LV7030F0</t>
  </si>
  <si>
    <t>Массажер для ухода за кожей лица Rowenta / LV6020F0</t>
  </si>
  <si>
    <t>Ультразвуковая щетка для лица Rowenta / LV4020F0</t>
  </si>
  <si>
    <t>Ультразвуковая щетка для лица Rowenta / LV4010F0</t>
  </si>
  <si>
    <t>Антивозрастной массажер для кожи вокруг глаз Rowenta / LV2020F0</t>
  </si>
  <si>
    <t>TN6040F4</t>
  </si>
  <si>
    <t>TN6200F4</t>
  </si>
  <si>
    <t>CF4711F0</t>
  </si>
  <si>
    <t>CF3461F0</t>
  </si>
  <si>
    <t>CF4230F0</t>
  </si>
  <si>
    <t>CF961LF0</t>
  </si>
  <si>
    <t>CF9720F0</t>
  </si>
  <si>
    <t>RG7375WH</t>
  </si>
  <si>
    <t>RG7387WH</t>
  </si>
  <si>
    <t>JU610D10</t>
  </si>
  <si>
    <t>QA310110</t>
  </si>
  <si>
    <t>Соковыжималка Moulinex JU-610D10</t>
  </si>
  <si>
    <t>Мультитриммер Rowenta TN-6040</t>
  </si>
  <si>
    <t>Мультитриммер Rowenta TN-6200</t>
  </si>
  <si>
    <t>Стайлер Rowenta CF-4711</t>
  </si>
  <si>
    <t>Стайлер Rowenta CF-4230</t>
  </si>
  <si>
    <t>Фен-щетка Rowenta CF-961L</t>
  </si>
  <si>
    <t>Фен-щетка Rowenta CF-9720</t>
  </si>
  <si>
    <t>TW7233EA</t>
  </si>
  <si>
    <t>TY98A9WO</t>
  </si>
  <si>
    <t>TY98C0WO</t>
  </si>
  <si>
    <t>EA891D10</t>
  </si>
  <si>
    <t>Кофемашина KRUPS EA 891810</t>
  </si>
  <si>
    <t>Кофемашина KRUPS EA 891D10</t>
  </si>
  <si>
    <t>Кофемашина KRUPS EA 894810</t>
  </si>
  <si>
    <t>Кофемашина KRUPS / EA873810</t>
  </si>
  <si>
    <t>Кофемашина Krups Intuition Preference EA-873810</t>
  </si>
  <si>
    <t>Кофемашина Krups EA-891C10</t>
  </si>
  <si>
    <t>Кофемашина Krups EA-894810</t>
  </si>
  <si>
    <t>Кофемашина Krups EA-891D10</t>
  </si>
  <si>
    <t>E2434055</t>
  </si>
  <si>
    <t>G2813872</t>
  </si>
  <si>
    <t>G2810472</t>
  </si>
  <si>
    <t>G2818202</t>
  </si>
  <si>
    <t>DG9226F0</t>
  </si>
  <si>
    <t>DG9248F0</t>
  </si>
  <si>
    <t>TY99C0WO</t>
  </si>
  <si>
    <t>TY99A8WO</t>
  </si>
  <si>
    <t>RG8597WH</t>
  </si>
  <si>
    <t>RG8595WH</t>
  </si>
  <si>
    <t>RG8577WH</t>
  </si>
  <si>
    <t>RG8575WH</t>
  </si>
  <si>
    <t>IQ7777EA</t>
  </si>
  <si>
    <t>IQ7767EA</t>
  </si>
  <si>
    <t>GC714834</t>
  </si>
  <si>
    <t>QA151810</t>
  </si>
  <si>
    <t>G744SB74</t>
  </si>
  <si>
    <t>G713SB45</t>
  </si>
  <si>
    <t>E300SB74</t>
  </si>
  <si>
    <t>C973SB34</t>
  </si>
  <si>
    <t>QA319810</t>
  </si>
  <si>
    <t>QA317510</t>
  </si>
  <si>
    <t>Количество</t>
  </si>
  <si>
    <t>Бонус при не выполнении</t>
  </si>
  <si>
    <t>Бонус при 100%</t>
  </si>
  <si>
    <t>FV6813E0</t>
  </si>
  <si>
    <t>FV6830E0</t>
  </si>
  <si>
    <t>FV6840E0</t>
  </si>
  <si>
    <t>IT8460E0</t>
  </si>
  <si>
    <t>DJ905832</t>
  </si>
  <si>
    <t>MK622832</t>
  </si>
  <si>
    <t>FV5697E1</t>
  </si>
  <si>
    <t>CE22A932</t>
  </si>
  <si>
    <t>TW4853EA</t>
  </si>
  <si>
    <t>ME478138</t>
  </si>
  <si>
    <t>G713S974</t>
  </si>
  <si>
    <t>LM81G810</t>
  </si>
  <si>
    <t>E2156975</t>
  </si>
  <si>
    <t>G2669082</t>
  </si>
  <si>
    <t>TN9140F4</t>
  </si>
  <si>
    <t>SF7460F0</t>
  </si>
  <si>
    <t>FV5770E0</t>
  </si>
  <si>
    <t>RK812832</t>
  </si>
  <si>
    <t>G2559072</t>
  </si>
  <si>
    <t>E308SB74</t>
  </si>
  <si>
    <t>C9736C74</t>
  </si>
  <si>
    <t>DD65J810</t>
  </si>
  <si>
    <t>TW2943EA</t>
  </si>
  <si>
    <t>TW2971EA</t>
  </si>
  <si>
    <t>TW2947EA</t>
  </si>
  <si>
    <t>K2213614</t>
  </si>
  <si>
    <t>K2213514</t>
  </si>
  <si>
    <t>K2213914</t>
  </si>
  <si>
    <t>1207916340</t>
  </si>
  <si>
    <t>E2294074</t>
  </si>
  <si>
    <t>GF3039WO</t>
  </si>
  <si>
    <t>TY20C4WO</t>
  </si>
  <si>
    <t>TY2079WO</t>
  </si>
  <si>
    <t>CF634LF0</t>
  </si>
  <si>
    <t>CF635LF0</t>
  </si>
  <si>
    <t>G2811972</t>
  </si>
  <si>
    <t>G2810672</t>
  </si>
  <si>
    <t>Technodom</t>
  </si>
  <si>
    <t>Sulpak</t>
  </si>
  <si>
    <t>Mechta</t>
  </si>
  <si>
    <t>Evrika</t>
  </si>
  <si>
    <t>Customer</t>
  </si>
  <si>
    <t>ComCode</t>
  </si>
  <si>
    <t>SKU (название клиента)</t>
  </si>
  <si>
    <t>DZ-5030 =D 4(D 1) /утюг Rowenta</t>
  </si>
  <si>
    <t>FV 3330 =  /утюг Tefal</t>
  </si>
  <si>
    <t>2744712/толкушка Tefal</t>
  </si>
  <si>
    <t>DA1510F1</t>
  </si>
  <si>
    <t>Дорожный утюг Rowenta / DA-1510</t>
  </si>
  <si>
    <t>VC100630</t>
  </si>
  <si>
    <t>Пароварка Tefal / VC 1006</t>
  </si>
  <si>
    <t>Лопатка угловая Tefal / 2743712</t>
  </si>
  <si>
    <t>2744112</t>
  </si>
  <si>
    <t>Лопатка длинная Tefal / 2744112</t>
  </si>
  <si>
    <t>2744312</t>
  </si>
  <si>
    <t>Половник Tefal / 2744312</t>
  </si>
  <si>
    <t>2744512</t>
  </si>
  <si>
    <t>Шумовка Tefal / 2744512</t>
  </si>
  <si>
    <t>04090128</t>
  </si>
  <si>
    <t>Крышка Tefal / 28см 040 90 128</t>
  </si>
  <si>
    <t>04090126</t>
  </si>
  <si>
    <t>Крышка Tefal / 26 см 04090126</t>
  </si>
  <si>
    <t>04090124</t>
  </si>
  <si>
    <t>Крышка Tefal / 24 см. 04090124</t>
  </si>
  <si>
    <t>04090122</t>
  </si>
  <si>
    <t>Крышка Tefal / 22 см 04090122</t>
  </si>
  <si>
    <t>EP1030F5</t>
  </si>
  <si>
    <t>EP-1030 / эпилятор Rowenta</t>
  </si>
  <si>
    <t>SF4412D4</t>
  </si>
  <si>
    <t>Выпрямитель Rowenta/SF-4412</t>
  </si>
  <si>
    <t>KP100610</t>
  </si>
  <si>
    <t>KP100610/кофемашина Krups</t>
  </si>
  <si>
    <t>CV8642D0</t>
  </si>
  <si>
    <t>CV8642/фен Rowenta</t>
  </si>
  <si>
    <t>CF3345F0</t>
  </si>
  <si>
    <t>Щипцы Rowenta/CF3345</t>
  </si>
  <si>
    <t>SM154135</t>
  </si>
  <si>
    <t>Сендвичница Moulinex / SM154135</t>
  </si>
  <si>
    <t>BF9251</t>
  </si>
  <si>
    <t>Чайник Tefal / BF9251</t>
  </si>
  <si>
    <t>BF925232</t>
  </si>
  <si>
    <t>Чайник Tefal / BF925232</t>
  </si>
  <si>
    <t>DJ9058=/мультирезка Moulinex</t>
  </si>
  <si>
    <t>CF2112F0</t>
  </si>
  <si>
    <t>Щипцы  Rowenta/CF-2112</t>
  </si>
  <si>
    <t>CF4132D0</t>
  </si>
  <si>
    <t>Мультистайлер Rowenta/CF 4132</t>
  </si>
  <si>
    <t>CV4731D0</t>
  </si>
  <si>
    <t>CV-4731=/фен Rowenta</t>
  </si>
  <si>
    <t>BC5000V2</t>
  </si>
  <si>
    <t>Кухонные весы Tefal / BC5000 Optiss</t>
  </si>
  <si>
    <t>SF3132D0</t>
  </si>
  <si>
    <t>Выпрямитель Rowenta/SF-3132DO</t>
  </si>
  <si>
    <t>EP5660D1</t>
  </si>
  <si>
    <t>EP5660/эпилятор Rowenta</t>
  </si>
  <si>
    <t>KO511030</t>
  </si>
  <si>
    <t>KO511030/чайник Tefal</t>
  </si>
  <si>
    <t>JU385H30</t>
  </si>
  <si>
    <t>Соковыжималка центрифужная Moulinex / JU385</t>
  </si>
  <si>
    <t>A702S685</t>
  </si>
  <si>
    <t>Набор посуды Tefal / 6 предметов INTUITION A702S674 (A702S685)</t>
  </si>
  <si>
    <t>CF8242F0</t>
  </si>
  <si>
    <t>Фен-щетка Rowenta/CF8242F0</t>
  </si>
  <si>
    <t>CF8252F0</t>
  </si>
  <si>
    <t>Фен-щетка Rowenta / CF8252F0</t>
  </si>
  <si>
    <t xml:space="preserve">CF3610D0          </t>
  </si>
  <si>
    <t>CF3610 So Curls / стайлер Rowenta</t>
  </si>
  <si>
    <t>ADR901</t>
  </si>
  <si>
    <t>ADR 901/нож для мясорубки Moulinex и Tefal</t>
  </si>
  <si>
    <t>VC130130</t>
  </si>
  <si>
    <t>Пароварка Tefal / VC130130</t>
  </si>
  <si>
    <t>TT110232</t>
  </si>
  <si>
    <t>TT110232/Тостер Moulinex</t>
  </si>
  <si>
    <t>PP5150V1</t>
  </si>
  <si>
    <t>Весы напольные Tefal/PP5150V1(0)</t>
  </si>
  <si>
    <t>ME442139</t>
  </si>
  <si>
    <t>ME442139/мясорубка Moulinex</t>
  </si>
  <si>
    <t>ME640832</t>
  </si>
  <si>
    <t>ME640832/мясорубка Moulinex</t>
  </si>
  <si>
    <t>MK707832</t>
  </si>
  <si>
    <t>Мультиварка Moulinex / MK707832</t>
  </si>
  <si>
    <t>CF4112F0</t>
  </si>
  <si>
    <t>Мультистайлер Rowenta/CF4112</t>
  </si>
  <si>
    <t>C6200472</t>
  </si>
  <si>
    <t>Сковорода Tefal / 24см Expertise C6200472</t>
  </si>
  <si>
    <t>C6200672</t>
  </si>
  <si>
    <t>Сковорода Tefal / 28см Expertise C6200672</t>
  </si>
  <si>
    <t>C6203872</t>
  </si>
  <si>
    <t>Сковорода для блинов Tefal / 25см Expertise  C6203872</t>
  </si>
  <si>
    <t>C6204072</t>
  </si>
  <si>
    <t>Сковорода гриль Tefal / 26см C6204072 Expertise</t>
  </si>
  <si>
    <t>C6201972</t>
  </si>
  <si>
    <t>Сковорода ВОК Tefal / 28см Expertise C6201972</t>
  </si>
  <si>
    <t>Мультиварка Tefal / RK812832</t>
  </si>
  <si>
    <t>K1532014</t>
  </si>
  <si>
    <t>K1532014/картофелечистка Tefal</t>
  </si>
  <si>
    <t>ME456139</t>
  </si>
  <si>
    <t>ME456139/мясорубка Moulinex</t>
  </si>
  <si>
    <t>TN1400F1</t>
  </si>
  <si>
    <t>Машинка для стрижки Rowenta/TN1400FO(F1)</t>
  </si>
  <si>
    <t>ME105830</t>
  </si>
  <si>
    <t>ME105830/мясорубка Moulinex</t>
  </si>
  <si>
    <t>EP5620D1</t>
  </si>
  <si>
    <t>Эпилятор Rowenta/EP5620</t>
  </si>
  <si>
    <t>EP5720F1</t>
  </si>
  <si>
    <t>Эпилятор Rowenta/EP5720</t>
  </si>
  <si>
    <t>DJ755G32</t>
  </si>
  <si>
    <t>DJ755G32/мультирезка электрическая Moulinex</t>
  </si>
  <si>
    <t>OW210130</t>
  </si>
  <si>
    <t>Хлебопечь Moulinex/ OW210130</t>
  </si>
  <si>
    <t>TN1600F0</t>
  </si>
  <si>
    <t>Машинка для стрижки Rowenta/TN1600</t>
  </si>
  <si>
    <t>SF4522D0</t>
  </si>
  <si>
    <t>Выпрямитель Rowenta/SF4522</t>
  </si>
  <si>
    <t>RK816E32</t>
  </si>
  <si>
    <t>Мультиварка Tefal/ RK816E32</t>
  </si>
  <si>
    <t>KO260830</t>
  </si>
  <si>
    <t>Чайник Tefal / KO260830</t>
  </si>
  <si>
    <t>KO270130</t>
  </si>
  <si>
    <t>Чайник Tefal / KO270130</t>
  </si>
  <si>
    <t>KO150130</t>
  </si>
  <si>
    <t>Чайник Tefal / KO150130</t>
  </si>
  <si>
    <t>HD5120F0</t>
  </si>
  <si>
    <t>HD5120F0/увлажнитель воздуха Tefal</t>
  </si>
  <si>
    <t>CV5062F0</t>
  </si>
  <si>
    <t>Фен Rowenta/CV5062 FO</t>
  </si>
  <si>
    <t>SF1512F0</t>
  </si>
  <si>
    <t>Выпрямитель Rowenta/SF1512</t>
  </si>
  <si>
    <t>C7921024</t>
  </si>
  <si>
    <t>Чайник 2,5 л Tefal / C7921024</t>
  </si>
  <si>
    <t>TN3600F0</t>
  </si>
  <si>
    <t>Триммер Rowenta/TN3600</t>
  </si>
  <si>
    <t>KI270530</t>
  </si>
  <si>
    <t>KI270530/Чайник Tefal</t>
  </si>
  <si>
    <t>CV3820F0</t>
  </si>
  <si>
    <t>Фен Rowenta/CV3820</t>
  </si>
  <si>
    <t>CF8361D0</t>
  </si>
  <si>
    <t>Фен-щетка Rowenta/CF8361</t>
  </si>
  <si>
    <t>GC205012</t>
  </si>
  <si>
    <t>Гриль Tefal/ GC205012</t>
  </si>
  <si>
    <t>KO3308</t>
  </si>
  <si>
    <t>Чайник Tefal / KO3308</t>
  </si>
  <si>
    <t>TW2521RA</t>
  </si>
  <si>
    <t>TW2521/пылесос Tefal</t>
  </si>
  <si>
    <t>TW3731RA</t>
  </si>
  <si>
    <t>TW3731/пылесос Tefal</t>
  </si>
  <si>
    <t>TW3786RA</t>
  </si>
  <si>
    <t>TW3786/пылесос Tefal</t>
  </si>
  <si>
    <t>YG230131</t>
  </si>
  <si>
    <t>Йогуртница Moulinex / YG230131</t>
  </si>
  <si>
    <t>TW8370RA</t>
  </si>
  <si>
    <t>TW8370/пылесос Tefal</t>
  </si>
  <si>
    <t>DD655832</t>
  </si>
  <si>
    <t>Погружной Блендер Moulinex/Quickchef DD655832</t>
  </si>
  <si>
    <t>ZR004201</t>
  </si>
  <si>
    <t>Фильтр Hepa Tefal/ ZR004201</t>
  </si>
  <si>
    <t>ZR902501</t>
  </si>
  <si>
    <t>Фильтр Hepa Tefal/ZR902501</t>
  </si>
  <si>
    <t>ZR005701</t>
  </si>
  <si>
    <t>Фильтр Hepa  Tefal/ZR005701</t>
  </si>
  <si>
    <t>WB305140</t>
  </si>
  <si>
    <t>Мешок для сбора пылиWonderbag/WB305140</t>
  </si>
  <si>
    <t>ZR005901</t>
  </si>
  <si>
    <t>Фильтр Hepa Tefal/ZR005901</t>
  </si>
  <si>
    <t>ZR200540</t>
  </si>
  <si>
    <t>Мешок для сбора пыли Tefal/ZR200540</t>
  </si>
  <si>
    <t>K2213204</t>
  </si>
  <si>
    <t>Нож поварской 20см Tefal / K2213214 (2213204)</t>
  </si>
  <si>
    <t>K2213904</t>
  </si>
  <si>
    <t>Нож многофункциональный 12см Tefal / K2213914 K2213904</t>
  </si>
  <si>
    <t>TN3650F0</t>
  </si>
  <si>
    <t>Триммер Rowenta/TN3650</t>
  </si>
  <si>
    <t>C6940402</t>
  </si>
  <si>
    <t>Сковорода Tefal / Chef 24см C6940402</t>
  </si>
  <si>
    <t>C6940502</t>
  </si>
  <si>
    <t>Сковорода  Tefal / Chef 26см C6940502</t>
  </si>
  <si>
    <t>C6940602</t>
  </si>
  <si>
    <t>Сковорода Tefal / Chef 28см C6940602</t>
  </si>
  <si>
    <t>C6941902</t>
  </si>
  <si>
    <t>Сковорода ВОК Tefal / Chef 28см C6941902</t>
  </si>
  <si>
    <t>C6943802</t>
  </si>
  <si>
    <t>Сковорода для блинов Tefal / Chef 25см C6943802</t>
  </si>
  <si>
    <t>H1180474</t>
  </si>
  <si>
    <t>Сковорода Tefal / Supreme Gusto 24см  H1180474</t>
  </si>
  <si>
    <t>H1180575</t>
  </si>
  <si>
    <t>Сковорода Tefal / Supreme Gusto 26см H1180575</t>
  </si>
  <si>
    <t>H1180974</t>
  </si>
  <si>
    <t>Сковорода для блинов Tefal / Supreme Gusto 25см H1180974</t>
  </si>
  <si>
    <t>H1184074</t>
  </si>
  <si>
    <t>Сковорода гриль Tefal / Supreme Gusto 26см H1184074</t>
  </si>
  <si>
    <t>PP1061V0</t>
  </si>
  <si>
    <t>Весы наполные Tefal/PP1061</t>
  </si>
  <si>
    <t>PP1063V0</t>
  </si>
  <si>
    <t>Весы наполные Tefal/PP1063</t>
  </si>
  <si>
    <t>TN9130F1</t>
  </si>
  <si>
    <t>Триммер Rowenta/TN9130</t>
  </si>
  <si>
    <t>G7022214</t>
  </si>
  <si>
    <t>Ковш Tefal / 16см Illico G7022214</t>
  </si>
  <si>
    <t>K2213704</t>
  </si>
  <si>
    <t>Нож для измельчения 20см Tefal / K2213714/ K2213704</t>
  </si>
  <si>
    <t>J1625214</t>
  </si>
  <si>
    <t>J1625214/Форма для пирога 20х20 Tefal</t>
  </si>
  <si>
    <t>K2213604</t>
  </si>
  <si>
    <t>Нож Сантоку 12см Tefal /  K2213614/ K2213604</t>
  </si>
  <si>
    <t>K2213504</t>
  </si>
  <si>
    <t>Нож для чистки овощей 9см  Tefal / K2213514/ K2213504</t>
  </si>
  <si>
    <t>J1625314</t>
  </si>
  <si>
    <t>Форма для кекса 12х25 Tefal / J1625314</t>
  </si>
  <si>
    <t>J1629614</t>
  </si>
  <si>
    <t>Форма для круглого пирога 20х20 Tefal / J1629614</t>
  </si>
  <si>
    <t>GV9070E0</t>
  </si>
  <si>
    <t>Парогенератор Tefal/ GV9070</t>
  </si>
  <si>
    <t>ME452839</t>
  </si>
  <si>
    <t>ME452839/Мясорубка Moulinex</t>
  </si>
  <si>
    <t>DD877D10</t>
  </si>
  <si>
    <t>Погружной блендер Moulinex/ DD877D10</t>
  </si>
  <si>
    <t>04165124</t>
  </si>
  <si>
    <t>Сковорода Tefal / 24см Extra 041 65124</t>
  </si>
  <si>
    <t>04165126</t>
  </si>
  <si>
    <t>Сковорода Tefal / 26см Extra 041 65126</t>
  </si>
  <si>
    <t>04165128</t>
  </si>
  <si>
    <t>Сковорода Tefal / 28см Extra 041 65128</t>
  </si>
  <si>
    <t>04165522</t>
  </si>
  <si>
    <t>Сковорода для блинов Tefal / 22см Extra 041 65522</t>
  </si>
  <si>
    <t>04165924</t>
  </si>
  <si>
    <t>Сковорода с крышкой Tefal / 24см Extra 04165924</t>
  </si>
  <si>
    <t>04165926</t>
  </si>
  <si>
    <t>Сковорода с крышкой Tefal / 26см Extra 04165926</t>
  </si>
  <si>
    <t>04165928</t>
  </si>
  <si>
    <t>Сковорода с крышкой Tefal / 28см Extra 04165928</t>
  </si>
  <si>
    <t>FV1543E0</t>
  </si>
  <si>
    <t>Утюг Tefal / FV1543</t>
  </si>
  <si>
    <t>DD650832</t>
  </si>
  <si>
    <t>Погружной блендер Moulinex/ DD650</t>
  </si>
  <si>
    <t>04166122</t>
  </si>
  <si>
    <t>Сковорода Tefal / 22см Cook Right 04166122</t>
  </si>
  <si>
    <t>04166124</t>
  </si>
  <si>
    <t>Сковорода Tefal / 24см Cook Right 04166124</t>
  </si>
  <si>
    <t>04166128</t>
  </si>
  <si>
    <t>Сковорода Tefal / 28см Cook Right 04166128</t>
  </si>
  <si>
    <t>04166522</t>
  </si>
  <si>
    <t>Сковорода для блинов Tefal / 22см Cook Right 04166522</t>
  </si>
  <si>
    <t>04166224</t>
  </si>
  <si>
    <t>Сотейник Tefal / 24см Cook Right 04166224</t>
  </si>
  <si>
    <t>04166322/Кастрюля 22см Cook Right Tefal</t>
  </si>
  <si>
    <t>04166418/Ковш 18см Cook Right Tefal</t>
  </si>
  <si>
    <t>CV1612F0</t>
  </si>
  <si>
    <t>Фен Rowenta/CV-1612/</t>
  </si>
  <si>
    <t>CV7812F0</t>
  </si>
  <si>
    <t>CV7812/Фен Rowenta</t>
  </si>
  <si>
    <t>BC5102V2</t>
  </si>
  <si>
    <t>Кухонные весы Tefal/BC5102</t>
  </si>
  <si>
    <t>PP1146V0</t>
  </si>
  <si>
    <t>Весы напольные Tefal/PP1146</t>
  </si>
  <si>
    <t>CV3812F0</t>
  </si>
  <si>
    <t>CV3812/Фен Rowenta</t>
  </si>
  <si>
    <t>CF9540F0</t>
  </si>
  <si>
    <t>Фен-щетка Rowenta/CF9540</t>
  </si>
  <si>
    <t>CV7461F0</t>
  </si>
  <si>
    <t>Фен Rowenta/CV7461FO</t>
  </si>
  <si>
    <t>TW6951EA</t>
  </si>
  <si>
    <t>TW6951/пылесос Tefal</t>
  </si>
  <si>
    <t>Набор посуды Tefal / Comfort max C973SB34 из 11предметов</t>
  </si>
  <si>
    <t>04170924/Сковорода 24см с крышкой Only Cook Tefal</t>
  </si>
  <si>
    <t>04166126</t>
  </si>
  <si>
    <t>Сковорода Tefal / 26см Cook Right 04166126</t>
  </si>
  <si>
    <t>DD643132</t>
  </si>
  <si>
    <t>Погружной Блендер Moulinex/ DD643132</t>
  </si>
  <si>
    <t>DD883D10</t>
  </si>
  <si>
    <t>Погружной Блендер Moulinex/ Steelforce DD883D10</t>
  </si>
  <si>
    <t>508270 CLICK &amp; CUT/Аксессуар для пищевой пленки EMSA</t>
  </si>
  <si>
    <t>514567 myBAKERY/Контейнер для торта EMSA</t>
  </si>
  <si>
    <t>504917 BASIC/Контейнер для торта EMSA</t>
  </si>
  <si>
    <t>508020 CLICK &amp; CUT/Аксессуар для пищевой пленки EMSA</t>
  </si>
  <si>
    <t>508268 CLICK &amp; CUT/Аксессуар для пищевой пленки EMSA</t>
  </si>
  <si>
    <t>508269 CLICK &amp; CUT/Аксессуар для пищевой пленки EMSA</t>
  </si>
  <si>
    <t>514558 SMART KITCHEN/Экран защитный от брызг EMSA</t>
  </si>
  <si>
    <t>514557 SMART KITCHEN/Экран защитный от брызг EMSA</t>
  </si>
  <si>
    <t>504918 BASIC/Контейнер для торта EMSA</t>
  </si>
  <si>
    <t>514286 BASIC/Контейнер для торта EMSA</t>
  </si>
  <si>
    <t>515562 CLIP&amp;CLOSE/Набор контейнеров EMSA</t>
  </si>
  <si>
    <t>508570</t>
  </si>
  <si>
    <t>Набор из 3 контейнеров EMSA / 508570 CLIP&amp;CLOSE</t>
  </si>
  <si>
    <t>508566</t>
  </si>
  <si>
    <t>Набор из 3 контейнеров EMSA / 508566 CLIP&amp;CLOSE</t>
  </si>
  <si>
    <t>508535 CLIP&amp;CLOSE/Контейнер EMSA</t>
  </si>
  <si>
    <t>508538</t>
  </si>
  <si>
    <t>Контейнер EMSA / 508538 CLIP&amp;CLOSE</t>
  </si>
  <si>
    <t>508540</t>
  </si>
  <si>
    <t>Контейнер EMSA / 508540 CLIP&amp;CLOSE</t>
  </si>
  <si>
    <t>513555 OPTIMA/Контейнер EMSA</t>
  </si>
  <si>
    <t>513556 OPTIMA/Контейнер EMSA</t>
  </si>
  <si>
    <t>513558 OPTIMA/Контейнер EMSA</t>
  </si>
  <si>
    <t>513557 OPTIMA/Контейнер EMSA</t>
  </si>
  <si>
    <t>514550 OPTIMA/Контейнер EMSA</t>
  </si>
  <si>
    <t>514551 OPTIMA/Контейнер EMSA</t>
  </si>
  <si>
    <t>514552 OPTIMA/Контейнер EMSA</t>
  </si>
  <si>
    <t>515006 OPTIMA/Контейнер EMSA</t>
  </si>
  <si>
    <t>503646 белая SUPERLINE/Контейнер переноска для торта с охлад EMSA</t>
  </si>
  <si>
    <t>517099 прямоугольные SUPERLINE/набор из 3 контейнеров EMSA</t>
  </si>
  <si>
    <t>509233 фиолетовый/сталь MOBILITY/Термос для ланча 1,2л  EMSA</t>
  </si>
  <si>
    <t>512966 зеленый MOBILITY/Термос для ланча 1,2л  EMSA</t>
  </si>
  <si>
    <t>513356</t>
  </si>
  <si>
    <t>Термокружка EMSA / 513356 красный TRAVEL MUG</t>
  </si>
  <si>
    <t>513361</t>
  </si>
  <si>
    <t>Термокружка EMSA / 513361 черный TRAVEL MUG</t>
  </si>
  <si>
    <t>513359</t>
  </si>
  <si>
    <t>Термокружка EMSA / 513359 фиолетовый TRAVEL MUG</t>
  </si>
  <si>
    <t>513357</t>
  </si>
  <si>
    <t>Термокружка EMSA / 513357 синий TRAVEL MUG</t>
  </si>
  <si>
    <t>513351 нерж.сталь TRAVEL MUG/Термокружка EMSA</t>
  </si>
  <si>
    <t>515614 нерж.сталь TRAVEL MUG GRANDE/Термокружка EMSA</t>
  </si>
  <si>
    <t>618501600</t>
  </si>
  <si>
    <t>Термос EMSA / 618501600 нерж.сталь THERMOS SENATOR</t>
  </si>
  <si>
    <t>515716 белый THERMOS SENATOR/Термос EMSA</t>
  </si>
  <si>
    <t>515715 красный THERMOS SENATOR/Термос EMSA</t>
  </si>
  <si>
    <t>502489 нерж.сталь ELEGANZA/Термос-чайник 1л EMSA</t>
  </si>
  <si>
    <t>515668 FLOW CLASSIC/Графин стеклянный с термоэлементом 1л EMSA</t>
  </si>
  <si>
    <t>DW9226D1</t>
  </si>
  <si>
    <t>Утюг Rowenta / DW9226</t>
  </si>
  <si>
    <t>513918 прямоугольный 0,5 л CLIP&amp;CLOSE GLASS/Контейнер EMSA</t>
  </si>
  <si>
    <t>513920</t>
  </si>
  <si>
    <t>Контейнер EMSA / 513920 прямоугольный 1,3л CLIP&amp;CLOSE GLASS</t>
  </si>
  <si>
    <t>513922 прямоугольный 3л CLIP&amp;CLOSE GLASS/Контейнер EMSA</t>
  </si>
  <si>
    <t>517776 прямоугольный 1,2 л CLIP&amp;CLOSE MICRO/Контейнер EMSA</t>
  </si>
  <si>
    <t>514515 синий TRAVEL CUP/Термостакан 0,2л EMSA</t>
  </si>
  <si>
    <t>TW6993EA</t>
  </si>
  <si>
    <t>Пылесос  TEFAL / TW6993EA</t>
  </si>
  <si>
    <t>DD65CD32</t>
  </si>
  <si>
    <t>Погружной блендер Moulinex/ DD65CD32</t>
  </si>
  <si>
    <t>ME687832</t>
  </si>
  <si>
    <t>ME687832/мясорубка Moulinex</t>
  </si>
  <si>
    <t>C6944402</t>
  </si>
  <si>
    <t>C6944402/кастрюля 2,9 л (20см) с крышкой Chef Tefal</t>
  </si>
  <si>
    <t>C6940302</t>
  </si>
  <si>
    <t>C6940302/Сковорода 22 Chef Tefal</t>
  </si>
  <si>
    <t>C6949002</t>
  </si>
  <si>
    <t>C6949002/набор 2 сковороды 22/28 Chef Tefal</t>
  </si>
  <si>
    <t>C6207172</t>
  </si>
  <si>
    <t>Сотейник с крышкой Tefal / 26 см EXPERTISE C6207172</t>
  </si>
  <si>
    <t>C6200572</t>
  </si>
  <si>
    <t>Сковорода Tefal / 26см EXPERTISE C6200572</t>
  </si>
  <si>
    <t>C6200272</t>
  </si>
  <si>
    <t>C6200272/Сковорода 21см EXPERTISE Tefal</t>
  </si>
  <si>
    <t>G7010414</t>
  </si>
  <si>
    <t>G7010414/Сковорода 24 см ILLICO Tefal</t>
  </si>
  <si>
    <t>G7010514</t>
  </si>
  <si>
    <t>Сковорода Tefal / 26 см ILLICO G7010514</t>
  </si>
  <si>
    <t>G7010614</t>
  </si>
  <si>
    <t>Сковорода Tefal / 28 см ILLICO G7010614</t>
  </si>
  <si>
    <t>H1180374</t>
  </si>
  <si>
    <t>Сковорода Tefal / 22см Supreme GUSTO H1180374</t>
  </si>
  <si>
    <t>C6820675</t>
  </si>
  <si>
    <t>C6820675/Сковорода 28 CHARACTER Tefal</t>
  </si>
  <si>
    <t>04166924</t>
  </si>
  <si>
    <t>Сковорода с крышкой Tefal / 24 см  COOK RIGHT  4166924</t>
  </si>
  <si>
    <t>04166926</t>
  </si>
  <si>
    <t>Сковорода с крышкой Tefal / 26см COOK RIGHT 4166926</t>
  </si>
  <si>
    <t>04166928</t>
  </si>
  <si>
    <t>Сковорода с крышкой Tefal / 28см COOK RIGHT 04166928</t>
  </si>
  <si>
    <t>04166628</t>
  </si>
  <si>
    <t>Сковорода ВОК Tefal / 28см COOK RIGHT 4166628</t>
  </si>
  <si>
    <t>4166120/Сковорода 20 см COOK RIGHT Tefal</t>
  </si>
  <si>
    <t>KO151530</t>
  </si>
  <si>
    <t>KO151530/чайник Tefal</t>
  </si>
  <si>
    <t>KI270D30</t>
  </si>
  <si>
    <t>KI270D30/чайник Tefal</t>
  </si>
  <si>
    <t>KI730D30</t>
  </si>
  <si>
    <t>KI730D30/чайник Tefal</t>
  </si>
  <si>
    <t>ME108832</t>
  </si>
  <si>
    <t>ME108832/мясорубка Moulinex</t>
  </si>
  <si>
    <t>ME306832</t>
  </si>
  <si>
    <t>ME306832/мясорубка Moulinex</t>
  </si>
  <si>
    <t>GV7850E0</t>
  </si>
  <si>
    <t>Парогенератор Tefal/ GV7850</t>
  </si>
  <si>
    <t>FV5655E0</t>
  </si>
  <si>
    <t>Утюг Tefal / FV5655</t>
  </si>
  <si>
    <t>CF3315F0</t>
  </si>
  <si>
    <t>Щипцы Rowenta/CF3315</t>
  </si>
  <si>
    <t>QA3001B1</t>
  </si>
  <si>
    <t>QA3001B1/кухонная машина Moulinex</t>
  </si>
  <si>
    <t>VF6210F0</t>
  </si>
  <si>
    <t>VF6210FO/вентилятор Tefal</t>
  </si>
  <si>
    <t>FV1713E0</t>
  </si>
  <si>
    <t>Утюг Tefal / FV1713</t>
  </si>
  <si>
    <t>TW3953EA</t>
  </si>
  <si>
    <t>TW3953/пылесос Tefal</t>
  </si>
  <si>
    <t>IB5100E0</t>
  </si>
  <si>
    <t>Гладильная доска Tefal / IB5100</t>
  </si>
  <si>
    <t>ZR006001</t>
  </si>
  <si>
    <t>Фильтр Hepa для пылесосов Tefal/ZR006001</t>
  </si>
  <si>
    <t>J1626215</t>
  </si>
  <si>
    <t>Форма с разъемным дном Tefal / J1626215</t>
  </si>
  <si>
    <t>K1291814</t>
  </si>
  <si>
    <t>Овощечистка Tefal / K1291814</t>
  </si>
  <si>
    <t>DW5135D1</t>
  </si>
  <si>
    <t>Утюг Rowenta / DW5135</t>
  </si>
  <si>
    <t>FV1845E0</t>
  </si>
  <si>
    <t>Утюг Tefal / FV1845E0</t>
  </si>
  <si>
    <t>CF3710F0</t>
  </si>
  <si>
    <t>CF3710F0/стайлер Rowenta</t>
  </si>
  <si>
    <t>TY6545RH</t>
  </si>
  <si>
    <t>Вертикальный пылесос TEFAL / TY6545</t>
  </si>
  <si>
    <t>TY8913RH</t>
  </si>
  <si>
    <t>TY8913/вертикальный пылесос Tefal</t>
  </si>
  <si>
    <t>TY9079RO</t>
  </si>
  <si>
    <t>TY9079/вертикальный пылесос Tefal</t>
  </si>
  <si>
    <t>VP7545RH</t>
  </si>
  <si>
    <t>Вертикальный пылесос TEFAL / VP7545</t>
  </si>
  <si>
    <t>PC300B10</t>
  </si>
  <si>
    <t>Соковыжималка цитрусовая Moulinex / PC 300B10</t>
  </si>
  <si>
    <t>GC450B32</t>
  </si>
  <si>
    <t>Гриль Tefal/ GC450B32</t>
  </si>
  <si>
    <t>TY8970RO</t>
  </si>
  <si>
    <t>TY8970/Пылесос Tefal</t>
  </si>
  <si>
    <t>KO200130</t>
  </si>
  <si>
    <t>KO200130/чайник Tefal</t>
  </si>
  <si>
    <t>EA8250PE</t>
  </si>
  <si>
    <t>EA8250PE/кофемашина Krups</t>
  </si>
  <si>
    <t>EA82F810</t>
  </si>
  <si>
    <t>EA82F810/кофемашина Krups</t>
  </si>
  <si>
    <t>IT3440E0</t>
  </si>
  <si>
    <t>Вертикальный отпариватель Tefal/ IT3440</t>
  </si>
  <si>
    <t>XA723812</t>
  </si>
  <si>
    <t>XA723812 вафли/насадка для OptiGrill Tefal</t>
  </si>
  <si>
    <t>GV9591E0</t>
  </si>
  <si>
    <t>Парогенератор Tefal/ GV9591</t>
  </si>
  <si>
    <t>FV9834E0</t>
  </si>
  <si>
    <t>Утюг Tefal / FV9834</t>
  </si>
  <si>
    <t>Утюг Tefal / FV9867</t>
  </si>
  <si>
    <t>FV1849E0</t>
  </si>
  <si>
    <t>Утюг Tefal / FV1849</t>
  </si>
  <si>
    <t>IT9501E2</t>
  </si>
  <si>
    <t>Вертикальный отпариватель Tefal/ IT9501</t>
  </si>
  <si>
    <t>TN8930F1</t>
  </si>
  <si>
    <t>Мультитриммер Rowenta/TN8930</t>
  </si>
  <si>
    <t>CF9112F0</t>
  </si>
  <si>
    <t>Фен-щетка Rowenta/CF9112</t>
  </si>
  <si>
    <t>CV8722D0</t>
  </si>
  <si>
    <t>Фен Rowenta/CV8722D0</t>
  </si>
  <si>
    <t>CF3222F0</t>
  </si>
  <si>
    <t>Щипцы Rowenta/CF3222F0</t>
  </si>
  <si>
    <t>CF3212F0</t>
  </si>
  <si>
    <t>Щипцы Rowenta/CF3212F0</t>
  </si>
  <si>
    <t>CF3232F0</t>
  </si>
  <si>
    <t>Щипцы Rowenta/CF3232F0</t>
  </si>
  <si>
    <t>KO450832</t>
  </si>
  <si>
    <t>Чайник Tefal / KO450832</t>
  </si>
  <si>
    <t>CY621D32</t>
  </si>
  <si>
    <t>Мультиварка Tefal/ CY621D32</t>
  </si>
  <si>
    <t>RK745832</t>
  </si>
  <si>
    <t>Мультиварка Tefal/ RK745832</t>
  </si>
  <si>
    <t>QT1020E0</t>
  </si>
  <si>
    <t>Гладильная система IXEO Tefal / QT1020E0</t>
  </si>
  <si>
    <t>SF7510F0</t>
  </si>
  <si>
    <t>Расческа-Выпрямитель Rowenta BRUSH &amp; STRAIGHT / SF7510F0</t>
  </si>
  <si>
    <t>IT8440E0</t>
  </si>
  <si>
    <t>Вертикальный отпариватель Tefal Pro Style Care / IT8440E0</t>
  </si>
  <si>
    <t>Вертикальный отпариватель Tefal Pro Style Care / IT8460E0</t>
  </si>
  <si>
    <t>GV9581E0</t>
  </si>
  <si>
    <t>Парогенератор Tefal Pro Express Ultimate / GV9581E0</t>
  </si>
  <si>
    <t>CF7812F0</t>
  </si>
  <si>
    <t>Фен-щётка Rowenta / CF7812 Elite</t>
  </si>
  <si>
    <t>CV9620F0</t>
  </si>
  <si>
    <t>Фен Rowenta / CV9620F0 Ultimate Pro</t>
  </si>
  <si>
    <t>CV7920F0</t>
  </si>
  <si>
    <t>Фен Rowenta / CV7920F0</t>
  </si>
  <si>
    <t>CV5422F0</t>
  </si>
  <si>
    <t>Фен Rowenta / CV5422F0</t>
  </si>
  <si>
    <t>CF4510F0</t>
  </si>
  <si>
    <t>Мультистайлер 3в1 Rowenta / CF4510F0</t>
  </si>
  <si>
    <t>Мультистайлер 4в1Rowenta / CF4711F0</t>
  </si>
  <si>
    <t>Выпрямитель Rowenta / SF7460F0</t>
  </si>
  <si>
    <t>CF3910F0</t>
  </si>
  <si>
    <t>Фен-щетка Rowenta / CF3910F0</t>
  </si>
  <si>
    <t>CF9522F0</t>
  </si>
  <si>
    <t>Фен-щетка Rowenta / CF9522</t>
  </si>
  <si>
    <t>LM435810</t>
  </si>
  <si>
    <t>Cтационарный Блендер Moulinex/ LM435810 Blendforce</t>
  </si>
  <si>
    <t>FV9787E0</t>
  </si>
  <si>
    <t>Утюг Tefal / FV9787 ULTIMATE ANTI-CALC</t>
  </si>
  <si>
    <t>DA1511F1</t>
  </si>
  <si>
    <t>Дорожный утюг Rowenta / DA1511F1</t>
  </si>
  <si>
    <t>CV5622F0</t>
  </si>
  <si>
    <t>Фен Rowenta / CV5622</t>
  </si>
  <si>
    <t>CV5735F0</t>
  </si>
  <si>
    <t>Фен Rowenta / CV5735</t>
  </si>
  <si>
    <t>SF1012F0</t>
  </si>
  <si>
    <t>Выпрямитель Rowenta / SF1012F0</t>
  </si>
  <si>
    <t>Парогенератор Tefal/Pro Express Ultimate+ GV9620</t>
  </si>
  <si>
    <t>GV9610E0</t>
  </si>
  <si>
    <t>Парогенератор Tefal/Pro Express Ultimate+ GV9610</t>
  </si>
  <si>
    <t>SV8053E0</t>
  </si>
  <si>
    <t>Парогенератор Tefal / SV8053</t>
  </si>
  <si>
    <t>VC145130</t>
  </si>
  <si>
    <t>Пароварка Tefal / VC145130</t>
  </si>
  <si>
    <t>VC300830</t>
  </si>
  <si>
    <t>Пароварка Tefal / VC3008 30</t>
  </si>
  <si>
    <t>HD5230F0</t>
  </si>
  <si>
    <t>Увлажнитель Tefal / HD5230F0</t>
  </si>
  <si>
    <t>E492S674</t>
  </si>
  <si>
    <t>Набор посуды Tefal / VIRTUOSO E492S674</t>
  </si>
  <si>
    <t>TW8359EA</t>
  </si>
  <si>
    <t>Пылесос Tefal / TW8359</t>
  </si>
  <si>
    <t>TN6000F5</t>
  </si>
  <si>
    <t>Триммер Rowenta / TN6000F4 (F5)</t>
  </si>
  <si>
    <t>KI280D30</t>
  </si>
  <si>
    <t>Чайник Tefal / KI280D30</t>
  </si>
  <si>
    <t>TW6856EA</t>
  </si>
  <si>
    <t>Пылесос Tefal / TW6856EA</t>
  </si>
  <si>
    <t>TW6886EA</t>
  </si>
  <si>
    <t>Пылесос Tefal / TW6886EA</t>
  </si>
  <si>
    <t>TY7329WO</t>
  </si>
  <si>
    <t>Вертикальный пылесос Tefal / TY7329WO</t>
  </si>
  <si>
    <t>RG7133RH</t>
  </si>
  <si>
    <t>Робот - пылесос Tefal / RG7133RH</t>
  </si>
  <si>
    <t>RG7145RH</t>
  </si>
  <si>
    <t>Робот - пылесос Tefal / RG7145RH</t>
  </si>
  <si>
    <t>TW7475EA</t>
  </si>
  <si>
    <t>Пылесос Tefal / TW7475</t>
  </si>
  <si>
    <t>TY9471WO</t>
  </si>
  <si>
    <t>Вертикальный пылесос Tefal / TY9471WO</t>
  </si>
  <si>
    <t>Кухонная машина Moulinex / QA310110</t>
  </si>
  <si>
    <t>TN8940F1</t>
  </si>
  <si>
    <t>Мультитриммер 8 в 1 Rowenta / TN8940</t>
  </si>
  <si>
    <t>TN2850F4</t>
  </si>
  <si>
    <t>Триммер  Rowenta / TN2850</t>
  </si>
  <si>
    <t>KO250130</t>
  </si>
  <si>
    <t>Чайник Tefal / LOFT KITTLE KO250130</t>
  </si>
  <si>
    <t>A7030524</t>
  </si>
  <si>
    <t>Сковорода 26 Intuiton SS2 Tefal / A7030524</t>
  </si>
  <si>
    <t>A7030615</t>
  </si>
  <si>
    <t>Сковорода 28 Intuiton SS2 Tefal / A7030615</t>
  </si>
  <si>
    <t>A7030415</t>
  </si>
  <si>
    <t>Сковорода 24 Intuiton SS2 Tefal / A7030415</t>
  </si>
  <si>
    <t>A705S375</t>
  </si>
  <si>
    <t>Набор посуды Tefal /  DUETTO A705S375</t>
  </si>
  <si>
    <t>A702S474</t>
  </si>
  <si>
    <t>Набор посуды Tefal / Intuition A702S474</t>
  </si>
  <si>
    <t>G7194355</t>
  </si>
  <si>
    <t>Кастрюля Tefal / 18 (1,9 l) DUETTO+G7194355</t>
  </si>
  <si>
    <t>G7194455</t>
  </si>
  <si>
    <t>Кастрюля Tefal /20 (2,9 l) DUETTO+  G7194455</t>
  </si>
  <si>
    <t>G7194655</t>
  </si>
  <si>
    <t>Кастрюля Tefal / 24 (5 l) DUETTO+ G7194655</t>
  </si>
  <si>
    <t>E4924614</t>
  </si>
  <si>
    <t>Кастрюля 24 с крышкой (5,4 л) VIRTUOSO Tefal / E4924614</t>
  </si>
  <si>
    <t>G7192255</t>
  </si>
  <si>
    <t>Ковш с крышкой Tefal / 16 + крышка (1,5 l) DUETTO+ G7192255</t>
  </si>
  <si>
    <t>E3000504</t>
  </si>
  <si>
    <t>Сковорода Tefal /  26см EMOTION E3000504</t>
  </si>
  <si>
    <t>E3000604</t>
  </si>
  <si>
    <t>Сковорода Tefal /  28см EMOTION E3000604</t>
  </si>
  <si>
    <t>Погружной Блендер Moulinex/QuickChef DD65L832</t>
  </si>
  <si>
    <t>Сковорода 24 STARTERS TOBACCO Tefal / 04183124</t>
  </si>
  <si>
    <t>C6204472</t>
  </si>
  <si>
    <t>Кастрюля с крышкой Tefal /  EXPERTISE C6204472</t>
  </si>
  <si>
    <t>CV5512F0</t>
  </si>
  <si>
    <t>Фен Rowenta / CV5512F0</t>
  </si>
  <si>
    <t>CV5460F0</t>
  </si>
  <si>
    <t>Фен Rowenta / CV5460</t>
  </si>
  <si>
    <t>CV7816F0</t>
  </si>
  <si>
    <t>Фен Rowenta / CV7816F0</t>
  </si>
  <si>
    <t>CV8730D0</t>
  </si>
  <si>
    <t>Фен Rowenta / СV8730</t>
  </si>
  <si>
    <t>CF3730F0</t>
  </si>
  <si>
    <t>Стайлер Rowenta / CF3730</t>
  </si>
  <si>
    <t>Щипцы для завивки Rowenta / CF3461</t>
  </si>
  <si>
    <t>TN9300F5</t>
  </si>
  <si>
    <t>Машинка для стрижки волос Rowenta / TN9300</t>
  </si>
  <si>
    <t>TN5200F5</t>
  </si>
  <si>
    <t>Машинка для стрижки волос Rowenta / TN5200</t>
  </si>
  <si>
    <t>TN5220F1</t>
  </si>
  <si>
    <t>Машинка для стрижки волос Rowenta / TN5220</t>
  </si>
  <si>
    <t>TN1300F0</t>
  </si>
  <si>
    <t>Машинка для стрижки волос Rowenta / TN1300</t>
  </si>
  <si>
    <t>Cтационарный блендер Moulinex/ LM811D10</t>
  </si>
  <si>
    <t>EP8002F0</t>
  </si>
  <si>
    <t>Эпилятор  Rowenta / EP8002F0</t>
  </si>
  <si>
    <t>EP1110F0</t>
  </si>
  <si>
    <t>Эпилятор  Rowenta / EP1110F0</t>
  </si>
  <si>
    <t>FV5737E0</t>
  </si>
  <si>
    <t>Утюг Tefal / FV5737E0</t>
  </si>
  <si>
    <t>FV4991E0</t>
  </si>
  <si>
    <t>Утюг Tefal / FV4991</t>
  </si>
  <si>
    <t>E2240474</t>
  </si>
  <si>
    <t>Сковорода Tefal /  24 CM INSPIRATION E2240474</t>
  </si>
  <si>
    <t>E2240574</t>
  </si>
  <si>
    <t>Cковорода Tefal /  26 CM INSPIRATION E2240574</t>
  </si>
  <si>
    <t>E2240674</t>
  </si>
  <si>
    <t>Cковорода Tefal /  28 CM INSPIRATION E2240674</t>
  </si>
  <si>
    <t>E2244074</t>
  </si>
  <si>
    <t>Сковорода гриль Tefal / 26 СМ INSPIRATION E2244074</t>
  </si>
  <si>
    <t>E2241974</t>
  </si>
  <si>
    <t>Сковорода ВОК Tefal /  28CM INSPIRATION E2241974</t>
  </si>
  <si>
    <t>04192124</t>
  </si>
  <si>
    <t>Сковорода Tefal / 24см Granit 4192124</t>
  </si>
  <si>
    <t>04192126</t>
  </si>
  <si>
    <t>Сковорода Tefal / 26см Granit 4192126</t>
  </si>
  <si>
    <t>04192128</t>
  </si>
  <si>
    <t>Сковорода Tefal / 28см Granit  4192128</t>
  </si>
  <si>
    <t>04192525</t>
  </si>
  <si>
    <t>Сковорода для блинов Tefal / 25см Granit 4192525</t>
  </si>
  <si>
    <t>04192628</t>
  </si>
  <si>
    <t>Сковорода ВОК Tefal / 28см Granit 4192628</t>
  </si>
  <si>
    <t>04192224</t>
  </si>
  <si>
    <t>Сотейник с крышкой Tefal / 24см Granit 4192224</t>
  </si>
  <si>
    <t>C6363202</t>
  </si>
  <si>
    <t>Сотейник с крышкой Tefal / 24см  EVEREST C6363202</t>
  </si>
  <si>
    <t>C6360402</t>
  </si>
  <si>
    <t>Сковорода Tefal / 24см EVEREST C6360402</t>
  </si>
  <si>
    <t>TY9256WO</t>
  </si>
  <si>
    <t>Air Force 360 All in one / TY9256WO</t>
  </si>
  <si>
    <t>Пылесос Tefal/ TW2943</t>
  </si>
  <si>
    <t>IT8490E0</t>
  </si>
  <si>
    <t>Вертикальный отпариватель Pro Style Care  Tefal / IT8490E0</t>
  </si>
  <si>
    <t>TY9472WO</t>
  </si>
  <si>
    <t>Беспроводной пылесос Tefal / TY9472WO</t>
  </si>
  <si>
    <t>BY530H30</t>
  </si>
  <si>
    <t>Чайник Moulinex/BY530H30</t>
  </si>
  <si>
    <t>Cтационарный Блендер Moulinex/ LM811132</t>
  </si>
  <si>
    <t>CV1602F0</t>
  </si>
  <si>
    <t>Фен Rowenta /CV1602F0/AS0</t>
  </si>
  <si>
    <t>IT2460E0</t>
  </si>
  <si>
    <t>Вертикальный отпариватель Tefal / IT2460</t>
  </si>
  <si>
    <t>IT2461E0</t>
  </si>
  <si>
    <t>Вертикальный отпариватель Tefal / IT2461</t>
  </si>
  <si>
    <t>CF3319F0</t>
  </si>
  <si>
    <t>Щипцы Rowenta / CF3319</t>
  </si>
  <si>
    <t>TW2913EA</t>
  </si>
  <si>
    <t>Пылесос  TEFAL / TW2913</t>
  </si>
  <si>
    <t>OW220830</t>
  </si>
  <si>
    <t>Хлебопечка Moulinex / OW220830</t>
  </si>
  <si>
    <t>OW240E30</t>
  </si>
  <si>
    <t>Хлебопечь Moulinex/ OW240E30</t>
  </si>
  <si>
    <t>Утюг Tefal / FV9865E0</t>
  </si>
  <si>
    <t>FV1711E0</t>
  </si>
  <si>
    <t>Утюг Tefal / FV1711E0</t>
  </si>
  <si>
    <t>DW5127F1</t>
  </si>
  <si>
    <t>Утюг Rowenta / DW5127F1</t>
  </si>
  <si>
    <t>JB1011E0</t>
  </si>
  <si>
    <t>Прибор для удаления катышков Tefal / JB1011</t>
  </si>
  <si>
    <t>DT3030E0</t>
  </si>
  <si>
    <t>Ручной отпариватель Tefal / DT3030E0</t>
  </si>
  <si>
    <t>DV9001E0</t>
  </si>
  <si>
    <t>Ручной отпариватель Tefal / DV9001E0</t>
  </si>
  <si>
    <t>DW5220F1</t>
  </si>
  <si>
    <t>Утюг ROWENTA / DW5220F1</t>
  </si>
  <si>
    <t>DT9130E0</t>
  </si>
  <si>
    <t>Ручной отпариватель Tefal / DT9130E0</t>
  </si>
  <si>
    <t>RK745132</t>
  </si>
  <si>
    <t>Мультиварка Tefal / RK745132</t>
  </si>
  <si>
    <t>RK802B32</t>
  </si>
  <si>
    <t>Мультиварка ExpertCook Tefal / RK802B32</t>
  </si>
  <si>
    <t>LM355A10</t>
  </si>
  <si>
    <t>Cтационарный блендер Moulinex/ LM355</t>
  </si>
  <si>
    <t>LM2A0832</t>
  </si>
  <si>
    <t>Cтационарный блендер Moulinex/ LM2A0832</t>
  </si>
  <si>
    <t>GC305816</t>
  </si>
  <si>
    <t>Гриль Tefal / Heath Grill Classic GC305816</t>
  </si>
  <si>
    <t>GC208832</t>
  </si>
  <si>
    <t>Гриль  Moulinex / MINUTE GRILL GC208832</t>
  </si>
  <si>
    <t>GC242D38</t>
  </si>
  <si>
    <t>Гриль Tefal / INICIO 2 GC242D38</t>
  </si>
  <si>
    <t>GC241D38</t>
  </si>
  <si>
    <t>Гриль Tefal / INICIO 2 GC241D38</t>
  </si>
  <si>
    <t>RK321A32</t>
  </si>
  <si>
    <t>Мультиварка Tefal / RK321A32</t>
  </si>
  <si>
    <t>TW4855EA</t>
  </si>
  <si>
    <t>Пылесос  TEFAL / TW4855EA</t>
  </si>
  <si>
    <t>TW4873EA</t>
  </si>
  <si>
    <t>Пылесос  TEFAL / TW4873EA</t>
  </si>
  <si>
    <t>RG7267WH</t>
  </si>
  <si>
    <t>Робот-пылесос TEFAL / RG7267WH</t>
  </si>
  <si>
    <t>TY6753WO</t>
  </si>
  <si>
    <t>Вертикальный пылесос Tefal / DUAL FORCE TY6753WO</t>
  </si>
  <si>
    <t>TY9133WH</t>
  </si>
  <si>
    <t>Вертикальный пылесос TEFAL / TY9133WH</t>
  </si>
  <si>
    <t>TY9171WO</t>
  </si>
  <si>
    <t>Вертикальный пылесос TEFAL / TY9171WO</t>
  </si>
  <si>
    <t>TY9679WO</t>
  </si>
  <si>
    <t>Вертикальный пылесос TEFAL / TY9679WO</t>
  </si>
  <si>
    <t>TY9490WO</t>
  </si>
  <si>
    <t>Вертикальный пылесос Tefal / AIR FORCE FLEX AQUA TY9490WO</t>
  </si>
  <si>
    <t>TY9879WO</t>
  </si>
  <si>
    <t>Вертикальный пылесос TEFAL / TY9879WO</t>
  </si>
  <si>
    <t>Вертикальный пылесос TEFAL / TY9890WO</t>
  </si>
  <si>
    <t>TY6547RH</t>
  </si>
  <si>
    <t>Вертикальный пылесос Tefal / TY6547RH</t>
  </si>
  <si>
    <t>Вертикальный пылесос TEFAL / TY9571WO</t>
  </si>
  <si>
    <t>04090120</t>
  </si>
  <si>
    <t>Крышка Tefal / 20см 4090120</t>
  </si>
  <si>
    <t>погружной Блендер Moulinex/ Infiny Force Pro DD95HD10</t>
  </si>
  <si>
    <t>DD641132</t>
  </si>
  <si>
    <t>Погружной Блендер Moulinex/ Optichef DD641132</t>
  </si>
  <si>
    <t>XA725870</t>
  </si>
  <si>
    <t>Насадка для OptiGrill Tefal /XA725870 противень</t>
  </si>
  <si>
    <t>Соковыжималка центрифужная Moulinex / JU610D10</t>
  </si>
  <si>
    <t>OX464E32</t>
  </si>
  <si>
    <t>Мини-печь электрическая Moulinex / OX464E32</t>
  </si>
  <si>
    <t>OF310830</t>
  </si>
  <si>
    <t>Мини-печь электрическая Tefal / OF310830</t>
  </si>
  <si>
    <t>SF1516F0</t>
  </si>
  <si>
    <t>Выпрямитель Rowenta / SF1516</t>
  </si>
  <si>
    <t>Утюг Tefal / FV5697</t>
  </si>
  <si>
    <t>FV5696E0</t>
  </si>
  <si>
    <t>Утюг Tefal / FV5696</t>
  </si>
  <si>
    <t>FV5695E1</t>
  </si>
  <si>
    <t>Утюг Tefal / FV5695</t>
  </si>
  <si>
    <t>Утюг Tefal / FV6840E0</t>
  </si>
  <si>
    <t>FV6842E0</t>
  </si>
  <si>
    <t>Утюг Tefal / FV6842E0</t>
  </si>
  <si>
    <t>FV6832E0</t>
  </si>
  <si>
    <t>Утюг Tefal / FV6832</t>
  </si>
  <si>
    <t>FV6820E0</t>
  </si>
  <si>
    <t>Утюг Tefal / FV6820E0</t>
  </si>
  <si>
    <t>SF1312F0</t>
  </si>
  <si>
    <t>Выпрямитель Rowenta / SF1312</t>
  </si>
  <si>
    <t>SF4210F0</t>
  </si>
  <si>
    <t>Выпрямитель Rowenta / SF4210F0</t>
  </si>
  <si>
    <t>CF3242F0</t>
  </si>
  <si>
    <t>Конусная плойка Rowenta / CF3242</t>
  </si>
  <si>
    <t>CV6930F0</t>
  </si>
  <si>
    <t>Фен Rowenta / CV6930F0</t>
  </si>
  <si>
    <t>CV5820F0</t>
  </si>
  <si>
    <t>Фен Rowenta / CV5820F0</t>
  </si>
  <si>
    <t>CV5812F0</t>
  </si>
  <si>
    <t>Фен Rowenta / CV5812F0</t>
  </si>
  <si>
    <t>Утюг Tefal / FV6830E0</t>
  </si>
  <si>
    <t>TY7231WO</t>
  </si>
  <si>
    <t>Вертикальный пылесос TEFAL / TY7231WO</t>
  </si>
  <si>
    <t>TY7233WO</t>
  </si>
  <si>
    <t>Вертикальный пылесос Tefal / X-PERT 160 TY7233WO</t>
  </si>
  <si>
    <t>Погружной Блендер Moulinex/ Infiny Force Pro</t>
  </si>
  <si>
    <t>TN1405F1</t>
  </si>
  <si>
    <t>Машинка для стрижки волос Rowenta / TN1405</t>
  </si>
  <si>
    <t>G720S674</t>
  </si>
  <si>
    <t>Набор посуды Tefal / OPTI'SPACE G720S674</t>
  </si>
  <si>
    <t>Набор Tefal / Cook&amp;Clip G723S674</t>
  </si>
  <si>
    <t>H852S325</t>
  </si>
  <si>
    <t>Набор посуды Tefal /  Nordica H852S325</t>
  </si>
  <si>
    <t>RG7765WH</t>
  </si>
  <si>
    <t>Робот-пылесос TEFAL / RG7765WH</t>
  </si>
  <si>
    <t>BC5400V1</t>
  </si>
  <si>
    <t>Кухонные весы Tefal / INGENIO BC5400V1</t>
  </si>
  <si>
    <t>BC5004V2</t>
  </si>
  <si>
    <t>Кухонные весы TEFAL / OPTISS BC5004V2</t>
  </si>
  <si>
    <t>BC1000V1</t>
  </si>
  <si>
    <t>Кухонные весы Tefal / Compliss  BC1000V1</t>
  </si>
  <si>
    <t>TY6543RH</t>
  </si>
  <si>
    <t>Вертикальный пылесос Tefal / TY6543RH</t>
  </si>
  <si>
    <t>KI772D32</t>
  </si>
  <si>
    <t>Чайник Tefal / KI772D32</t>
  </si>
  <si>
    <t>G2730472</t>
  </si>
  <si>
    <t>Сковорода Tefal / Daily Chef 24 см G2730472</t>
  </si>
  <si>
    <t>G2730572</t>
  </si>
  <si>
    <t>Сковорода Tefal / Daily Chef 26 см G2730572</t>
  </si>
  <si>
    <t>G2730672</t>
  </si>
  <si>
    <t>Сковорода Tefal / Daily Chef 28 см G2730672</t>
  </si>
  <si>
    <t>G2733272</t>
  </si>
  <si>
    <t>Сотейник с крышкой Tefal / Daily Chef 24 см G2733272</t>
  </si>
  <si>
    <t>G2733872</t>
  </si>
  <si>
    <t>Сковорода для блинов Tefal / Daily Chef 25 см G2733872</t>
  </si>
  <si>
    <t>G2737772</t>
  </si>
  <si>
    <t>Сковорода Tefal / Daily Chef 26 см G2737772</t>
  </si>
  <si>
    <t>E2374074</t>
  </si>
  <si>
    <t>Cковорода-гриль Tefal / круглая Daily Chef 26 см E2374074</t>
  </si>
  <si>
    <t>G2700472</t>
  </si>
  <si>
    <t>Сковорода Tefal / Easy Chef 24 см G2700472</t>
  </si>
  <si>
    <t>G2700572</t>
  </si>
  <si>
    <t>Сковорода Tefal / Easy Chef 26 см G2700572</t>
  </si>
  <si>
    <t>G2700672</t>
  </si>
  <si>
    <t>Сковорода Tefal / Easy Chef 28 см G2700672</t>
  </si>
  <si>
    <t>G2707772</t>
  </si>
  <si>
    <t>Сковорода Tefal / Easy Chef 26 см G2707772</t>
  </si>
  <si>
    <t>G2703872</t>
  </si>
  <si>
    <t>Сковорода для блинов Tefal / Easy Chef 25 см G2703872</t>
  </si>
  <si>
    <t>G1230453</t>
  </si>
  <si>
    <t>Сковорода Tefal / MINERALIA FORCE 24 см G1230453</t>
  </si>
  <si>
    <t>G1230553</t>
  </si>
  <si>
    <t>Сковорода Tefal / MINERALIA FORCE 26 см G1230553</t>
  </si>
  <si>
    <t>G1230653</t>
  </si>
  <si>
    <t>Сковорода Tefal / MINERALIA FORCE 28 см G1230653</t>
  </si>
  <si>
    <t>G1233253</t>
  </si>
  <si>
    <t>Сотейник с крышкой Tefal / MINERALIA FORCE 24 см G1233253</t>
  </si>
  <si>
    <t>Сковорода Tefal / Unlimited 24 см G2550472</t>
  </si>
  <si>
    <t>Сковорода Tefal / Unlimited 26 см G2550572</t>
  </si>
  <si>
    <t>Сковорода Tefal / Unlimited 28 см G2550672</t>
  </si>
  <si>
    <t>Сковорода ВОК Tefal / Unlimited 28 см G2551972</t>
  </si>
  <si>
    <t>Сковорода-гриль Tefal/ круглая  Unlimited 26 см E2294074</t>
  </si>
  <si>
    <t>Сковорода Tefal / Unlimited 26 см с крышкой G2557172</t>
  </si>
  <si>
    <t>Сковорода для блинов Tefal / Unlimited 25 см G2553872</t>
  </si>
  <si>
    <t>BI520D10</t>
  </si>
  <si>
    <t>Чайник Tefal / EQUINOX BI520D10</t>
  </si>
  <si>
    <t>Погружной Блендер Moulinex/ INFINY FORCE DD95KD10</t>
  </si>
  <si>
    <t>Погружной Блендер Moulinex/ INFINY FORCE DD94J110</t>
  </si>
  <si>
    <t>DD533132</t>
  </si>
  <si>
    <t>Погружной блендер Moulinex/ Daily mix DD533132</t>
  </si>
  <si>
    <t>SV8061E0</t>
  </si>
  <si>
    <t>Парогенератор Tefal / EXPRESS POWER SV8061E0</t>
  </si>
  <si>
    <t>CE500E32</t>
  </si>
  <si>
    <t>Мультиварка-скороварка Moulinex / СЕ500Е32</t>
  </si>
  <si>
    <t>HM412131</t>
  </si>
  <si>
    <t>Миксер стационарный Moulinex Prep'Line HM412131</t>
  </si>
  <si>
    <t>HM3121B1</t>
  </si>
  <si>
    <t>Миксер стационарный Moulinex Quickmix HM3121B1</t>
  </si>
  <si>
    <t>HM3128B1</t>
  </si>
  <si>
    <t>Миксер стационарный  Moulinex QuickMix HM3128B1</t>
  </si>
  <si>
    <t>HM411110</t>
  </si>
  <si>
    <t>Миксер погружной Moulinex / HM411110</t>
  </si>
  <si>
    <t>HM3101B1</t>
  </si>
  <si>
    <t>Миксер Moulinex Quick Mix HM3101B1</t>
  </si>
  <si>
    <t>HM3108B1</t>
  </si>
  <si>
    <t>Миксер погружной Moulinex / HM3108B1</t>
  </si>
  <si>
    <t>SF7461F0</t>
  </si>
  <si>
    <t>Выпрямитель ROWENTA LISS&amp;CURL 7/7 SF7461F0</t>
  </si>
  <si>
    <t>CV5712F0</t>
  </si>
  <si>
    <t>Фен для волос Rowenta for Elite / CV5712F0</t>
  </si>
  <si>
    <t>TN1422F1</t>
  </si>
  <si>
    <t>Машинка для стрижки ROWENTA/ FOR ELITE NOMAD HAIR CLIPPER TN1422F1</t>
  </si>
  <si>
    <t>TN1350F0</t>
  </si>
  <si>
    <t>Машинка для стрижки ROWENTA/PERFECT LINE TN1350F0</t>
  </si>
  <si>
    <t>FV5699E0</t>
  </si>
  <si>
    <t>Утюг Tefal / TurboPro FV5699E0</t>
  </si>
  <si>
    <t>FV5698E0</t>
  </si>
  <si>
    <t>Утюг Tefal / TurboPro FV5698E0</t>
  </si>
  <si>
    <t>ME111032</t>
  </si>
  <si>
    <t>Мясорубка Moulinex / ME111032</t>
  </si>
  <si>
    <t>Набор посуды Tefal / 6 пред. DUETTO G719S674</t>
  </si>
  <si>
    <t>TY9479WO</t>
  </si>
  <si>
    <t>Вертикальный пылесос TEFAL / TY9479WO</t>
  </si>
  <si>
    <t>TT410D38</t>
  </si>
  <si>
    <t>Тостер Tefal / EXPRESS TT410D38</t>
  </si>
  <si>
    <t>LT260D30</t>
  </si>
  <si>
    <t>Тостер Moulinex / SUBITO LT260D30</t>
  </si>
  <si>
    <t>TT1A1830</t>
  </si>
  <si>
    <t>Тостер Tefal / 2S BLACK TT1A1830</t>
  </si>
  <si>
    <t>VP7751WH</t>
  </si>
  <si>
    <t>Вертикальный пылесос TEFAL / VP7751WH</t>
  </si>
  <si>
    <t>E3000404</t>
  </si>
  <si>
    <t>Сковорода Tefal /  24 см EMOTION E3000404</t>
  </si>
  <si>
    <t>CV5707F0</t>
  </si>
  <si>
    <t>Фен Rowenta / MOTION DRY CV5707F0</t>
  </si>
  <si>
    <t>K2060814</t>
  </si>
  <si>
    <t>Лопатка угловаяTefal / Ingenio пластик / K2060814</t>
  </si>
  <si>
    <t>K2060514</t>
  </si>
  <si>
    <t>Ложка Tefal / Ingenio пластик / K2060514</t>
  </si>
  <si>
    <t>K2060114</t>
  </si>
  <si>
    <t>Половник Tefal / Ingenio пластик / K2060114</t>
  </si>
  <si>
    <t>K2060314</t>
  </si>
  <si>
    <t>Шумовка Tefal / Ingenio пластик / K2060314</t>
  </si>
  <si>
    <t>K2060714</t>
  </si>
  <si>
    <t>Шипцы кулинарные Tefal / Ingenio пластик / K2060714</t>
  </si>
  <si>
    <t>K2071214</t>
  </si>
  <si>
    <t>Толкушка для картофеля Tefal / Ingenio / K2071214</t>
  </si>
  <si>
    <t>K2072614</t>
  </si>
  <si>
    <t>Пресс для чеснока Tefal / Ingenio / K2072614</t>
  </si>
  <si>
    <t>K1220104</t>
  </si>
  <si>
    <t>Нож-сантоку 12 см Tefal / Fresh Kitchen K1220114 (K1220104)</t>
  </si>
  <si>
    <t>K1220304</t>
  </si>
  <si>
    <t>Шеф-нож 15 см Tefal / Fresh Kitchen K1220314 (K1220304)</t>
  </si>
  <si>
    <t>K1220704</t>
  </si>
  <si>
    <t>Нож универсальный 12 см Tefal / Fresh Kitchen K1220714 (K1220704)</t>
  </si>
  <si>
    <t>K1220604</t>
  </si>
  <si>
    <t>Нож 9 см Tefal / Fresh Kitche K1220614 (K1220604)</t>
  </si>
  <si>
    <t>K2090514</t>
  </si>
  <si>
    <t>Точилка для ножей Tefal / Fresh Kitchen K2090514</t>
  </si>
  <si>
    <t>04199724</t>
  </si>
  <si>
    <t>Крышка Tefal / 24 см BUTTERFLY 04199724</t>
  </si>
  <si>
    <t>04199726</t>
  </si>
  <si>
    <t>Крышка Tefal / 26см BUTTERFLY 04199726</t>
  </si>
  <si>
    <t>04199728</t>
  </si>
  <si>
    <t>Крышка Tefal / 28 см BUTTERFLY 04199728</t>
  </si>
  <si>
    <t>Набор посуды TEFAL / PRIMARY 11 предметов E308SB74</t>
  </si>
  <si>
    <t>E3082274</t>
  </si>
  <si>
    <t>Ковш TEFAL / 16 см Primary E3082274</t>
  </si>
  <si>
    <t>RG6825WH</t>
  </si>
  <si>
    <t>Робот-пылесос TEFAL / RG6825WH</t>
  </si>
  <si>
    <t>KI760D30</t>
  </si>
  <si>
    <t>Чайник Tefal / KI760D30</t>
  </si>
  <si>
    <t>KI520530</t>
  </si>
  <si>
    <t>Чайник Tefal / KI520530</t>
  </si>
  <si>
    <t>KI772138</t>
  </si>
  <si>
    <t>Чайник Tefal / KI772138</t>
  </si>
  <si>
    <t>BY430DRU</t>
  </si>
  <si>
    <t>Чайник Moulinex/ BY430DRU</t>
  </si>
  <si>
    <t>Погружной блендер Moulinex/ INFINY FORCE V2 DD944810</t>
  </si>
  <si>
    <t>DD64H110</t>
  </si>
  <si>
    <t>Погружной блендер Moulinex/ OPTICHEF 4IN1 BABY FOOT DD64H110</t>
  </si>
  <si>
    <t>DD833810</t>
  </si>
  <si>
    <t>Погружной блендер Moulinex/ Optitouch DD833810</t>
  </si>
  <si>
    <t>ME542810</t>
  </si>
  <si>
    <t>Мясорубка Moulinex / HV7 PLUS ME542810</t>
  </si>
  <si>
    <t>ME209139</t>
  </si>
  <si>
    <t>Мясорубка Moulinex / HV2 ME209139</t>
  </si>
  <si>
    <t>ME208139</t>
  </si>
  <si>
    <t>Мясорубка Moulinex / HV2 ME208139</t>
  </si>
  <si>
    <t>CE620D32</t>
  </si>
  <si>
    <t>Мультиварка-скороварка Moulinex / CE620D32</t>
  </si>
  <si>
    <t>FV2867E0</t>
  </si>
  <si>
    <t>Утюг Tefal / EXPRESS STEAM FV2867E0</t>
  </si>
  <si>
    <t>FV2868E0</t>
  </si>
  <si>
    <t>Утюг Tefal / EXPRESS STEAM FV2868E0</t>
  </si>
  <si>
    <t>FV2865E0</t>
  </si>
  <si>
    <t>Утюг Tefal / EXPRESS STEAM FV2865E0</t>
  </si>
  <si>
    <t>FV2838E0</t>
  </si>
  <si>
    <t>Утюг Tefal / EXPRESS STEAM FV2838</t>
  </si>
  <si>
    <t>FV2839E0</t>
  </si>
  <si>
    <t>Утюг Tefal / EXPRESS STEAM FV2839</t>
  </si>
  <si>
    <t>FV2835E0</t>
  </si>
  <si>
    <t>Утюг Tefal / EXPRESS STEAM FV2835</t>
  </si>
  <si>
    <t>FV2836E0</t>
  </si>
  <si>
    <t>Утюг Tefal / EXPRESS STEAM FV2836</t>
  </si>
  <si>
    <t>FV2837E0</t>
  </si>
  <si>
    <t>Утюг Tefal / EXPRESS STEAM FV2837</t>
  </si>
  <si>
    <t>CF9520F0</t>
  </si>
  <si>
    <t>Фен - Щетка Rowenta/ Brush Activ Compact CF9520</t>
  </si>
  <si>
    <t>JU655H30</t>
  </si>
  <si>
    <t>Соковыжималка Moulinex / JU655H30</t>
  </si>
  <si>
    <t>JU550D10</t>
  </si>
  <si>
    <t>Соковыжималка Moulinex / JU550D10</t>
  </si>
  <si>
    <t>EP5700F1</t>
  </si>
  <si>
    <t>Эпилятор ROWENTA SOFT SENSATION / EP5700F1</t>
  </si>
  <si>
    <t>EP2851F1</t>
  </si>
  <si>
    <t>Эпилятор ROWENTA FLOWER LOVE KIT / EP2851F1</t>
  </si>
  <si>
    <t>DF100830</t>
  </si>
  <si>
    <t>Сушилка для овощей и фруктов Tefal / DF100830</t>
  </si>
  <si>
    <t>Cтационарный блендер Moulinex/ LM936E10</t>
  </si>
  <si>
    <t>Cтационарный Блендер Moulinex/ Infinymix+ LM91HD32</t>
  </si>
  <si>
    <t>LM439D10</t>
  </si>
  <si>
    <t>Cтационарный Блендер Moulinex/ BLENDFORCE 2 LM439D10</t>
  </si>
  <si>
    <t>LM233A32</t>
  </si>
  <si>
    <t>Cтационарный блендер Moulinex/ Faciclic Maxi LM233A</t>
  </si>
  <si>
    <t>LM42Q110</t>
  </si>
  <si>
    <t>Cтационарный Блендер Moulinex/ BLENDFORCE POWELIX LM42Q110</t>
  </si>
  <si>
    <t>SV6140E0</t>
  </si>
  <si>
    <t>Парогенератор Tefal / SV6140E0</t>
  </si>
  <si>
    <t>TW2922EA</t>
  </si>
  <si>
    <t>Пылесос  TEFAL / TW2922</t>
  </si>
  <si>
    <t>Пылесос  TEFAL / TW2971EA</t>
  </si>
  <si>
    <t>SF6220D0</t>
  </si>
  <si>
    <t>Выпрямитель Rowenta / SF6220D0</t>
  </si>
  <si>
    <t>CF5820F0</t>
  </si>
  <si>
    <t>Расческа для выпрямления Rowenta / CF5820F0</t>
  </si>
  <si>
    <t>SF3232F0</t>
  </si>
  <si>
    <t>Выпрямитель ROWENTA / SF3232F0</t>
  </si>
  <si>
    <t>SF1612F0</t>
  </si>
  <si>
    <t>Выпрямитель ROWENTA / SF1612F0</t>
  </si>
  <si>
    <t>SF1627F0</t>
  </si>
  <si>
    <t>Выпрямитель ROWENTA / SF1627F0</t>
  </si>
  <si>
    <t>VF5870F0</t>
  </si>
  <si>
    <t>Вентилятор Tefal / Turbo Silence Extreme VF5870F0</t>
  </si>
  <si>
    <t>VF6720F0</t>
  </si>
  <si>
    <t>Вентилятор колонный Tefal / EXTRA SLIM VF6720F0</t>
  </si>
  <si>
    <t>VF3910F0</t>
  </si>
  <si>
    <t>Вентилятор Tefal / New essential VF3910F0</t>
  </si>
  <si>
    <t>VF2330F0</t>
  </si>
  <si>
    <t>Вентилятор Tefal / Essential +  VF2330F0</t>
  </si>
  <si>
    <t xml:space="preserve">VF2310F0 </t>
  </si>
  <si>
    <t>Вентилятор Tefal / Essential+ VF2310F0</t>
  </si>
  <si>
    <t>Мультистайлер Rowenta / CF4230F0</t>
  </si>
  <si>
    <t>CF4222F0</t>
  </si>
  <si>
    <t>Мультистайлер Rowenta / CF4222F0</t>
  </si>
  <si>
    <t>CF4122F0</t>
  </si>
  <si>
    <t>Мультистайлер Rowenta / CF4122F0</t>
  </si>
  <si>
    <t>CF4102F0</t>
  </si>
  <si>
    <t>Мультистайлер Rowenta / CF4102F0</t>
  </si>
  <si>
    <t>CF4512F0</t>
  </si>
  <si>
    <t>Мультистайлер Rowenta / CF4512F0</t>
  </si>
  <si>
    <t>DT7000E0</t>
  </si>
  <si>
    <t>Ручной отпариватель Tefal / ACCESS STEAM MINUTE DT7000E0</t>
  </si>
  <si>
    <t>CV5830F0</t>
  </si>
  <si>
    <t>Фен Rowenta / CV5830F0</t>
  </si>
  <si>
    <t>EP4930F0</t>
  </si>
  <si>
    <t>Эпилятор Rowenta / EP4930F0</t>
  </si>
  <si>
    <t>Робот пылесос Tefal / RG7375WH</t>
  </si>
  <si>
    <t>Робот пылесос Tefal / RG7387WH</t>
  </si>
  <si>
    <t>RG7675WH</t>
  </si>
  <si>
    <t>Робот пылесос Tefal / RG7675WH</t>
  </si>
  <si>
    <t>SF1810F0</t>
  </si>
  <si>
    <t>Выпрямитель Rowenta / SF1810F0</t>
  </si>
  <si>
    <t>DT9531E0</t>
  </si>
  <si>
    <t>Ручной отпариватель Tefal / DT9531E0 PURE TEX</t>
  </si>
  <si>
    <t>Утюг Tefal / FV6813E0</t>
  </si>
  <si>
    <t>TY6878WO</t>
  </si>
  <si>
    <t>Вертикальный пылесос Tefal / TY6878WO</t>
  </si>
  <si>
    <t>Парогенератор TEFAL / PRO EXPRESS VISION GV9812E0</t>
  </si>
  <si>
    <t>Парогенератор TEFAL / PRO EXPRESS VISION GV9821E0</t>
  </si>
  <si>
    <t>FP542111</t>
  </si>
  <si>
    <t>Кухонный комбайн Moulinex / FP542111 DoubleForce compact</t>
  </si>
  <si>
    <t>Мультитриммер Rowenta / TN9140F4</t>
  </si>
  <si>
    <t>TN8931F4</t>
  </si>
  <si>
    <t>Мультитриммер Rowenta / TN8931F4 Multistyle</t>
  </si>
  <si>
    <t>K0060212</t>
  </si>
  <si>
    <t>Половник Tefal / K0060212 Enjoy</t>
  </si>
  <si>
    <t>K0060112</t>
  </si>
  <si>
    <t>Ложка Tefal / K0060112  Enjoy</t>
  </si>
  <si>
    <t>K0060612</t>
  </si>
  <si>
    <t>Венчик Tefal / K0060612 Enjoy</t>
  </si>
  <si>
    <t>K0260514</t>
  </si>
  <si>
    <t>Лопатка угловая Tefal / K0260514 Enjoy</t>
  </si>
  <si>
    <t>K0260314</t>
  </si>
  <si>
    <t>Толкушка-шумовка Tefal / K0260314  Enjoy</t>
  </si>
  <si>
    <t>K1290214</t>
  </si>
  <si>
    <t>Половник Tefal / K1290214 Comfort</t>
  </si>
  <si>
    <t>K1292414</t>
  </si>
  <si>
    <t>Кисточка Tefal / K1292414 Comfort</t>
  </si>
  <si>
    <t>K1292014</t>
  </si>
  <si>
    <t>Лопатка угловая Tefal / K1292014 Comfort</t>
  </si>
  <si>
    <t>K1291714</t>
  </si>
  <si>
    <t>Венчик Tefal / K1291714 Comfort</t>
  </si>
  <si>
    <t>K1298114</t>
  </si>
  <si>
    <t>Нож для чистки овощей Tefal / K1298114 Comfort</t>
  </si>
  <si>
    <t>K206S414</t>
  </si>
  <si>
    <t>Набор кухонных аксессуаров Tefal / K206S414  Ingenio</t>
  </si>
  <si>
    <t>J5549602</t>
  </si>
  <si>
    <t>Форма для выпечки Tefal / J5549602 Color Edition 24 см</t>
  </si>
  <si>
    <t>J1641474</t>
  </si>
  <si>
    <t>Форма для выпечки Tefal / J1641474 Delibake 27 см</t>
  </si>
  <si>
    <t>G1501972</t>
  </si>
  <si>
    <t>Сковорода ВОК Tefal / 28 см. G1501972 Healthy Chef</t>
  </si>
  <si>
    <t>G1500472</t>
  </si>
  <si>
    <t>Сковорода Tefal / 24 см.G1500472 Healthy Chef</t>
  </si>
  <si>
    <t>G1500572</t>
  </si>
  <si>
    <t>Сковорода Tefal /26 см G1500572 Healthy Chef</t>
  </si>
  <si>
    <t>G1500672</t>
  </si>
  <si>
    <t>Сковорода Tefal /28 см. G1500672 Healthy Chef</t>
  </si>
  <si>
    <t>G1503223</t>
  </si>
  <si>
    <t>Сотейник с крышкой Tefal /  24 см G1503223 Healty Chef</t>
  </si>
  <si>
    <t>E2444055</t>
  </si>
  <si>
    <t>Cковорода Гриль Tefal / 26 см.круглая E2444055 Healty Chef</t>
  </si>
  <si>
    <t>Сковорода Tefal / 24 см. 04211124 Natural Cook</t>
  </si>
  <si>
    <t>Сковорода Tefal / 26 см 04211126 Natural Cook</t>
  </si>
  <si>
    <t>Сковорода Tefal / 28 см. 04211128  Natural Cook</t>
  </si>
  <si>
    <t>Сотейник с крышкой Tefal / 24 см 04211224 Natural Cook</t>
  </si>
  <si>
    <t>Сковорода для блинов Tefal / 22 см 04211522  Natural Cook</t>
  </si>
  <si>
    <t>Сковорода ВОК Tefal / 28 см 04211628  Natural Cook</t>
  </si>
  <si>
    <t>Сковорода с крышкой Tefal / 24 см 04211924 Natural Cook</t>
  </si>
  <si>
    <t>Сковорода с крышкой Tefal / 26 см 04211926 Natural Cook</t>
  </si>
  <si>
    <t>Сковорода 28 см с крышкой Tefal / 04211928 Natural Cook</t>
  </si>
  <si>
    <t>K232S574</t>
  </si>
  <si>
    <t>Набор ножей Tefal / K232S574 Ice Force деревянный блок и 5 ножей</t>
  </si>
  <si>
    <t>K2323S74</t>
  </si>
  <si>
    <t>Набор ножей 3шт Tefal / K2323S74  Ice Force</t>
  </si>
  <si>
    <t>K2324S74</t>
  </si>
  <si>
    <t>Набор из 4 ножей Tefal / K2324S74  Ice Force</t>
  </si>
  <si>
    <t>K2214104</t>
  </si>
  <si>
    <t>Ножницы Tefal / K2214104 Comfort</t>
  </si>
  <si>
    <t>K221S375</t>
  </si>
  <si>
    <t>Набор ножей 3шт Tefal / K221S375  Comfort</t>
  </si>
  <si>
    <t>K221S475</t>
  </si>
  <si>
    <t>Набор ножей 4 шт Tefal / K221S475  Comfort</t>
  </si>
  <si>
    <t>LM2C0110</t>
  </si>
  <si>
    <t>Cтационарный Блендер Moulinex/ LM2C0110 Blendeo+</t>
  </si>
  <si>
    <t>ME301132</t>
  </si>
  <si>
    <t>Мясорубка Moulinex / ME301132</t>
  </si>
  <si>
    <t>GV9565E0</t>
  </si>
  <si>
    <t>ZR740003</t>
  </si>
  <si>
    <t>Аксессуары для робота пылесоса Tefal / ZR740003</t>
  </si>
  <si>
    <t>ZR690202</t>
  </si>
  <si>
    <t>Набор из 2 тряпок из микроволокна Tefal / ZR690202</t>
  </si>
  <si>
    <t xml:space="preserve">ZR903501          </t>
  </si>
  <si>
    <t>Выходной фильтр высокой фильтрации Tefal / ZR903501</t>
  </si>
  <si>
    <t>ZR005201</t>
  </si>
  <si>
    <t>Фильтр для вертикальных пылесосов Tefal / ZR005201</t>
  </si>
  <si>
    <t>TN3651F0</t>
  </si>
  <si>
    <t>Триммер Rowenta / TN3651F0 Nomad</t>
  </si>
  <si>
    <t>PP1539V0</t>
  </si>
  <si>
    <t>Весы Tefal / PP1539V0 Mozaic</t>
  </si>
  <si>
    <t>PP1530V0</t>
  </si>
  <si>
    <t>Весы Tefal / PP1530V0</t>
  </si>
  <si>
    <t>PP1503V0</t>
  </si>
  <si>
    <t>Весы Tefal / PP1503V0 Classic Blue</t>
  </si>
  <si>
    <t>PP1431V0</t>
  </si>
  <si>
    <t>Весы Tefal / PP1431V0 Blossom Pink</t>
  </si>
  <si>
    <t>PP1430V0</t>
  </si>
  <si>
    <t>Весы Tefal / PP1430V0</t>
  </si>
  <si>
    <t>PP1400V0</t>
  </si>
  <si>
    <t>Весы Tefal / PP1400V0</t>
  </si>
  <si>
    <t>PP1403V0</t>
  </si>
  <si>
    <t>Весы Tefal / PP1403V0 Premiss Pink</t>
  </si>
  <si>
    <t>PP1401V0</t>
  </si>
  <si>
    <t>Весы Tefal / PP1401V0</t>
  </si>
  <si>
    <t>PP1300V0</t>
  </si>
  <si>
    <t>Весы Tefal / PP1300V0</t>
  </si>
  <si>
    <t>TN1603F0</t>
  </si>
  <si>
    <t>Машинка для стрижки волос Rowenta / TN1603F0</t>
  </si>
  <si>
    <t>Пылесос Tefal/  TW7233EA</t>
  </si>
  <si>
    <t>E3084374</t>
  </si>
  <si>
    <t>Кастрюля с крышкой Tefal / E3084374  Primary 18 см 2,1 л</t>
  </si>
  <si>
    <t>E3084474</t>
  </si>
  <si>
    <t>Кастрюля с крышкой Tefal / E3084474 Primary 20 см 3 л</t>
  </si>
  <si>
    <t>E3084674</t>
  </si>
  <si>
    <t>Кастрюля с крышкой Tefal / E3084674  Primary 24 см 5,2 л</t>
  </si>
  <si>
    <t>ME552810</t>
  </si>
  <si>
    <t>Мясорубка MOULINEX / ME552810</t>
  </si>
  <si>
    <t>04205522</t>
  </si>
  <si>
    <t>Сковорода для блинов Tefal / 22см Simply Clean 04205522</t>
  </si>
  <si>
    <t>04205124</t>
  </si>
  <si>
    <t>Сковорода Tefal / 24см Simply Clean 04205124</t>
  </si>
  <si>
    <t>04205126</t>
  </si>
  <si>
    <t>Сковорода Tefal / 26см Simply Clean 04205126</t>
  </si>
  <si>
    <t>04205128</t>
  </si>
  <si>
    <t>Сковорода Tefal /28см Simply Clean 04205128</t>
  </si>
  <si>
    <t>Сковорода c крышкой Tefal / 24см  Simply Clean 4205924</t>
  </si>
  <si>
    <t>Сковорода Tefal / 26см Simply Clean 4205926</t>
  </si>
  <si>
    <t>Сковорода с крышкой Tefal / 28см Simply Clean 4205928</t>
  </si>
  <si>
    <t>CV8250F0</t>
  </si>
  <si>
    <t>Фен Rowenta / CV8250F0</t>
  </si>
  <si>
    <t>TN5221F4</t>
  </si>
  <si>
    <t>Машинка для стрижки Rowenta / TN5221F4 Advancer Style</t>
  </si>
  <si>
    <t>E3007704</t>
  </si>
  <si>
    <t>Сковорода-вок Tefal / E3007704 Emotion 26 см</t>
  </si>
  <si>
    <t>E3012174</t>
  </si>
  <si>
    <t>Ковш c крышкой Tefal / Emotion 1л 14 см E3012174</t>
  </si>
  <si>
    <t>E3012224</t>
  </si>
  <si>
    <t>Ковш с крышкой Tefal / Emotion 1,5 л 16см E3012224</t>
  </si>
  <si>
    <t>E3014524</t>
  </si>
  <si>
    <t>Кастрюля с крышкой Tefal / Emotion 3л 20см E3014524</t>
  </si>
  <si>
    <t>E3086S74</t>
  </si>
  <si>
    <t>Набор посуды Tefal / Primary 16/20/24 см E3086S74</t>
  </si>
  <si>
    <t>G726S774</t>
  </si>
  <si>
    <t>Набор посуды Tefal /  7 предметов Comfort Max G726S774</t>
  </si>
  <si>
    <t>TN2809F0</t>
  </si>
  <si>
    <t>Триммер для бороды Rowenta / TN2809F0 STYLIS.</t>
  </si>
  <si>
    <t>TN8908F0</t>
  </si>
  <si>
    <t>Триммер Rowenta / TN8908F0 4В1 JUNGLE</t>
  </si>
  <si>
    <t>K210S514</t>
  </si>
  <si>
    <t>Набор аксессуаров Tefal / K210S514 Enjoy  5 предм</t>
  </si>
  <si>
    <t>K2481574</t>
  </si>
  <si>
    <t>Чайник 2,7 л Tefal / Kettle ss induction K2481574</t>
  </si>
  <si>
    <t>C7922024</t>
  </si>
  <si>
    <t>Чайник 3 л Tefal / C7922024</t>
  </si>
  <si>
    <t>TW4881EA</t>
  </si>
  <si>
    <t>Пылесос Tefal / Compact Power XXL TW4881EA</t>
  </si>
  <si>
    <t>Фен Rowenta / CV9920F0</t>
  </si>
  <si>
    <t>CV6135F0</t>
  </si>
  <si>
    <t>Фен Rowenta / CV6135F0</t>
  </si>
  <si>
    <t xml:space="preserve">BJ551B10 </t>
  </si>
  <si>
    <t>Чайник Tefal / BJ551B10</t>
  </si>
  <si>
    <t>KI533811</t>
  </si>
  <si>
    <t>Чайник Tefal / KI533811</t>
  </si>
  <si>
    <t>KI740B30</t>
  </si>
  <si>
    <t>Чайник Tefal / KI740B30</t>
  </si>
  <si>
    <t>ME476132</t>
  </si>
  <si>
    <t>Мясорубка Moulinex / ME476132</t>
  </si>
  <si>
    <t>Беспроводной пылесос TEFAL  X-Ô 160 / IQ7777EA</t>
  </si>
  <si>
    <t>Беспроводной пылесос TEFAL X-Ô 90 / IQ7767EA</t>
  </si>
  <si>
    <t>TW1931RH</t>
  </si>
  <si>
    <t>Пылесос TEFAL / TW1931RH</t>
  </si>
  <si>
    <t>TW1923RH</t>
  </si>
  <si>
    <t>Пылесос TEFAL / TW1923RH</t>
  </si>
  <si>
    <t>KI700830</t>
  </si>
  <si>
    <t>Чайник Tefal / KI700830</t>
  </si>
  <si>
    <t>Гриль Tefal Optigrill+ XL / GC724D12</t>
  </si>
  <si>
    <t>ZR904301</t>
  </si>
  <si>
    <t>Система фильтрации Tefal / ZR904301.</t>
  </si>
  <si>
    <t>BM2520V0</t>
  </si>
  <si>
    <t>Диагностические весы Tefal Body Up / BM2520V0</t>
  </si>
  <si>
    <t>BM2521V0</t>
  </si>
  <si>
    <t>Диагностические весы Tefal Body Up / BM2521V0</t>
  </si>
  <si>
    <t>BC8000V1</t>
  </si>
  <si>
    <t>Весы кухонные Tefal / BC8000V1</t>
  </si>
  <si>
    <t>Утюг Tefal / Easygliss Plus FV5770E0</t>
  </si>
  <si>
    <t>FV5718E0</t>
  </si>
  <si>
    <t>Утюг Tefal / Easygliss 2 FV5718E0.</t>
  </si>
  <si>
    <t>ПылесосTefal   X-FORCE FLEX 14.60 AQUA / TY9990WO</t>
  </si>
  <si>
    <t>Парогенератор Tefal / PRO EXPRESS ULTIMATE II GV9720E0</t>
  </si>
  <si>
    <t>Парогенератор Tefal / PRO EXPRESS ULTIMATE II GV9710E0</t>
  </si>
  <si>
    <t>TI1200E0</t>
  </si>
  <si>
    <t>Гладильная доска Tefal Promo TI1200E0</t>
  </si>
  <si>
    <t>SF161LF0</t>
  </si>
  <si>
    <t>Выпрямитель Rowenta x KARL LAGERFELD / SF161LF0</t>
  </si>
  <si>
    <t>SF323LF0</t>
  </si>
  <si>
    <t>Выпрямитель Rowenta x KARL LAGERFELD / SF323LF0</t>
  </si>
  <si>
    <t>SF4620F0</t>
  </si>
  <si>
    <t>Выпрямитель Rowenta / SF4620F0</t>
  </si>
  <si>
    <t>SF4655F0</t>
  </si>
  <si>
    <t>Выпрямитель тройного действия Rowenta Volumizer / SF4655F0</t>
  </si>
  <si>
    <t>SF467LF0</t>
  </si>
  <si>
    <t>Выпрямитель Rowenta x KARL LAGERFELD / SF467LF0</t>
  </si>
  <si>
    <t>CV888LF0</t>
  </si>
  <si>
    <t>Фен Rowenta X KARL LAGERFELD / CV888LF0 PRO STYLIST</t>
  </si>
  <si>
    <t>CV8840F0</t>
  </si>
  <si>
    <t>Фен Rowenta / CV8840F0 PRO EXPERT</t>
  </si>
  <si>
    <t>CV8830F0</t>
  </si>
  <si>
    <t>Фен Rowenta / CV8830F0  PRO EXPERT</t>
  </si>
  <si>
    <t>CV8810F0</t>
  </si>
  <si>
    <t>Фен Rowenta / CV8810F0</t>
  </si>
  <si>
    <t>CV5623F0</t>
  </si>
  <si>
    <t>Фен Rowenta / CV5623F0</t>
  </si>
  <si>
    <t>CV581LF0</t>
  </si>
  <si>
    <t>Фен Rowenta x KARL LAGERFELD / CV581LF0</t>
  </si>
  <si>
    <t>CV5713F0</t>
  </si>
  <si>
    <t>Фен Rowenta / CV5713F0</t>
  </si>
  <si>
    <t>CV5703F0</t>
  </si>
  <si>
    <t>Фен Rowenta / CV5703F0</t>
  </si>
  <si>
    <t>CV1613F0</t>
  </si>
  <si>
    <t>Фен Rowenta / CV1613F0</t>
  </si>
  <si>
    <t>CF9525F0</t>
  </si>
  <si>
    <t>Фен-щетка Rowenta / CF9525F0</t>
  </si>
  <si>
    <t>CF6130F0</t>
  </si>
  <si>
    <t>Фен-щетка Rowenta Volumizer / CF6130F0</t>
  </si>
  <si>
    <t>CF952LF0</t>
  </si>
  <si>
    <t>Фен-щетка Rowenta x KARL LAGERFELD / CF952LF0</t>
  </si>
  <si>
    <t>Фен-щетка Rowenta x KARL LAGERFELD / CF961LF0</t>
  </si>
  <si>
    <t>Фен-щетка Rowenta Brush Activ Ultimate Care / CF9720F0</t>
  </si>
  <si>
    <t>VC204810</t>
  </si>
  <si>
    <t>Кофеварка Krups / XP442C11</t>
  </si>
  <si>
    <t>F2034232</t>
  </si>
  <si>
    <t>Кофемолка Krups / F2034232</t>
  </si>
  <si>
    <t>F08801</t>
  </si>
  <si>
    <t>Фильтр для воды Krups / F08801</t>
  </si>
  <si>
    <t>XS300010</t>
  </si>
  <si>
    <t>Чистящее средство для кофемашины krups / XS300010</t>
  </si>
  <si>
    <t>F054001B</t>
  </si>
  <si>
    <t>Набор: поорошок для удаления накипи krups / F054001B</t>
  </si>
  <si>
    <t>CF2119F0</t>
  </si>
  <si>
    <t>Щипцы Rowenta / CF2119F0</t>
  </si>
  <si>
    <t>CF321LF0</t>
  </si>
  <si>
    <t>Щипцы Rowenta x KARL LAGERFELD / CF321LF0</t>
  </si>
  <si>
    <t>CF322LF0</t>
  </si>
  <si>
    <t>Щипцы Rowenta x KARL LAGERFELD / CF322LF0</t>
  </si>
  <si>
    <t>CF323LF0</t>
  </si>
  <si>
    <t>Щипцы Rowenta x KARL LAGERFELD / CF323LF0</t>
  </si>
  <si>
    <t>Кофемашина KRUPS / EA819N10</t>
  </si>
  <si>
    <t>Беспроводной пылесос Tefal / X-FORCE FLEX 12.60 ANIMAL AUTO TY98A9WO</t>
  </si>
  <si>
    <t>Беспроводной пылесос Tefal / X-FORCE FLEX 12.60 AQUA AUTO TY98C0WO</t>
  </si>
  <si>
    <t>Мультиварка Tefal / RK908A3</t>
  </si>
  <si>
    <t>KI583E10</t>
  </si>
  <si>
    <t>Электрический чайник Tefal / Bouilloire KI583E10</t>
  </si>
  <si>
    <t>FV5771E0</t>
  </si>
  <si>
    <t>Утюг Tefal / Easygliss Plus FV5771E0</t>
  </si>
  <si>
    <t>FV5736E0</t>
  </si>
  <si>
    <t>Утюг Tefal / Easygliss 2 FV5736E0</t>
  </si>
  <si>
    <t>Кухонная машина Moulinex / QA151810/ MC Essential</t>
  </si>
  <si>
    <t>XF383110</t>
  </si>
  <si>
    <t>Насадка овощерезка для HF80B832 Moulinex / XF383110</t>
  </si>
  <si>
    <t>ME106832</t>
  </si>
  <si>
    <t>Мясорубка Moulinex / ME106832</t>
  </si>
  <si>
    <t>K232S414</t>
  </si>
  <si>
    <t>Набор ножей 4 шт для стейка TEFAL  / K232S414.</t>
  </si>
  <si>
    <t>VF6670F0</t>
  </si>
  <si>
    <t>Колонный вентилятор Tefal / VF6670F0 / Eole Infinite</t>
  </si>
  <si>
    <t>ME472832</t>
  </si>
  <si>
    <t>Мясорубка Moulinex / ME472832</t>
  </si>
  <si>
    <t>CV887LF0</t>
  </si>
  <si>
    <t>Фен Rowenta &amp; KARL LAGERFELD / CV887LF0</t>
  </si>
  <si>
    <t>HD5236F0</t>
  </si>
  <si>
    <t>Увлажнитель воздуха Tefal / Aqua Perfect HD5236F0</t>
  </si>
  <si>
    <t>HD4020F0</t>
  </si>
  <si>
    <t>Увлажнитель воздуха Tefal / Aqua Boost HD4020F0</t>
  </si>
  <si>
    <t>SF4630F0</t>
  </si>
  <si>
    <t>Выпрямитель Rowenta / SF4630F0</t>
  </si>
  <si>
    <t>Триммер Rowenta / TN6040F4 / Forever Sharp Comfort</t>
  </si>
  <si>
    <t>ZR780000</t>
  </si>
  <si>
    <t>Комплект фильтров для пылесоса Tefal / ZR780000</t>
  </si>
  <si>
    <t>SF4621F0</t>
  </si>
  <si>
    <t>Выпрямитель ROWENTA / SF4621F0</t>
  </si>
  <si>
    <t>FV5772E0</t>
  </si>
  <si>
    <t>Утюг Tefal / Easygliss Plus FV5772E0</t>
  </si>
  <si>
    <t>FV5720E0</t>
  </si>
  <si>
    <t>Утюг Tefal / EasyGliss 2 FV5720E0</t>
  </si>
  <si>
    <t>HM461110</t>
  </si>
  <si>
    <t>Миксер погружной Moulinex / Prepmix+ HM461110</t>
  </si>
  <si>
    <t>HM464110</t>
  </si>
  <si>
    <t>Миксер стационарный  Moulinex / Prep Mix HM464110</t>
  </si>
  <si>
    <t>Мясорубка Moulinex / HV10 ME856D32</t>
  </si>
  <si>
    <t>K221SA14</t>
  </si>
  <si>
    <t>Набор ножей 5шт Tefal Comfort / K221SA14</t>
  </si>
  <si>
    <t>Робот-пылесос Tefal EXPLORER SERIE 75+ / RG8595WH</t>
  </si>
  <si>
    <t>Робот-пылесос Tefal  EXPLORER SERIE 75+ RG8597WH</t>
  </si>
  <si>
    <t>Робот-пылесос Tefal EXPLORER SERIE 75+ RG8577WH</t>
  </si>
  <si>
    <t>Пароварка Tefal Ultra Compact / VC204810</t>
  </si>
  <si>
    <t>Кухонная машина Moulinex / Masterchef Gourmet QA519D32</t>
  </si>
  <si>
    <t>Кухонная машина Moulinex / Wizzo QA317510</t>
  </si>
  <si>
    <t>HM450B10</t>
  </si>
  <si>
    <t>Ручной миксер Moulinex Prepmix HM450B10</t>
  </si>
  <si>
    <t>YD3017F0</t>
  </si>
  <si>
    <t>Машинка для стрижки волос и тримминга Rowenta / YD3017F0</t>
  </si>
  <si>
    <t>CV8820F0</t>
  </si>
  <si>
    <t>Фен Rowenta / CV8820F0</t>
  </si>
  <si>
    <t>CF9530F0</t>
  </si>
  <si>
    <t>Фен-щетка Rowenta / CF9530F0</t>
  </si>
  <si>
    <t>SF1500D8</t>
  </si>
  <si>
    <t>Выпрямитель Rowenta / SF1500D8 Easyliss</t>
  </si>
  <si>
    <t>Сковорода для блинов Tefal / Just 22 см4212522</t>
  </si>
  <si>
    <t>Сковорода Tefal/ 28 см Just 4212128</t>
  </si>
  <si>
    <t>Сковорода Tefal /  Just 24 см 4212124</t>
  </si>
  <si>
    <t>04212928</t>
  </si>
  <si>
    <t>Сковорода с крышкой Tefal / Just 28 см 04212928</t>
  </si>
  <si>
    <t>04212926</t>
  </si>
  <si>
    <t>Сковорода с крышкой Tefal / Just 26 см 04212926</t>
  </si>
  <si>
    <t>Сковорода ВОК Tefal / Just 28 см 4212628</t>
  </si>
  <si>
    <t>Сковорода Tefal /  Just 26 см 4212126</t>
  </si>
  <si>
    <t>Набор посуды Tefal / Illico 11 предметов G744SB74</t>
  </si>
  <si>
    <t>IT2440E0</t>
  </si>
  <si>
    <t>Отпариватель Tefal / ProStyle One IT2440E0</t>
  </si>
  <si>
    <t>Вертикальный  пылесос Tefal / TY99A8WO</t>
  </si>
  <si>
    <t>Вертикальный  пылесос Tefal / TY99C0WO</t>
  </si>
  <si>
    <t>LM488410</t>
  </si>
  <si>
    <t>Cтационарный блендер Moulinex/ Blendforce 2 Piano LM488410</t>
  </si>
  <si>
    <t>HM650E10</t>
  </si>
  <si>
    <t>Миксер Moulinex / Powermix Silence / HM650E10</t>
  </si>
  <si>
    <t>ME460132</t>
  </si>
  <si>
    <t>Мясорубка Moulinex /  Hv4 ME460132</t>
  </si>
  <si>
    <t>Мясорубка Moulinex / HV8 Pro ME688832</t>
  </si>
  <si>
    <t>Cковорода Tefal / Luminens 24 cм 04202124</t>
  </si>
  <si>
    <t>Cковорода Tefal / Luminens 26 cм 04202126</t>
  </si>
  <si>
    <t>Сковорода для блинов Tefal / Luminens 25 см 04224525</t>
  </si>
  <si>
    <t>Сковорода Tefal / Luminens 28 cм 04202128</t>
  </si>
  <si>
    <t>DT8250E1</t>
  </si>
  <si>
    <t>Ручной отпариватель Tefal / Access Steam Force DT8250E1</t>
  </si>
  <si>
    <t>PC120870</t>
  </si>
  <si>
    <t>Соковыжималка для цитрусовых Moulinex / Ultra Compact PC120870</t>
  </si>
  <si>
    <t>FV6812E0</t>
  </si>
  <si>
    <t>Утюг TEFAL / ULTRAGLISS PLUS FV6812E0</t>
  </si>
  <si>
    <t>CV1720F0</t>
  </si>
  <si>
    <t>Фен Rowenta / CV1720F0</t>
  </si>
  <si>
    <t>PP1535V0</t>
  </si>
  <si>
    <t>Весы Tefal / PP1535V0 Classic</t>
  </si>
  <si>
    <t>BC5125V1</t>
  </si>
  <si>
    <t>Кухонные весы Tefal / BC5125V1</t>
  </si>
  <si>
    <t>Машинка для стрижки Rowenta / TN5243F4</t>
  </si>
  <si>
    <t>TN3800F4</t>
  </si>
  <si>
    <t>Триммер Rowenta / TN3800F4</t>
  </si>
  <si>
    <t>TN3841F4</t>
  </si>
  <si>
    <t>Триммер Rowenta / TN3841F4 Expert</t>
  </si>
  <si>
    <t>TN4500F4</t>
  </si>
  <si>
    <t>Триммер Rowenta / TN4500F4</t>
  </si>
  <si>
    <t>Мультитриммер Rowenta / TN9461F4 Xpert</t>
  </si>
  <si>
    <t>ZR009501</t>
  </si>
  <si>
    <t>Сменные тряпки для моющей насадки Tefal ZR009501</t>
  </si>
  <si>
    <t>ZR009008</t>
  </si>
  <si>
    <t>Гофрированный послемоторный фильтр для беспроводных пылесосов Tefal ZR009008</t>
  </si>
  <si>
    <t>FV5735E0</t>
  </si>
  <si>
    <t>Утюг Tefal / Easygliss 2 FV5735E0</t>
  </si>
  <si>
    <t>FV1712E0</t>
  </si>
  <si>
    <t>Утюг Tefal / Virtuo FV1712E0</t>
  </si>
  <si>
    <t>Набор посуды Tefal / Comfort Max 6 предметов C9736C74</t>
  </si>
  <si>
    <t>Гриль Tefal / GC714834</t>
  </si>
  <si>
    <t>Мультиварка Moulinex / MK622832</t>
  </si>
  <si>
    <t>DD642132</t>
  </si>
  <si>
    <t>Погружной блендер / DD642132</t>
  </si>
  <si>
    <t>Стационарный блендер Moulinex / LM81G810</t>
  </si>
  <si>
    <t>Кухонная машина Moulinex / Wizzo QA319810</t>
  </si>
  <si>
    <t>Cковорода блинная TEFAL G2733872 25 см Daily Chef</t>
  </si>
  <si>
    <t>Аксессуар для вафель TEFAL XA 723812</t>
  </si>
  <si>
    <t>Блок для ножей из дерева с 5 ножами TEFAL K 232S574</t>
  </si>
  <si>
    <t>Бутербродница MOULINEX SM 154135</t>
  </si>
  <si>
    <t>SW611812</t>
  </si>
  <si>
    <t>Бутербродница MOULINEX SW 611812</t>
  </si>
  <si>
    <t>Вентилятор TEFAL VF 2310 F0</t>
  </si>
  <si>
    <t>VF2330F2</t>
  </si>
  <si>
    <t>Вентилятор TEFAL VF 2330 F2</t>
  </si>
  <si>
    <t>Вентилятор TEFAL VF 3910 F0</t>
  </si>
  <si>
    <t>VF4110F0</t>
  </si>
  <si>
    <t>Вентилятор TEFAL VF 4110 F0</t>
  </si>
  <si>
    <t>VF4440F0</t>
  </si>
  <si>
    <t>Вентилятор TEFAL VF 4440 F0</t>
  </si>
  <si>
    <t>VF4440F2</t>
  </si>
  <si>
    <t>Вентилятор TEFAL VF 4440 F2</t>
  </si>
  <si>
    <t>VF5670F0</t>
  </si>
  <si>
    <t>Вентилятор TEFAL VF 5670 F0</t>
  </si>
  <si>
    <t>Вентилятор TEFAL VF 6210 F0</t>
  </si>
  <si>
    <t>Вентилятор TEFAL VF 6670 F0</t>
  </si>
  <si>
    <t>Вентилятор TEFAL VF 6720 F0</t>
  </si>
  <si>
    <t>Венчик TEFAL K 1291714</t>
  </si>
  <si>
    <t>Вертикальный пылесос TEFAL TY 6545RH</t>
  </si>
  <si>
    <t>Вертикальный пылесос TEFAL TY 6547RH</t>
  </si>
  <si>
    <t>TY6933WO</t>
  </si>
  <si>
    <t>Вертикальный пылесос TEFAL TY 6933WO</t>
  </si>
  <si>
    <t>Вертикальный пылесос TEFAL TY 7233WO</t>
  </si>
  <si>
    <t>Вертикальный пылесос TEFAL TY 9171WO</t>
  </si>
  <si>
    <t>Вертикальный пылесос TEFAL TY 9471WO</t>
  </si>
  <si>
    <t>Вертикальный пылесос TEFAL TY 9479WO</t>
  </si>
  <si>
    <t>Вертикальный пылесос TEFAL TY 9490WO</t>
  </si>
  <si>
    <t>Вертикальный пылесос TEFAL TY 9679WO</t>
  </si>
  <si>
    <t>Вертикальный пылесос TEFAL TY 9890WO</t>
  </si>
  <si>
    <t>Вертикальный пылесос TEFAL TY 98A9WO</t>
  </si>
  <si>
    <t>Вертикальный пылесос TEFAL TY 98C0WO</t>
  </si>
  <si>
    <t>Вертикальный пылесос TEFAL TY 99A8 WO</t>
  </si>
  <si>
    <t>Вертикальный пылесос TEFAL TY 99C0 WO</t>
  </si>
  <si>
    <t>Вертикальный пылесос TEFAL VP 7545RH</t>
  </si>
  <si>
    <t>BM2523V0</t>
  </si>
  <si>
    <t>Весы TEFAL BM 2523 V0</t>
  </si>
  <si>
    <t>Весы TEFAL PP 1146 V0</t>
  </si>
  <si>
    <t>PP1221V0</t>
  </si>
  <si>
    <t>Весы TEFAL PP 1221</t>
  </si>
  <si>
    <t>Весы TEFAL PP 1300 V0</t>
  </si>
  <si>
    <t>Весы TEFAL PP 1400V0</t>
  </si>
  <si>
    <t>Весы TEFAL PP 1401 V0</t>
  </si>
  <si>
    <t>Весы TEFAL PP 1530 V0</t>
  </si>
  <si>
    <t>Весы TEFAL PP 1535 V0</t>
  </si>
  <si>
    <t>PT3040F0</t>
  </si>
  <si>
    <t>Воздухоочиститель TEFAL PT3040F0</t>
  </si>
  <si>
    <t>PU4026F0</t>
  </si>
  <si>
    <t>Воздухоочиститель TEFAL PU4026F0</t>
  </si>
  <si>
    <t>Воздухоочиститель TEFAL QF5030F0 (2в1)</t>
  </si>
  <si>
    <t>Гладильная доска TEFAL IB 5100 E0</t>
  </si>
  <si>
    <t>Гладильная доска TEFAL TI 1200 E0</t>
  </si>
  <si>
    <t>GV6840E0</t>
  </si>
  <si>
    <t>Гладильная система TEFAL GV 6840 EO</t>
  </si>
  <si>
    <t>GV7830E0</t>
  </si>
  <si>
    <t>Гладильная система TEFAL GV 7830E0</t>
  </si>
  <si>
    <t>GV9061E0</t>
  </si>
  <si>
    <t>Гладильная система TEFAL GV 9061E0</t>
  </si>
  <si>
    <t>GV9562E0</t>
  </si>
  <si>
    <t>Гладильная система TEFAL GV 9562E0</t>
  </si>
  <si>
    <t>GV9566E0</t>
  </si>
  <si>
    <t>Гладильная система TEFAL GV 9591E0</t>
  </si>
  <si>
    <t>Гладильная система TEFAL Pro Express Ultimate Care GV9581E0</t>
  </si>
  <si>
    <t>Гладильная система TEFAL Pro Express Ultimate GV9620E0</t>
  </si>
  <si>
    <t>Гладильная система TEFAL Pro Express Ultimate GV9710E0</t>
  </si>
  <si>
    <t>Гладильная система TEFAL Pro Express Ultimate II GV9712E0</t>
  </si>
  <si>
    <t>Гладильная система TEFAL Pro Express Ultimate II GV9721E0</t>
  </si>
  <si>
    <t>Гладильная система TEFAL Pro Express Vision GV9820E0</t>
  </si>
  <si>
    <t>SV6116E0</t>
  </si>
  <si>
    <t>Гладильная система TEFAL SV 6116E0</t>
  </si>
  <si>
    <t>SV6130E0</t>
  </si>
  <si>
    <t>Гладильная система TEFAL SV 6130E0</t>
  </si>
  <si>
    <t>SV7010E0</t>
  </si>
  <si>
    <t>Гладильная система TEFAL SV 7010E0</t>
  </si>
  <si>
    <t>SV8054E0</t>
  </si>
  <si>
    <t>Гладильная система TEFAL SV 8054E0</t>
  </si>
  <si>
    <t>Гладильная система TEFAL SV 8061E0</t>
  </si>
  <si>
    <t>XD5100E0</t>
  </si>
  <si>
    <t>Картридж для отпаривателя Tefal IXEO XD5100E0</t>
  </si>
  <si>
    <t>E2184414</t>
  </si>
  <si>
    <t>Кастрюля TEFAL E 2184414 (20 см)</t>
  </si>
  <si>
    <t>E2184614</t>
  </si>
  <si>
    <t>Кастрюля TEFAL E 2184614 (24 см)</t>
  </si>
  <si>
    <t>E2184475</t>
  </si>
  <si>
    <t>Кастрюля TEFAL E2184475 Pro Cook (20 см, 2,6 л)</t>
  </si>
  <si>
    <t>E2184675</t>
  </si>
  <si>
    <t>Кастрюля TEFAL E2184675 Pro Cook (24 см, 4,5 л)</t>
  </si>
  <si>
    <t>Кастрюля TEFAL E3084474 PRIMARY (20 см)</t>
  </si>
  <si>
    <t>Кастрюля TEFAL E3084674 PRIMARY (24 см)</t>
  </si>
  <si>
    <t>Кастрюля TEFAL G7194355 (18 см) 1.9 л DUETTO PLUS</t>
  </si>
  <si>
    <t>Кастрюля TEFAL G7194455 (20 см) 2.7 л DUETTO PLUS</t>
  </si>
  <si>
    <t>Кастрюля TEFAL G7194655 (24 см) 4.7 л DUETTO PLUS</t>
  </si>
  <si>
    <t>G7234474</t>
  </si>
  <si>
    <t>Кастрюля с крышкой TEFAL G7234474 (20 см) COOK&amp;CLIP</t>
  </si>
  <si>
    <t>G7234674</t>
  </si>
  <si>
    <t>Кастрюля с крышкой TEFAL G7234674 (24 см) COOK&amp;CLIP</t>
  </si>
  <si>
    <t>Ковш с крышкой TEFAL E3082274 PRIMARY (16 см)</t>
  </si>
  <si>
    <t>CQ3030F0</t>
  </si>
  <si>
    <t>Конвектор TEFAL CQ 3030 FO</t>
  </si>
  <si>
    <t>CQ3031F0</t>
  </si>
  <si>
    <t>Конвектор TEFAL CQ 3031 FO</t>
  </si>
  <si>
    <t>FG170819</t>
  </si>
  <si>
    <t>Кофеварка MOULINEX FG 170819</t>
  </si>
  <si>
    <t>FG360830</t>
  </si>
  <si>
    <t>Кофеварка MOULINEX FG 360830</t>
  </si>
  <si>
    <t>CM410530</t>
  </si>
  <si>
    <t>Кофеварка TEFAL CM 410530</t>
  </si>
  <si>
    <t>Кофемолка KRUPS F2034232</t>
  </si>
  <si>
    <t>Крышка TEFAL 04090118  (18 см)</t>
  </si>
  <si>
    <t>Крышка TEFAL 04090120 (20 см.)</t>
  </si>
  <si>
    <t>Крышка TEFAL 04090122 (22 см.)</t>
  </si>
  <si>
    <t>Крышка TEFAL 04090124 (24 см.)</t>
  </si>
  <si>
    <t>Крышка TEFAL 04090126 (26 см.)</t>
  </si>
  <si>
    <t>Крышка TEFAL 04090128 (28 см.)</t>
  </si>
  <si>
    <t>Крышка TEFAL 04090130 (30 см.)</t>
  </si>
  <si>
    <t>04199716</t>
  </si>
  <si>
    <t>Крышка TEFAL 4199716 Butterfly (16 см)</t>
  </si>
  <si>
    <t>04199718</t>
  </si>
  <si>
    <t>Крышка TEFAL 4199718 Butterfly (18 см)</t>
  </si>
  <si>
    <t>Крышка TEFAL 4199724 Butterfly (24 см)</t>
  </si>
  <si>
    <t>Крышка TEFAL 4199726 Butterfly (26 см)</t>
  </si>
  <si>
    <t>Крышка TEFAL 4199728 Butterfly (28 см)</t>
  </si>
  <si>
    <t>Кулинарные щипцы TEFAL K2060714</t>
  </si>
  <si>
    <t>QA150110</t>
  </si>
  <si>
    <t>Кухонная машина MOULINEX Masterchef Essential QA 150110</t>
  </si>
  <si>
    <t>Кухонная машина MOULINEX QA 310110</t>
  </si>
  <si>
    <t>Кухонная машина MOULINEX QA 317510</t>
  </si>
  <si>
    <t>QA509D32</t>
  </si>
  <si>
    <t>Кухонная машина MOULINEX QA 509D32</t>
  </si>
  <si>
    <t>Кухонная машина MOULINEX QA 519D32</t>
  </si>
  <si>
    <t>Кухонная машина MOULINEX QA 51AD10</t>
  </si>
  <si>
    <t>Кухонная машина MOULINEX QA 613DB1</t>
  </si>
  <si>
    <t>Кухонная машина MOULINEX QA3001B1</t>
  </si>
  <si>
    <t>Кухонные весы TEFAL BC 5102 V2</t>
  </si>
  <si>
    <t>BC5122V1</t>
  </si>
  <si>
    <t>Кухонные весы TEFAL BC 5122 V1</t>
  </si>
  <si>
    <t>Кухонные весы TEFAL BC 8000 V1</t>
  </si>
  <si>
    <t>FP521G30</t>
  </si>
  <si>
    <t>Кухонный комбайн MOULINEX FP 521G30</t>
  </si>
  <si>
    <t>Лопатка TEFAL 2744112</t>
  </si>
  <si>
    <t>Лопатка TEFAL 2744912</t>
  </si>
  <si>
    <t>Лопатка TEFAL 27451</t>
  </si>
  <si>
    <t>K1190314</t>
  </si>
  <si>
    <t>Лопатка TEFAL K1190314 угловая силиконовая</t>
  </si>
  <si>
    <t>K1192014</t>
  </si>
  <si>
    <t>Лопатка TEFAL K1192014 гибкая силиконовая</t>
  </si>
  <si>
    <t>LY4000</t>
  </si>
  <si>
    <t>Массажер ROWENTA LY 4000F0 (для тела)</t>
  </si>
  <si>
    <t>Машинка для стрижки катышков TEFAL JB 1011 E0</t>
  </si>
  <si>
    <t>Миксер MOULINEX HM 3101B1</t>
  </si>
  <si>
    <t>Миксер MOULINEX HM 3121B1</t>
  </si>
  <si>
    <t>Миксер MOULINEX HM 411110</t>
  </si>
  <si>
    <t>Миксер MOULINEX HM 461110</t>
  </si>
  <si>
    <t>Миксер MOULINEX HM 650E10</t>
  </si>
  <si>
    <t>MK622A32</t>
  </si>
  <si>
    <t>Мультиварка MOULINEX MK 622832</t>
  </si>
  <si>
    <t>Мультиварка TEFAL RK 321A32</t>
  </si>
  <si>
    <t>Мультиварка TEFAL RK 745832</t>
  </si>
  <si>
    <t>Мультиварка TEFAL RK 812832</t>
  </si>
  <si>
    <t>Мультиварка-скороварка MOULINEX CE 22A932</t>
  </si>
  <si>
    <t>CE502832</t>
  </si>
  <si>
    <t>Мультиварка-скороварка MOULINEX CE 502832</t>
  </si>
  <si>
    <t>Мультиварка-скороварка TEFAL CY 621D32</t>
  </si>
  <si>
    <t>CY753832</t>
  </si>
  <si>
    <t>Мультиварка-скороварка TEFAL CY 753832</t>
  </si>
  <si>
    <t>CF422LF0</t>
  </si>
  <si>
    <t>Мультистайлер ROWENTA CF 422 LF0</t>
  </si>
  <si>
    <t>Мультистайлер ROWENTA CF 4230 F0</t>
  </si>
  <si>
    <t>Мультитриммер ROWENTA TN 3650F0</t>
  </si>
  <si>
    <t>Мультитриммер ROWENTA TN 8930F0(F1) 7 в 1</t>
  </si>
  <si>
    <t>Мультитриммер ROWENTA TN 8931 F4</t>
  </si>
  <si>
    <t>Мультитриммер ROWENTA TN 8940F1</t>
  </si>
  <si>
    <t>TN8961F4</t>
  </si>
  <si>
    <t>Мультитриммер ROWENTA TN 8961F4</t>
  </si>
  <si>
    <t>Мясорубка MOULINEX ME 106832</t>
  </si>
  <si>
    <t>Мясорубка MOULINEX ME 108832</t>
  </si>
  <si>
    <t>Мясорубка MOULINEX ME 111032</t>
  </si>
  <si>
    <t>Мясорубка MOULINEX ME 208139</t>
  </si>
  <si>
    <t>Мясорубка MOULINEX ME 209139</t>
  </si>
  <si>
    <t>Мясорубка MOULINEX ME 301132</t>
  </si>
  <si>
    <t>Мясорубка MOULINEX ME 306832</t>
  </si>
  <si>
    <t>ME440139</t>
  </si>
  <si>
    <t>Мясорубка MOULINEX ME 4401</t>
  </si>
  <si>
    <t>Мясорубка MOULINEX ME 476132</t>
  </si>
  <si>
    <t>ME558810</t>
  </si>
  <si>
    <t>Мясорубка MOULINEX ME 558810</t>
  </si>
  <si>
    <t>ME660832</t>
  </si>
  <si>
    <t>Мясорубка MOULINEX ME 6608</t>
  </si>
  <si>
    <t>Мясорубка MOULINEX ME 858D32</t>
  </si>
  <si>
    <t>ZR005801</t>
  </si>
  <si>
    <t>Набор (для пылесоса) TEFAL ZR005801(2 тряпки,поролоновый фильтр,картридж от накипи) для пылесосов серии VP75</t>
  </si>
  <si>
    <t>ZR720002</t>
  </si>
  <si>
    <t>Набор аксессуаров для пылесоса TEFAL ZR720002 для робота-пылесоса RG72 (фильтр и две боковые щетки)</t>
  </si>
  <si>
    <t>Набор аксессуаров для пылесоса TEFAL ZR740003 для робота-пылесоса RG74** (HEPA фильтр и две боковые щетки)</t>
  </si>
  <si>
    <t>ZR762000</t>
  </si>
  <si>
    <t>Набор аксессуаров для пылесоса TEFAL ZR762000 для робота-пылесоса RG76** (2 HEPA фильтра, 2 тряпкочки и 2 боковые щетки)</t>
  </si>
  <si>
    <t>Набор кухонных аксессуаров TEFAL K210S514 "Масленица"</t>
  </si>
  <si>
    <t>Набор ножей TEFAL K221S375  Comfort 3 пр.</t>
  </si>
  <si>
    <t>Набор ножей TEFAL K221SA14 Comfort (5 ножей + блок)</t>
  </si>
  <si>
    <t>Набор ножей TEFAL K2323S74 ICE FORCE 3 пр.</t>
  </si>
  <si>
    <t>Набор ножей TEFAL K2324S74 ICE FORCE 4 пр.</t>
  </si>
  <si>
    <t>Набор ножей для стейка TEFAL K232S414 ICE FORCE 4 пр.</t>
  </si>
  <si>
    <t>Набор посуды TEFAL E 300SB74 EMOTION</t>
  </si>
  <si>
    <t>Набор посуды TEFAL E 3086S74</t>
  </si>
  <si>
    <t>Набор посуды TEFAL E308SB74 PRIMARY (11 пр)</t>
  </si>
  <si>
    <t>G721SD74</t>
  </si>
  <si>
    <t>Набор посуды TEFAL G721SD74 OPTI'SPACE (13 пр)</t>
  </si>
  <si>
    <t>04131810       </t>
  </si>
  <si>
    <t>Набор сковородок TEFAL 04131810 (22/26 см) с ручкой</t>
  </si>
  <si>
    <t>Набор сковородок TEFAL 04131820 (24/28 см) с ручкой</t>
  </si>
  <si>
    <t>Настольный гриль TEFAL GC 205012</t>
  </si>
  <si>
    <t>Настольный гриль TEFAL GC 242D38</t>
  </si>
  <si>
    <t>Настольный гриль TEFAL GC 305816</t>
  </si>
  <si>
    <t>Настольный гриль TEFAL GC 450B32</t>
  </si>
  <si>
    <t>Настольный гриль TEFAL GC 714834</t>
  </si>
  <si>
    <t>Нож TEFAL K1220104 (К1220114)</t>
  </si>
  <si>
    <t>Нож TEFAL K1220304 (К1220314) 15 см Fresh Kitchen</t>
  </si>
  <si>
    <t>Нож TEFAL K1220604 (K1220614)</t>
  </si>
  <si>
    <t>Нож TEFAL K1220704 (К1220714) 12 см Fresh Kitchen</t>
  </si>
  <si>
    <t>Нож TEFAL K2213204 (К2213214)</t>
  </si>
  <si>
    <t>Нож TEFAL K2213504 (K2213514)</t>
  </si>
  <si>
    <t>Нож TEFAL K2213604 (К2213614)</t>
  </si>
  <si>
    <t>Нож TEFAL K2213704 (К2213714)</t>
  </si>
  <si>
    <t>Нож TEFAL K2213904 (К2213914)</t>
  </si>
  <si>
    <t>K2320714</t>
  </si>
  <si>
    <t>Нож TEFAL К2320714</t>
  </si>
  <si>
    <t>K2320914</t>
  </si>
  <si>
    <t>Нож TEFAL К2320914</t>
  </si>
  <si>
    <t>K1560674</t>
  </si>
  <si>
    <t>Нож для овощей TEFAL K1560674 9 см Фреш Китчен Блэк</t>
  </si>
  <si>
    <t>Овощерезка MOULINEX XF 383110</t>
  </si>
  <si>
    <t>Овощечистка TEFAL К 1291814</t>
  </si>
  <si>
    <t>Овощечистка TEFAL К 1298114</t>
  </si>
  <si>
    <t>Отпариватель электрический TEFAL DT 3030E0</t>
  </si>
  <si>
    <t>DT6131E0</t>
  </si>
  <si>
    <t>Отпариватель электрический TEFAL DT 6131E0</t>
  </si>
  <si>
    <t>Отпариватель электрический TEFAL DT 7000E0</t>
  </si>
  <si>
    <t>Отпариватель электрический TEFAL DT 8250E1</t>
  </si>
  <si>
    <t>DT9530E1</t>
  </si>
  <si>
    <t>Отпариватель электрический TEFAL DT 9530E1</t>
  </si>
  <si>
    <t>Отпариватель электрический TEFAL DV 9001E0</t>
  </si>
  <si>
    <t>Отпариватель электрический TEFAL IT 2460E0</t>
  </si>
  <si>
    <t>Отпариватель электрический TEFAL IT 2461E0</t>
  </si>
  <si>
    <t>IT3460E0</t>
  </si>
  <si>
    <t>Отпариватель электрический TEFAL IT 3460E0</t>
  </si>
  <si>
    <t>Отпариватель электрический TEFAL IT 8460E0</t>
  </si>
  <si>
    <t>Отпариватель электрический TEFAL IT 8490E0</t>
  </si>
  <si>
    <t>Отпариватель электрический TEFAL IT 9501E2</t>
  </si>
  <si>
    <t>QT1010E0</t>
  </si>
  <si>
    <t>Отпариватель электрический TEFAL QT 1010E0</t>
  </si>
  <si>
    <t>Отпариватель электрический TEFAL QT 1020E0</t>
  </si>
  <si>
    <t>Панель для гриля TEFAL XA 725870</t>
  </si>
  <si>
    <t>Пароварка TEFAL VC 130130</t>
  </si>
  <si>
    <t>Пароварка TEFAL VC 145130</t>
  </si>
  <si>
    <t>Пароварка TEFAL VC 204810</t>
  </si>
  <si>
    <t>Пароварка TEFAL VC 300830</t>
  </si>
  <si>
    <t>Плойка ROWENTA CF 2112F0</t>
  </si>
  <si>
    <t>Плойка ROWENTA CF 2119 F0</t>
  </si>
  <si>
    <t>Плойка ROWENTA CF 3212</t>
  </si>
  <si>
    <t>Плойка ROWENTA CF 321L F0</t>
  </si>
  <si>
    <t>Плойка ROWENTA CF 3222</t>
  </si>
  <si>
    <t>Плойка ROWENTA CF 3232</t>
  </si>
  <si>
    <t>Плойка ROWENTA CF 3345</t>
  </si>
  <si>
    <t>Плойка ROWENTA CF 3461</t>
  </si>
  <si>
    <t>Плойка ROWENTA CF 3730F0</t>
  </si>
  <si>
    <t>Плойка ROWENTA CF 4102FO</t>
  </si>
  <si>
    <t>Плойка ROWENTA CF 4112FO</t>
  </si>
  <si>
    <t>Плойка ROWENTA CF 4132 14в1</t>
  </si>
  <si>
    <t>K2350204</t>
  </si>
  <si>
    <t>Подставка для ножей TEFAL K2350204</t>
  </si>
  <si>
    <t>Половник TEFAL 2744312</t>
  </si>
  <si>
    <t>Половник TEFAL К2060114</t>
  </si>
  <si>
    <t>Прибор для распрямления волос ROWENTA SF 1012 F0</t>
  </si>
  <si>
    <t>Прибор для распрямления волос ROWENTA SF 1312 F0</t>
  </si>
  <si>
    <t>Прибор для распрямления волос ROWENTA SF 1500 D8</t>
  </si>
  <si>
    <t>Прибор для распрямления волос ROWENTA SF 1516 F0</t>
  </si>
  <si>
    <t>Прибор для распрямления волос ROWENTA SF 1612 F0</t>
  </si>
  <si>
    <t>Прибор для распрямления волос ROWENTA SF 161L F0</t>
  </si>
  <si>
    <t>Прибор для распрямления волос ROWENTA SF 1627 F0</t>
  </si>
  <si>
    <t>Прибор для распрямления волос ROWENTA SF 1810 F0</t>
  </si>
  <si>
    <t>Прибор для распрямления волос ROWENTA SF 3232 F0</t>
  </si>
  <si>
    <t>Прибор для распрямления волос ROWENTA SF 323L F0</t>
  </si>
  <si>
    <t>Прибор для распрямления волос ROWENTA SF 4210</t>
  </si>
  <si>
    <t>Прибор для распрямления волос ROWENTA SF 4412</t>
  </si>
  <si>
    <t>Прибор для распрямления волос ROWENTA SF 4522 Do</t>
  </si>
  <si>
    <t>Прибор для распрямления волос ROWENTA SF 4620 F0</t>
  </si>
  <si>
    <t>Прибор для распрямления волос ROWENTA SF 4630 F0</t>
  </si>
  <si>
    <t>SF5010F0</t>
  </si>
  <si>
    <t>Прибор для распрямления волос ROWENTA SF 5010 F0</t>
  </si>
  <si>
    <t>Прибор для распрямления волос ROWENTA SF 7460</t>
  </si>
  <si>
    <t>Прибор для распрямления волос ROWENTA SF 7510 F0</t>
  </si>
  <si>
    <t>SF8220F0</t>
  </si>
  <si>
    <t>Прибор для распрямления волос ROWENTA SF 8220 F0</t>
  </si>
  <si>
    <t>ZR003901</t>
  </si>
  <si>
    <t>Пылесборник ROWENTA ZR003901 бумажный 6 шт.</t>
  </si>
  <si>
    <t>Пылесборник TEFAL /ROWENTA ZR200540  4 шт.</t>
  </si>
  <si>
    <t>Пылесос TEFAL IQ 7767 EA</t>
  </si>
  <si>
    <t>Пылесос TEFAL IQ 7777 EA</t>
  </si>
  <si>
    <t>Пылесос TEFAL Silence Force TW 7233EA</t>
  </si>
  <si>
    <t>Пылесос TEFAL TW 1931 RH</t>
  </si>
  <si>
    <t>Пылесос TEFAL TW 2922 EA</t>
  </si>
  <si>
    <t>Пылесос TEFAL TW 4855 EA</t>
  </si>
  <si>
    <t>TW4886EA</t>
  </si>
  <si>
    <t>Пылесос TEFAL TW 4886 EA</t>
  </si>
  <si>
    <t>TW7681EA</t>
  </si>
  <si>
    <t>Пылесос TEFAL TW 7681EA</t>
  </si>
  <si>
    <t>RG6875WH</t>
  </si>
  <si>
    <t>Робот-пылесос TEFAL RG 6875 WH</t>
  </si>
  <si>
    <t>Робот-пылесос TEFAL RG 7267 WH</t>
  </si>
  <si>
    <t>Робот-пылесос TEFAL RG 7375 WH</t>
  </si>
  <si>
    <t>Робот-пылесос TEFAL RG 7387 WH</t>
  </si>
  <si>
    <t>RG7687WH</t>
  </si>
  <si>
    <t>Робот-пылесос TEFAL RG 7687 WH</t>
  </si>
  <si>
    <t>Робот-пылесос TEFAL RG 7765 WH</t>
  </si>
  <si>
    <t>RG7767WH</t>
  </si>
  <si>
    <t>Робот-пылесос TEFAL RG 7767 WH</t>
  </si>
  <si>
    <t>Робот-пылесос TEFAL RG 7867 WH</t>
  </si>
  <si>
    <t>Робот-пылесос TEFAL RG 7987 WH</t>
  </si>
  <si>
    <t>Робот-пылесос TEFAL RG 8577 WH</t>
  </si>
  <si>
    <t>Робот-пылесос TEFAL RG 8597 WH</t>
  </si>
  <si>
    <t>Ручной блендер MOULINEX DD 533132</t>
  </si>
  <si>
    <t>Ручной блендер MOULINEX DD 641132</t>
  </si>
  <si>
    <t>Ручной блендер MOULINEX DD 642132</t>
  </si>
  <si>
    <t>DD644132</t>
  </si>
  <si>
    <t>Ручной блендер MOULINEX DD 644132</t>
  </si>
  <si>
    <t>Ручной блендер MOULINEX DD 64H110</t>
  </si>
  <si>
    <t>DD652832</t>
  </si>
  <si>
    <t>Ручной блендер MOULINEX DD 652832</t>
  </si>
  <si>
    <t>DD653832</t>
  </si>
  <si>
    <t>Ручной блендер MOULINEX DD 653832</t>
  </si>
  <si>
    <t>Ручной блендер MOULINEX DD 833810</t>
  </si>
  <si>
    <t>DD885D39</t>
  </si>
  <si>
    <t>Ручной блендер MOULINEX DD 885D39</t>
  </si>
  <si>
    <t>Сковорода  гриль  TEFAL E 2294074 26 Unlimited  круглая</t>
  </si>
  <si>
    <t>Сковорода + крышка TEFAL 4206924 EASY PLUS (24 см)</t>
  </si>
  <si>
    <t>Сковорода + крышка TEFAL 4206926 EASY PLUS (26 см)</t>
  </si>
  <si>
    <t>Сковорода + крышка TEFAL 4206928 EASY PLUS (28 см)</t>
  </si>
  <si>
    <t>04212924</t>
  </si>
  <si>
    <t>Сковорода + крышка TEFAL 4212924 JUST (24 см)</t>
  </si>
  <si>
    <t>Сковорода + крышка TEFAL 4212926 JUST (26 см)</t>
  </si>
  <si>
    <t>Сковорода + крышка TEFAL 4212928 JUST (28 см)</t>
  </si>
  <si>
    <t>Сковорода + стекл.крышка TEFAL 04166928 (28 см.)</t>
  </si>
  <si>
    <t>Сковорода TEFAL 04170126 (26см.)</t>
  </si>
  <si>
    <t>Сковорода TEFAL 04192124 24 GRANIT</t>
  </si>
  <si>
    <t>Сковорода TEFAL 04192126 26 GRANIT</t>
  </si>
  <si>
    <t>Сковорода TEFAL 04192128 28 GRANIT</t>
  </si>
  <si>
    <t>Сковорода TEFAL 04192525 25 GRANIT</t>
  </si>
  <si>
    <t>Сковорода TEFAL 04192628 BOK 28 GRANIT</t>
  </si>
  <si>
    <t>04206124</t>
  </si>
  <si>
    <t>Сковорода TEFAL 4206124 EASY PLUS (24 см)</t>
  </si>
  <si>
    <t>Сковорода TEFAL 4206126 EASY PLUS (26 см)</t>
  </si>
  <si>
    <t>Сковорода TEFAL 4206128 EASY PLUS (28 см)</t>
  </si>
  <si>
    <t>04206628</t>
  </si>
  <si>
    <t>Сковорода TEFAL 4206628 EASY PLUS (28см.) ВОК</t>
  </si>
  <si>
    <t>Сковорода TEFAL 4212124 JUST (24 см)</t>
  </si>
  <si>
    <t>Сковорода TEFAL 4212126 JUST (26 см)</t>
  </si>
  <si>
    <t>Сковорода TEFAL 4212128 JUST (28 см)</t>
  </si>
  <si>
    <t>Сковорода TEFAL 4212628 JUST (28см.) ВОК</t>
  </si>
  <si>
    <t>Сковорода TEFAL G2730472 24 см Daily Chef</t>
  </si>
  <si>
    <t>Сковорода TEFAL G2730572 26 см Daily Chef</t>
  </si>
  <si>
    <t>Сковорода TEFAL G2730672 28 см Daily Chef</t>
  </si>
  <si>
    <t>Сковорода TEFAL H 1180974 (для блинов 25см.)</t>
  </si>
  <si>
    <t>H1181974</t>
  </si>
  <si>
    <t>Сковорода TEFAL H 1181974 BOK</t>
  </si>
  <si>
    <t>G2731972</t>
  </si>
  <si>
    <t>Сковорода ВОК TEFAL G2731972 28 см Daily Chef</t>
  </si>
  <si>
    <t>04206522</t>
  </si>
  <si>
    <t>Сковорода для блинов TEFAL 4206522 EASY PLUS (22см.)</t>
  </si>
  <si>
    <t>Сковорода для блинов TEFAL 4212522 JUST (22 см)</t>
  </si>
  <si>
    <t>ZR177002</t>
  </si>
  <si>
    <t>Сменная тряпка TEFAL ZR177002 для роботов-пылесосов RG77 (2 тряпки-накладки из микрофибры)</t>
  </si>
  <si>
    <t>ZR177005</t>
  </si>
  <si>
    <t>Сменная тряпка TEFAL ZR177005 для роботов-пылесосов RG72/RG74/RG77 (2 тряпки-накладки из микрофибры)</t>
  </si>
  <si>
    <t>Сменная тряпка TEFAL ZR690202 для роботов-пылесосов RG72**, RG68** (2 шт)</t>
  </si>
  <si>
    <t>ZR740001</t>
  </si>
  <si>
    <t>Сменная тряпка TEFAL ZR740001 для роботов-пылесосов RG74**(2 тряпки-накладки из микрофибры)</t>
  </si>
  <si>
    <t>Соковыжималка MOULINEX JU 385H30</t>
  </si>
  <si>
    <t>JU420D10</t>
  </si>
  <si>
    <t>Соковыжималка MOULINEX JU 420D10</t>
  </si>
  <si>
    <t>Соковыжималка MOULINEX JU 610D10</t>
  </si>
  <si>
    <t>Соковыжималка MOULINEX PC 120870</t>
  </si>
  <si>
    <t>PC302B10</t>
  </si>
  <si>
    <t>Соковыжималка MOULINEX PC 302B10</t>
  </si>
  <si>
    <t>Сотейник TEFAL 04192224 24 GRANIT</t>
  </si>
  <si>
    <t>E2187275</t>
  </si>
  <si>
    <t>Сотейник TEFAL E2187275 Pro Cook (28 см)</t>
  </si>
  <si>
    <t>Стайлер ROWENTA CF 4512 F0</t>
  </si>
  <si>
    <t>Стайлер ROWENTA CF 4711 F0</t>
  </si>
  <si>
    <t>LM16L110</t>
  </si>
  <si>
    <t>Стационарный блендер MOULINEX LM 16L110</t>
  </si>
  <si>
    <t>LM181D10</t>
  </si>
  <si>
    <t>Стационарный блендер MOULINEX LM 181D10</t>
  </si>
  <si>
    <t>Стационарный блендер MOULINEX LM 233A32</t>
  </si>
  <si>
    <t>Стационарный блендер MOULINEX LM 2A0832</t>
  </si>
  <si>
    <t>Стационарный блендер MOULINEX LM 2С0110</t>
  </si>
  <si>
    <t>Стационарный блендер MOULINEX LM 355A10</t>
  </si>
  <si>
    <t>Стационарный блендер MOULINEX LM 42Q110</t>
  </si>
  <si>
    <t>Стационарный блендер MOULINEX LM 435810</t>
  </si>
  <si>
    <t>Стационарный блендер MOULINEX LM 439D10</t>
  </si>
  <si>
    <t>Стационарный блендер MOULINEX LM 488410</t>
  </si>
  <si>
    <t>Стационарный блендер MOULINEX LM 81G810</t>
  </si>
  <si>
    <t>LM935E10</t>
  </si>
  <si>
    <t>Стационарный блендер MOULINEX LM 935E10</t>
  </si>
  <si>
    <t>LM17GD10</t>
  </si>
  <si>
    <t>Стационарный блендер MOULINEX PULSEO LM 17GD10</t>
  </si>
  <si>
    <t>SE2210F0</t>
  </si>
  <si>
    <t>Тепловентилятор TEFAL SE 2210 F0</t>
  </si>
  <si>
    <t>SE9260F0</t>
  </si>
  <si>
    <t>Тепловентилятор TEFAL SE 9260 F0</t>
  </si>
  <si>
    <t>SE9420F0</t>
  </si>
  <si>
    <t>Тепловентилятор TEFAL SE 9420 F0</t>
  </si>
  <si>
    <t>Толкушка TEFAL 2744712</t>
  </si>
  <si>
    <t>Тостер MOULINEX TT 110232</t>
  </si>
  <si>
    <t>TT130130</t>
  </si>
  <si>
    <t>Тостер TEFAL TT 130130</t>
  </si>
  <si>
    <t>TN2801F4</t>
  </si>
  <si>
    <t>Триммер для бороды ROWENTA TN 2801F4</t>
  </si>
  <si>
    <t>Триммер для бороды ROWENTA TN 3800F4</t>
  </si>
  <si>
    <t>Триммер для бороды ROWENTA TN 3841F4</t>
  </si>
  <si>
    <t>Триммер для бороды ROWENTA TN 6000F4(F5)</t>
  </si>
  <si>
    <t>Триммер для бороды ROWENTA TN 9130F1(0)</t>
  </si>
  <si>
    <t>Триммер для бороды ROWENTA TN 9140F4</t>
  </si>
  <si>
    <t>Триммер для волос ROWENTA TN 1300F0</t>
  </si>
  <si>
    <t>Триммер для волос ROWENTA TN 1350F0</t>
  </si>
  <si>
    <t>Триммер для волос ROWENTA TN 1400 F1</t>
  </si>
  <si>
    <t>TN1601F1</t>
  </si>
  <si>
    <t>Триммер для волос ROWENTA TN 1601F1</t>
  </si>
  <si>
    <t>Триммер для волос ROWENTA TN 1603 F0</t>
  </si>
  <si>
    <t>TN1604F0</t>
  </si>
  <si>
    <t>Триммер для волос ROWENTA TN 1604F0</t>
  </si>
  <si>
    <t>TN1606F0</t>
  </si>
  <si>
    <t>Триммер для волос ROWENTA TN 1606F0</t>
  </si>
  <si>
    <t>Триммер для волос ROWENTA TN 5220F1</t>
  </si>
  <si>
    <t>Триммер для волос ROWENTA TN 5221F4</t>
  </si>
  <si>
    <t>Триммер для волос ROWENTA YD 3017 F0</t>
  </si>
  <si>
    <t>Увлажнитель воздуха TEFAL HD4020F0</t>
  </si>
  <si>
    <t>HD4045F0</t>
  </si>
  <si>
    <t>Увлажнитель воздуха TEFAL HD4045F0</t>
  </si>
  <si>
    <t>Увлажнитель воздуха TEFAL HD5236F0</t>
  </si>
  <si>
    <t>Угловая лопатка TEFAL K2060814</t>
  </si>
  <si>
    <t>K235S504</t>
  </si>
  <si>
    <t>Универсальный набор разделочных досок TEFAL K 235S504 ICE FORCE из пластика</t>
  </si>
  <si>
    <t>Утюг ROWENTA DA 1510 F1</t>
  </si>
  <si>
    <t>Утюг ROWENTA DA 1511 F1</t>
  </si>
  <si>
    <t>Утюг ROWENTA DW 5135 D1</t>
  </si>
  <si>
    <t>FV1526E2</t>
  </si>
  <si>
    <t>Утюг TEFAL FV 1526 E2</t>
  </si>
  <si>
    <t>Утюг TEFAL FV 1543 E0</t>
  </si>
  <si>
    <t>Утюг TEFAL FV 1711 E0</t>
  </si>
  <si>
    <t>Утюг TEFAL FV 1849 E0</t>
  </si>
  <si>
    <t>FV2548E0</t>
  </si>
  <si>
    <t>Утюг TEFAL FV 2548 EO</t>
  </si>
  <si>
    <t>FV2675E0</t>
  </si>
  <si>
    <t>Утюг TEFAL FV 2675 E0</t>
  </si>
  <si>
    <t>FV2684E0</t>
  </si>
  <si>
    <t>Утюг TEFAL FV 2684 E0</t>
  </si>
  <si>
    <t>Утюг TEFAL FV 2837 E0</t>
  </si>
  <si>
    <t>Утюг TEFAL FV 2838 E0</t>
  </si>
  <si>
    <t>FV2847E0</t>
  </si>
  <si>
    <t>Утюг TEFAL FV 2847 E0</t>
  </si>
  <si>
    <t>Утюг TEFAL FV 2865 E0</t>
  </si>
  <si>
    <t>Утюг TEFAL FV 2867 E0</t>
  </si>
  <si>
    <t>Утюг TEFAL FV 2868 E0</t>
  </si>
  <si>
    <t>FV3970E0</t>
  </si>
  <si>
    <t>Утюг TEFAL FV 3970</t>
  </si>
  <si>
    <t>FV5615E0</t>
  </si>
  <si>
    <t>Утюг TEFAL FV 5615 EO</t>
  </si>
  <si>
    <t>FV5625E0</t>
  </si>
  <si>
    <t>Утюг TEFAL FV 5625 EO</t>
  </si>
  <si>
    <t>FV5630E0</t>
  </si>
  <si>
    <t>Утюг TEFAL FV 5630 EO</t>
  </si>
  <si>
    <t>FV5635E0</t>
  </si>
  <si>
    <t>Утюг TEFAL FV 5635 EO</t>
  </si>
  <si>
    <t>FV5687E0</t>
  </si>
  <si>
    <t>Утюг TEFAL FV 5687 E0</t>
  </si>
  <si>
    <t>Утюг TEFAL FV 5695 E1</t>
  </si>
  <si>
    <t>Утюг TEFAL FV 5698 E0</t>
  </si>
  <si>
    <t>Утюг TEFAL FV 5718 E0</t>
  </si>
  <si>
    <t>Утюг TEFAL FV 5736 E0</t>
  </si>
  <si>
    <t>Утюг TEFAL FV 5737 E0</t>
  </si>
  <si>
    <t>Утюг TEFAL FV 5770 E0</t>
  </si>
  <si>
    <t>Утюг TEFAL FV 6813 E0</t>
  </si>
  <si>
    <t>Утюг TEFAL FV 6820 E0</t>
  </si>
  <si>
    <t>Утюг TEFAL FV 6830 E0</t>
  </si>
  <si>
    <t>Утюг TEFAL FV 6840 E0</t>
  </si>
  <si>
    <t>FV6872E0</t>
  </si>
  <si>
    <t>Утюг TEFAL FV 6872 E0</t>
  </si>
  <si>
    <t>FV9747E0</t>
  </si>
  <si>
    <t>Утюг TEFAL FV 9747</t>
  </si>
  <si>
    <t>FV9837E0</t>
  </si>
  <si>
    <t>Утюг TEFAL FV 9837 E0</t>
  </si>
  <si>
    <t>Утятница TEFAL E2156975 Pro Cook (30*22,5 см)</t>
  </si>
  <si>
    <t>Фен ROWENTA CV 1612 F0</t>
  </si>
  <si>
    <t>Фен ROWENTA CV 1613 F0</t>
  </si>
  <si>
    <t>Фен ROWENTA CV 1720 F0</t>
  </si>
  <si>
    <t>CV3620F0</t>
  </si>
  <si>
    <t>Фен ROWENTA CV 3620</t>
  </si>
  <si>
    <t>Фен ROWENTA CV 5512F0</t>
  </si>
  <si>
    <t>Фен ROWENTA CV 5622 F0</t>
  </si>
  <si>
    <t>Фен ROWENTA CV 5623 F0</t>
  </si>
  <si>
    <t>Фен ROWENTA CV 5703 F0</t>
  </si>
  <si>
    <t>Фен ROWENTA CV 5812F0</t>
  </si>
  <si>
    <t>Фен ROWENTA CV 581L F0</t>
  </si>
  <si>
    <t>Фен ROWENTA CV 5820 F0</t>
  </si>
  <si>
    <t>Фен ROWENTA CV 6135 F0</t>
  </si>
  <si>
    <t>Фен ROWENTA CV 6930 F0</t>
  </si>
  <si>
    <t>Фен ROWENTA CV 7461 F0</t>
  </si>
  <si>
    <t>Фен ROWENTA CV 7812 F0</t>
  </si>
  <si>
    <t>Фен ROWENTA CV 8250 F0</t>
  </si>
  <si>
    <t>Фен ROWENTA CV 8642</t>
  </si>
  <si>
    <t>Фен ROWENTA CV 8722 D0</t>
  </si>
  <si>
    <t>Фен ROWENTA CV 8810 F0</t>
  </si>
  <si>
    <t>Фен ROWENTA CV 8830 F0</t>
  </si>
  <si>
    <t>Фен ROWENTA CV 8840 F0</t>
  </si>
  <si>
    <t>Фен плойка ROWENTA CF 3910 F0</t>
  </si>
  <si>
    <t>Фен плойка ROWENTA CF 8242</t>
  </si>
  <si>
    <t>Фен плойка ROWENTA CF 8252</t>
  </si>
  <si>
    <t>Фен плойка ROWENTA CF 9520</t>
  </si>
  <si>
    <t>Фен плойка ROWENTA CF 9522</t>
  </si>
  <si>
    <t>Фен плойка ROWENTA CF 9525 F0</t>
  </si>
  <si>
    <t>Фен плойка ROWENTA CF 9540</t>
  </si>
  <si>
    <t>Фильтр (для пылесоса) ROWENTA HEPA ZR004201 для пылесосов серии TW52, TW24</t>
  </si>
  <si>
    <t>Фильтр (для пылесоса) ROWENTA HEPA ZR005901 для пылесосов серии TW37</t>
  </si>
  <si>
    <t>ZR903701</t>
  </si>
  <si>
    <t>Фильтр (для пылесоса) ROWENTA HEPA ZR903701 для пылесосов серии TW76</t>
  </si>
  <si>
    <t>Фильтр (для пылесоса) ROWENTA ZR005201 для пылесосов серии TY 6545</t>
  </si>
  <si>
    <t>Фильтр (для пылесоса) TEFAL HEPA ZR006001 для пылесосов серии TW69</t>
  </si>
  <si>
    <t>ZR009004</t>
  </si>
  <si>
    <t>Фильтр (для пылесоса) TEFAL HEPA ZR009004 для вертикальных пылесосов TY95**</t>
  </si>
  <si>
    <t>Фильтр (для пылесоса) TEFAL HEPA ZR902501 для пылесосов серии TW83</t>
  </si>
  <si>
    <t>ZR009002</t>
  </si>
  <si>
    <t>Фильтр (для пылесоса) TEFAL ZR009002 для пылесосов серии TY92**/TY94**</t>
  </si>
  <si>
    <t>ZR009003</t>
  </si>
  <si>
    <t>Фильтр (для пылесоса) TEFAL ZR009003 для вертикальных пылесосов TY95**</t>
  </si>
  <si>
    <t>Фильтр (для пылесоса) TEFAL ZR009008 для вертикальных пылесосов TY98** Гофрированный</t>
  </si>
  <si>
    <t>Фильтр (для пылесоса) TEFAL ZR903501 для пылесосов серии TW48</t>
  </si>
  <si>
    <t>Фильтр (для пылесоса) TEFAL ZR904301 для пылесосов серии TW29**</t>
  </si>
  <si>
    <t>Форма для пирога TEFAL J1629614 (23 см.)</t>
  </si>
  <si>
    <t>Хлебопечь MOULINEX OW 210130</t>
  </si>
  <si>
    <t>Чайник TEFAL C 7921024</t>
  </si>
  <si>
    <t>Чайник TEFAL C 7922024</t>
  </si>
  <si>
    <t>XD5150E0</t>
  </si>
  <si>
    <t>Чехол (для гладильной доски отпаривателя) Tefal XD5150EO</t>
  </si>
  <si>
    <t>XD5151E0</t>
  </si>
  <si>
    <t>Чехол (для гладильной доски отпаривателя) Tefal XD5151EO</t>
  </si>
  <si>
    <t>XD5160E0</t>
  </si>
  <si>
    <t>Чехол (для гладильной доски отпаривателя) Tefal XD5160EO</t>
  </si>
  <si>
    <t>Шумовка TEFAL 2744512</t>
  </si>
  <si>
    <t>ZR009500</t>
  </si>
  <si>
    <t>Щетка TEFAL ZR009500 на вертикальный пылесос AIR FORCE X60 AQUA TY95 для влажной уборки</t>
  </si>
  <si>
    <t>ZR009600</t>
  </si>
  <si>
    <t>Щетка TEFAL ZR009600 для вертикального пылесоса TY96/TY98 для влажной уборки</t>
  </si>
  <si>
    <t>Электрическая сушка TEFAL DF 100830</t>
  </si>
  <si>
    <t>LK2000V0</t>
  </si>
  <si>
    <t>Электронный безмен TEFAL LK 2000 V0</t>
  </si>
  <si>
    <t>OX464810</t>
  </si>
  <si>
    <t>Электропечь MOULINEX OX 464810</t>
  </si>
  <si>
    <t>Электропечь MOULINEX OX 464E32</t>
  </si>
  <si>
    <t>OX485832</t>
  </si>
  <si>
    <t>Электропечь MOULINEX OX 485832</t>
  </si>
  <si>
    <t>Электропечь TEFAL OF 310830</t>
  </si>
  <si>
    <t>BY530531</t>
  </si>
  <si>
    <t>Электрочайник MOULINEX BY 530531</t>
  </si>
  <si>
    <t>BY530630</t>
  </si>
  <si>
    <t>Электрочайник MOULINEX BY 530630</t>
  </si>
  <si>
    <t>BF560140</t>
  </si>
  <si>
    <t>Электрочайник TEFAL BF 5601</t>
  </si>
  <si>
    <t>BF925132</t>
  </si>
  <si>
    <t>Электрочайник TEFAL BF 9251 белый</t>
  </si>
  <si>
    <t>Электрочайник TEFAL BF 9252 желтый</t>
  </si>
  <si>
    <t>Электрочайник TEFAL BI 520D10</t>
  </si>
  <si>
    <t>Электрочайник TEFAL BJ 551B10</t>
  </si>
  <si>
    <t>KI150D30</t>
  </si>
  <si>
    <t>Электрочайник TEFAL KI 150D30</t>
  </si>
  <si>
    <t>Электрочайник TEFAL KI 270D30</t>
  </si>
  <si>
    <t>Электрочайник TEFAL KI 280D30</t>
  </si>
  <si>
    <t>KI583C10</t>
  </si>
  <si>
    <t>Электрочайник TEFAL KI 583C10</t>
  </si>
  <si>
    <t>Электрочайник TEFAL KI 583E10</t>
  </si>
  <si>
    <t>Электрочайник TEFAL KI 700830</t>
  </si>
  <si>
    <t>Электрочайник TEFAL KI 730D30</t>
  </si>
  <si>
    <t>Электрочайник TEFAL KI 772138</t>
  </si>
  <si>
    <t>KO120130</t>
  </si>
  <si>
    <t>Электрочайник TEFAL KO 120130 бело бежевый</t>
  </si>
  <si>
    <t>KO120B30</t>
  </si>
  <si>
    <t>Электрочайник TEFAL KO 120B30</t>
  </si>
  <si>
    <t>Электрочайник TEFAL KO 150130 белый</t>
  </si>
  <si>
    <t>KO150F30</t>
  </si>
  <si>
    <t>Электрочайник TEFAL KO 150F30</t>
  </si>
  <si>
    <t>KO151430</t>
  </si>
  <si>
    <t>Электрочайник TEFAL KO 151430</t>
  </si>
  <si>
    <t>KO260130</t>
  </si>
  <si>
    <t>Электрочайник TEFAL KO 260130</t>
  </si>
  <si>
    <t>Электрочайник TEFAL KO 260830</t>
  </si>
  <si>
    <t>Электрочайник TEFAL KO 270130</t>
  </si>
  <si>
    <t>KO29913E</t>
  </si>
  <si>
    <t>Электрочайник TEFAL KO 29913E</t>
  </si>
  <si>
    <t>Электрочайник TEFAL KO 450832</t>
  </si>
  <si>
    <t>Электрочайник TEFAL KO 511030</t>
  </si>
  <si>
    <t>KO512I30</t>
  </si>
  <si>
    <t>Электрочайник TEFAL KO 512I30</t>
  </si>
  <si>
    <t>Электрочайник TEFAL KO 693110</t>
  </si>
  <si>
    <t>Электрочайник TEFAL KO 851830</t>
  </si>
  <si>
    <t>Сковорода TEFAL 04170128 (28 см.)</t>
  </si>
  <si>
    <t>2744312 половник</t>
  </si>
  <si>
    <t>2744512 шумовка</t>
  </si>
  <si>
    <t>27447120 толкушка</t>
  </si>
  <si>
    <t>2745312 щипцы</t>
  </si>
  <si>
    <t>04206128</t>
  </si>
  <si>
    <t>A705A375</t>
  </si>
  <si>
    <t>BY320B16</t>
  </si>
  <si>
    <t>C6350602</t>
  </si>
  <si>
    <t>C6353802</t>
  </si>
  <si>
    <t>C6820475</t>
  </si>
  <si>
    <t>C6821975</t>
  </si>
  <si>
    <t>C6823875</t>
  </si>
  <si>
    <t>C7534154</t>
  </si>
  <si>
    <t>CE222B32</t>
  </si>
  <si>
    <t>CF7830F0</t>
  </si>
  <si>
    <t>CM600810</t>
  </si>
  <si>
    <t>CQ3030</t>
  </si>
  <si>
    <t>CV1603F0</t>
  </si>
  <si>
    <t>CV5706F0</t>
  </si>
  <si>
    <t>DT8230E1</t>
  </si>
  <si>
    <t>DV9000E0</t>
  </si>
  <si>
    <t>DW5325D1</t>
  </si>
  <si>
    <t>E2184634</t>
  </si>
  <si>
    <t>E2187234</t>
  </si>
  <si>
    <t>E2254604</t>
  </si>
  <si>
    <t>E2258504</t>
  </si>
  <si>
    <t>EA82F010</t>
  </si>
  <si>
    <t>EP2810F0</t>
  </si>
  <si>
    <t>EP2850F0</t>
  </si>
  <si>
    <t>EP2900F0</t>
  </si>
  <si>
    <t>EP2900F1</t>
  </si>
  <si>
    <t>EP8050F0</t>
  </si>
  <si>
    <t>FG381816</t>
  </si>
  <si>
    <t>FP827E10</t>
  </si>
  <si>
    <t>FV4996E0</t>
  </si>
  <si>
    <t>FV5603E0</t>
  </si>
  <si>
    <t>G1231953</t>
  </si>
  <si>
    <t>H1180675</t>
  </si>
  <si>
    <t>HM211A11</t>
  </si>
  <si>
    <t>K2070514</t>
  </si>
  <si>
    <t>K221SB14</t>
  </si>
  <si>
    <t>K2320214</t>
  </si>
  <si>
    <t>K2320214 Нож</t>
  </si>
  <si>
    <t>K2320514</t>
  </si>
  <si>
    <t>K2320514 Многофункц. нож 9 см</t>
  </si>
  <si>
    <t>K2320614</t>
  </si>
  <si>
    <t>K2320614 Нож</t>
  </si>
  <si>
    <t>K2320714 Нож</t>
  </si>
  <si>
    <t>K2320914 Нож</t>
  </si>
  <si>
    <t>LM355810</t>
  </si>
  <si>
    <t>LM420110</t>
  </si>
  <si>
    <t>ME548810</t>
  </si>
  <si>
    <t>MK708832</t>
  </si>
  <si>
    <t>PP1149V0</t>
  </si>
  <si>
    <t>PP1437V0</t>
  </si>
  <si>
    <t>PP1538V0</t>
  </si>
  <si>
    <t>PP2100V0</t>
  </si>
  <si>
    <t>PT3030F0</t>
  </si>
  <si>
    <t>PU4025F0</t>
  </si>
  <si>
    <t>RG7275WH</t>
  </si>
  <si>
    <t>RK905A32</t>
  </si>
  <si>
    <t>SF1515F0</t>
  </si>
  <si>
    <t>SF1629F0</t>
  </si>
  <si>
    <t>SV6120E0</t>
  </si>
  <si>
    <t>TN2300F1</t>
  </si>
  <si>
    <t>TN5120F0</t>
  </si>
  <si>
    <t>TN9300F6</t>
  </si>
  <si>
    <t>TT640810</t>
  </si>
  <si>
    <t>TW3927EA</t>
  </si>
  <si>
    <t>TW7222EA</t>
  </si>
  <si>
    <t>TW7266EA</t>
  </si>
  <si>
    <t>VF2310F0</t>
  </si>
  <si>
    <t>VF3640F0</t>
  </si>
  <si>
    <t>VF4210F0</t>
  </si>
  <si>
    <t>VF4420F0</t>
  </si>
  <si>
    <t>XD6050F0</t>
  </si>
  <si>
    <t>XP442C11</t>
  </si>
  <si>
    <t>XF980301</t>
  </si>
  <si>
    <t>Адаптер для насадок XF980301</t>
  </si>
  <si>
    <t>N3111200</t>
  </si>
  <si>
    <t>Бутылка для воды EMSA N3111200</t>
  </si>
  <si>
    <t>Ланч-бокс EMSA 517052 с разделителем</t>
  </si>
  <si>
    <t>Ланч-бокс EMSA 517053 с разделителем</t>
  </si>
  <si>
    <t>Ланч-бокс EMSA 518098</t>
  </si>
  <si>
    <t>N1051110</t>
  </si>
  <si>
    <t>Набор контейнеров EMSA N1051110</t>
  </si>
  <si>
    <t>Насадка XF383110</t>
  </si>
  <si>
    <t>XF630BB1</t>
  </si>
  <si>
    <t>Насадка XF630BB1</t>
  </si>
  <si>
    <t xml:space="preserve">XF631BB1 </t>
  </si>
  <si>
    <t>Насадка XF631BB1</t>
  </si>
  <si>
    <t xml:space="preserve">XF6320B1 </t>
  </si>
  <si>
    <t>Насадка XF6320B1</t>
  </si>
  <si>
    <t>XF634BB1</t>
  </si>
  <si>
    <t>Насадка XF634BB1</t>
  </si>
  <si>
    <t>Термокружка EMSA 513356 0.36л красная</t>
  </si>
  <si>
    <t>Термокружка EMSA 513548 0.36л зеленая</t>
  </si>
  <si>
    <t>Термокружка EMSA 515617 0.5л красная</t>
  </si>
  <si>
    <t>Термокружка EMSA 515618 0.5л синяя</t>
  </si>
  <si>
    <t>Термос EMSA 515715 1.0л красный</t>
  </si>
  <si>
    <t>Термос-чайник EMSA 504234 1.0л оранжевый</t>
  </si>
  <si>
    <t>N4010700</t>
  </si>
  <si>
    <t>Термос-чайник EMSA N4010700</t>
  </si>
  <si>
    <t>N4010900</t>
  </si>
  <si>
    <t>Термос-чайник EMSA N4010900</t>
  </si>
  <si>
    <t>Лопатка угловая Tefal 2744112</t>
  </si>
  <si>
    <t>Лопатка д/блинов Tefal 2744912</t>
  </si>
  <si>
    <t>Венчик Tefal 2745512</t>
  </si>
  <si>
    <t>Половник Tefal 2744312</t>
  </si>
  <si>
    <t>Шумовка Tefal 2744512</t>
  </si>
  <si>
    <t>Сэндвич-тостер Moulinex SM-1541</t>
  </si>
  <si>
    <t>Чайник Tefal KO-299</t>
  </si>
  <si>
    <t>Нож для мясорубок Moulinex ADR-901</t>
  </si>
  <si>
    <t>Щипцы Tefal 2745312</t>
  </si>
  <si>
    <t>Лопатка угловая Tefal 2743712</t>
  </si>
  <si>
    <t>Выпрямитель Rowenta SF-4412</t>
  </si>
  <si>
    <t>Кофеварка капсульная Krups KP-1006</t>
  </si>
  <si>
    <t>Пароварка Tefal VC-3008</t>
  </si>
  <si>
    <t>Чайник Tefal BF-9252</t>
  </si>
  <si>
    <t>Чайник Tefal BF-9251</t>
  </si>
  <si>
    <t>KI170D30</t>
  </si>
  <si>
    <t>Чайник Tefal KI-170</t>
  </si>
  <si>
    <t>DW6020D1</t>
  </si>
  <si>
    <t>Утюг Rowenta DW-6020</t>
  </si>
  <si>
    <t>Блендер стационарный Moulinex LM-233</t>
  </si>
  <si>
    <t xml:space="preserve">EP5660D0          </t>
  </si>
  <si>
    <t>Эпилятор Rowenta EP-5660</t>
  </si>
  <si>
    <t>HM41213E</t>
  </si>
  <si>
    <t>Миксер Moulinex HM-4121</t>
  </si>
  <si>
    <t>HM41013E</t>
  </si>
  <si>
    <t>Миксер Moulinex HM-4101</t>
  </si>
  <si>
    <t>Крышка 28 см Tefal 4090128</t>
  </si>
  <si>
    <t>Крышка 26 см Tefal 4090126</t>
  </si>
  <si>
    <t>Крышка 24 см Tefal 4090124</t>
  </si>
  <si>
    <t>Соковыжималка Moulinex JU-385</t>
  </si>
  <si>
    <t>CV7730D0</t>
  </si>
  <si>
    <t>Фен Rowenta CV-7730</t>
  </si>
  <si>
    <t xml:space="preserve">K0693214  </t>
  </si>
  <si>
    <t>Штопор классический Tefal K0693214</t>
  </si>
  <si>
    <t xml:space="preserve">K0690814 </t>
  </si>
  <si>
    <t>Нож  консервный Tefal K0690814</t>
  </si>
  <si>
    <t>Мясорубка Moulinex ME-2081</t>
  </si>
  <si>
    <t xml:space="preserve">MK706A32 </t>
  </si>
  <si>
    <t>Мультиварка Moulinex MK-706</t>
  </si>
  <si>
    <t>ME458139139</t>
  </si>
  <si>
    <t>Мясорубка Moulinex ME-4581</t>
  </si>
  <si>
    <t>KO330130</t>
  </si>
  <si>
    <t>Чайник Tefal KO-3301</t>
  </si>
  <si>
    <t>KO371I30</t>
  </si>
  <si>
    <t>Чайник Tefal KO-371I30</t>
  </si>
  <si>
    <t>Мультиварка Tefal RK-812</t>
  </si>
  <si>
    <t>04131830       </t>
  </si>
  <si>
    <t>Набор ковшей 16/20см Ingenio Tefal 04131830</t>
  </si>
  <si>
    <t>Сковорода ВОК 28см Expertise Tefal C6201972</t>
  </si>
  <si>
    <t>Сковорода для блинов 25см Expertise Tefal C6203872</t>
  </si>
  <si>
    <t>Сковорода 28см Expertise Tefal C6200672</t>
  </si>
  <si>
    <t>Сковорода гриль 26х26 Expertise Tefal C6204072</t>
  </si>
  <si>
    <t>Сковорода 26см Expertise Tefal C6200572</t>
  </si>
  <si>
    <t>Сковорода 24см Expertise Tefal C6200472</t>
  </si>
  <si>
    <t>Сковорода 24см Character Tefal C6820475</t>
  </si>
  <si>
    <t>C6820575</t>
  </si>
  <si>
    <t>Сковорода 26см Character Tefal C6820575</t>
  </si>
  <si>
    <t>Сковорода ВОК 28см Character Tefal C6821975</t>
  </si>
  <si>
    <t>Сковорода для блинов 25см Character Tefal C6823875</t>
  </si>
  <si>
    <t>Набор сковородок 22/26см Ingenio Tefal 04131810</t>
  </si>
  <si>
    <t>C6823275</t>
  </si>
  <si>
    <t>Сотейник 24см ст/кр Character Tefal C6823275</t>
  </si>
  <si>
    <t>FF220015</t>
  </si>
  <si>
    <t>Фритюрница Tefal FF-220015</t>
  </si>
  <si>
    <t>L9933015</t>
  </si>
  <si>
    <t>Ручка съемная для посуды Ingenio Tefal L9933015</t>
  </si>
  <si>
    <t>KP110810</t>
  </si>
  <si>
    <t>Кофеварка капсульная Krups KP-1108</t>
  </si>
  <si>
    <t>Фен-щетка Rowenta CF-8242</t>
  </si>
  <si>
    <t>Фен-щетка Rowenta CF-8252</t>
  </si>
  <si>
    <t>Кастрюля 20см Expertise Tefal C6204472</t>
  </si>
  <si>
    <t>Сотейник 26см Expertise Tefal C6207172</t>
  </si>
  <si>
    <t>RK815832</t>
  </si>
  <si>
    <t>Мультиварка Tefal RK-815</t>
  </si>
  <si>
    <t>DD656832</t>
  </si>
  <si>
    <t>Блендер погружной Moulinex DD-656</t>
  </si>
  <si>
    <t>Гриль Tefal GC-450B32</t>
  </si>
  <si>
    <t>PP3020V1</t>
  </si>
  <si>
    <t>Весы электронные Tefal PP-3020</t>
  </si>
  <si>
    <t>TW3724RA</t>
  </si>
  <si>
    <t>Пылесос Tefal TW-3724RA</t>
  </si>
  <si>
    <t xml:space="preserve">J4090554 </t>
  </si>
  <si>
    <t>Форма для запекания квадратная 23 Proflex Tefal J4090554</t>
  </si>
  <si>
    <t>Пылесос Tefal TW-8370RA</t>
  </si>
  <si>
    <t>TW2522RA</t>
  </si>
  <si>
    <t>Пылесос Tefal TW-2522RA</t>
  </si>
  <si>
    <t>Блендер погружной Moulinex DD-650</t>
  </si>
  <si>
    <t>Сковорода 24см Supreme Gusto Tefal H1180474</t>
  </si>
  <si>
    <t>Сковорода Гриль 26см Supreme Gusto Tefal H1184074</t>
  </si>
  <si>
    <t>Сковорода 28см Supreme Gusto Tefal H1180675</t>
  </si>
  <si>
    <t>Сковорода блинная 25см Supreme Gusto Tefal H1180974</t>
  </si>
  <si>
    <t>Сковорода ВОК 28см Supreme Gusto Tefal H1181974</t>
  </si>
  <si>
    <t>Сковорода 26см Supreme Gusto Tefal H1180575</t>
  </si>
  <si>
    <t>Сковорода 22см Supreme Gusto Tefal H1180374</t>
  </si>
  <si>
    <t>Гладильная доска Tefal IB-5100</t>
  </si>
  <si>
    <t>Весы электронные Tefal PP-1061</t>
  </si>
  <si>
    <t>Набор посуды Duetto Tefal A705S375</t>
  </si>
  <si>
    <t>Нож Сантоку 12см Tefal K2213614</t>
  </si>
  <si>
    <t>PP1130V0</t>
  </si>
  <si>
    <t>Весы электронные Tefal PP-1130</t>
  </si>
  <si>
    <t>Нож многофункциональный 12см Tefal K2213914</t>
  </si>
  <si>
    <t>GV9060E0</t>
  </si>
  <si>
    <t>Гладильная система Tefal GV-9060</t>
  </si>
  <si>
    <t>FV5648E0</t>
  </si>
  <si>
    <t>Утюг Tefal FV-5648</t>
  </si>
  <si>
    <t>Нож для чистки овощей 9см Tefal K2213514</t>
  </si>
  <si>
    <t>YG260132</t>
  </si>
  <si>
    <t>Йогуртница Tefal YG-260132</t>
  </si>
  <si>
    <t>C6920602</t>
  </si>
  <si>
    <t>Сковорода 28см Hard Titanium Tefal C6920602</t>
  </si>
  <si>
    <t>Фен Rowenta CV-7461</t>
  </si>
  <si>
    <t>Сковорода 22см Cook Right Tefal 4166122</t>
  </si>
  <si>
    <t>Сковорода 24см Cook Right Tefal 4166124</t>
  </si>
  <si>
    <t>Сковорода 20см Cook Right Tefal 4166120</t>
  </si>
  <si>
    <t>Сковорода 26см Cook Right Tefal 4166126</t>
  </si>
  <si>
    <t>Сковорода 28см Cook Right Tefal 4166128</t>
  </si>
  <si>
    <t>Сотейник 24см Cook Right Tefal 4166224</t>
  </si>
  <si>
    <t>Утюг Tefal FV-1543</t>
  </si>
  <si>
    <t>GV9080E0</t>
  </si>
  <si>
    <t>Гладильная система Tefal GV-9080</t>
  </si>
  <si>
    <t>Ковш 18см Cook Right Tefal 4166418</t>
  </si>
  <si>
    <t>Кастрюля 22см Cook Right Tefal 4166322</t>
  </si>
  <si>
    <t>Сковорода 28см ст/кр Cook Right Tefal 4166928</t>
  </si>
  <si>
    <t>Сковорода 20см ст/кр Cook Right Tefal 4166920</t>
  </si>
  <si>
    <t>Сковорода 24см ст/кр Cook Right Tefal 4166924</t>
  </si>
  <si>
    <t>TN9130F0</t>
  </si>
  <si>
    <t>Мультитриммер Rowenta TN-9130</t>
  </si>
  <si>
    <t>Tefal HEPA-фильтр Z-R902501</t>
  </si>
  <si>
    <t>Tefal HEPA-фильтр Z-R005701</t>
  </si>
  <si>
    <t>Tefal HEPA-фильтр Z-R005901</t>
  </si>
  <si>
    <t>Пылесос Tefal TW-6951EA</t>
  </si>
  <si>
    <t>Блендер погружной Moulinex DD-885</t>
  </si>
  <si>
    <t>Сковорода 24см Only Cook Tefal 4170124</t>
  </si>
  <si>
    <t>Сковорода 26см Only Cook Tefal 4170126</t>
  </si>
  <si>
    <t>Блендер погружной Moulinex DD-642</t>
  </si>
  <si>
    <t>TT330D30</t>
  </si>
  <si>
    <t>Тостер Tefal TT-330</t>
  </si>
  <si>
    <t>Сковорода 26см Tempo Tefal 4171126</t>
  </si>
  <si>
    <t>Сковорода 28см Tempo Tefal 4171128</t>
  </si>
  <si>
    <t>Хлебопечь Moulinex OW-220830</t>
  </si>
  <si>
    <t>Хлебопечь Moulinex OW-240E30</t>
  </si>
  <si>
    <t>TY8871RO</t>
  </si>
  <si>
    <t>Вертикальный пылесос Tefal TY-8871RO</t>
  </si>
  <si>
    <t>Гриль Tefal GC-205012</t>
  </si>
  <si>
    <t>Набор посуды Tefal A702S685</t>
  </si>
  <si>
    <t>Фен-щетка Rowenta CF-9522</t>
  </si>
  <si>
    <t>Сковорода 28см Only Cook Tefal 4170128</t>
  </si>
  <si>
    <t>K1181414</t>
  </si>
  <si>
    <t>Молоток отбивной для мяса  Tefal K2072814 INGENIO</t>
  </si>
  <si>
    <t>Чайник Tefal KI-730</t>
  </si>
  <si>
    <t>Чайник Tefal KO-120</t>
  </si>
  <si>
    <t>Чайник Tefal KO-150</t>
  </si>
  <si>
    <t>Сковорода 26см ст/кр Only Cook Tefal 4170926</t>
  </si>
  <si>
    <t>Сотейник 24см ст/кр Only Cook Tefal 4170224</t>
  </si>
  <si>
    <t>K2072814</t>
  </si>
  <si>
    <t>Лопатка Tefal Ingenio K1181414</t>
  </si>
  <si>
    <t>Сковорода 28см ст/кр Only Cook Tefal 4170928</t>
  </si>
  <si>
    <t>TW6984EA</t>
  </si>
  <si>
    <t>Пылесос Tefal TW-6984EA</t>
  </si>
  <si>
    <t>Tefal HEPA-фильтр Z-R006001</t>
  </si>
  <si>
    <t>EA907D31</t>
  </si>
  <si>
    <t>Кофемашина Krups EA-907</t>
  </si>
  <si>
    <t>Вертикальный пылесос Tefal TY-6543RH</t>
  </si>
  <si>
    <t>Вертикальный пылесос Tefal TY-6545RH</t>
  </si>
  <si>
    <t>Стайлер Rowenta CF-4112F0</t>
  </si>
  <si>
    <t>J4094215</t>
  </si>
  <si>
    <t>Форма силиконовая Tefal Proflex J4094215</t>
  </si>
  <si>
    <t>J4094815</t>
  </si>
  <si>
    <t>Форма для кекса Tefal Proflex J4094815</t>
  </si>
  <si>
    <t>J4090514</t>
  </si>
  <si>
    <t>Форма силиконовая Tefal Proflex J4090514</t>
  </si>
  <si>
    <t>Мясорубка Moulinex ME-106</t>
  </si>
  <si>
    <t>Соковыжималка цитрусовая Moulinex PC-300</t>
  </si>
  <si>
    <t>Выпрямитель Rowenta SF-7510</t>
  </si>
  <si>
    <t>Выпрямитель Rowenta SF-7460</t>
  </si>
  <si>
    <t>Мультитриммер Rowenta TN-3650</t>
  </si>
  <si>
    <t>CV7930F0</t>
  </si>
  <si>
    <t>Фен Rowenta CV-7930F0</t>
  </si>
  <si>
    <t>Фен Rowenta CV-8722</t>
  </si>
  <si>
    <t>Фен-щетка Rowenta CF-7830F0</t>
  </si>
  <si>
    <t>Эпилятор Rowenta EP-8050F0</t>
  </si>
  <si>
    <t>EP2851F0</t>
  </si>
  <si>
    <t>Эпилятор Rowenta EP-2851</t>
  </si>
  <si>
    <t>TN3010F1</t>
  </si>
  <si>
    <t>Триммер Rowenta TN-3010</t>
  </si>
  <si>
    <t>Tefal мешок для сбора пыли TW-64 ZR200540</t>
  </si>
  <si>
    <t>FV5654E0</t>
  </si>
  <si>
    <t>Утюг Tefal FV-5654</t>
  </si>
  <si>
    <t>K0691814</t>
  </si>
  <si>
    <t>Картофелечистка Tefal Comfort Touch K0691814</t>
  </si>
  <si>
    <t>Чайник Tefal KI-280</t>
  </si>
  <si>
    <t>Фен Rowenta CV-7812</t>
  </si>
  <si>
    <t>CV3312F0</t>
  </si>
  <si>
    <t>Фен Rowenta CV-3312</t>
  </si>
  <si>
    <t>Плойка Rowenta CF-3461</t>
  </si>
  <si>
    <t>FV1712</t>
  </si>
  <si>
    <t>Утюг Tefal FV-1712</t>
  </si>
  <si>
    <t>J1627414</t>
  </si>
  <si>
    <t>Форма для запекания Tefal J1627414</t>
  </si>
  <si>
    <t>Форма для кекса Tefal J1625314</t>
  </si>
  <si>
    <t>Сковорода 28см ст/кр Tempo Tefal 4171928</t>
  </si>
  <si>
    <t>Сковорода 26см ст/кр Tempo Tefal 4171926</t>
  </si>
  <si>
    <t>Увлажнитель воздуха Tefal HD-5230</t>
  </si>
  <si>
    <t>PP1145V0</t>
  </si>
  <si>
    <t>Весы электронные Tefal PP-1145</t>
  </si>
  <si>
    <t>Сковорода 24см ст/кр Only Cook Tefal 4170924</t>
  </si>
  <si>
    <t>Сотейник 24см ст/кр Tempo Tefal 4171224</t>
  </si>
  <si>
    <t>Утюг Tefal FV-3970</t>
  </si>
  <si>
    <t>Мясорубка Moulinex ME-306</t>
  </si>
  <si>
    <t>Вертикальный пылесос Tefal TY-9079RO</t>
  </si>
  <si>
    <t>K3010512</t>
  </si>
  <si>
    <t>Контейнер Clip&amp;Close Glass 2.0L Tefal K3010512</t>
  </si>
  <si>
    <t>K3021812</t>
  </si>
  <si>
    <t>Контейнер Clip&amp;Close rect 0.80L Tefal K3021812</t>
  </si>
  <si>
    <t>K3029012</t>
  </si>
  <si>
    <t>Набор контейнеров 5шт Tefal K3029012</t>
  </si>
  <si>
    <t>K3010212</t>
  </si>
  <si>
    <t>Контейнер стеклянный 0.5L Tefal K3010212</t>
  </si>
  <si>
    <t>K3010312</t>
  </si>
  <si>
    <t>Контейнер Clip&amp;Close Glass 0.9L Tefal K3010312</t>
  </si>
  <si>
    <t>K3021112</t>
  </si>
  <si>
    <t>Контейнер Clip&amp;Close 0.55L Tefal K3021112</t>
  </si>
  <si>
    <t>K3010412</t>
  </si>
  <si>
    <t>Контейнер Clip&amp;Close Glass 1.3L Tefal K3010412</t>
  </si>
  <si>
    <t>K3021212</t>
  </si>
  <si>
    <t>Контейнер Clip&amp;Close rect 1.20L Tefal K3021212</t>
  </si>
  <si>
    <t>KI240D30</t>
  </si>
  <si>
    <t>Чайник Tefal KI-240</t>
  </si>
  <si>
    <t>Чистящее средство для кофемашины Krups XS-300010</t>
  </si>
  <si>
    <t>K3031312</t>
  </si>
  <si>
    <t>Термос-чайник 1л Tefal K3031312 (Красный)</t>
  </si>
  <si>
    <t>K3066614</t>
  </si>
  <si>
    <t>Термос 0.9л Tefal K3066614 (Красный)</t>
  </si>
  <si>
    <t>K3036312</t>
  </si>
  <si>
    <t>Термос-чайник 1л Tefal K3036312 (Зеленый)</t>
  </si>
  <si>
    <t>Колонный вентилятор EOLE Tefal VF6670F0</t>
  </si>
  <si>
    <t>Компактный колонный вентилятор EOLE COMPACT Tefal VF6210F0</t>
  </si>
  <si>
    <t>Пылесос Tefal TW-7681EA</t>
  </si>
  <si>
    <t>TW7621EA</t>
  </si>
  <si>
    <t>Пылесос Tefal TW-7621EA</t>
  </si>
  <si>
    <t>Вертикальный моющий пылесос Tefal VP-7545RH</t>
  </si>
  <si>
    <t>GV9580E0</t>
  </si>
  <si>
    <t>Гладильная система Tefal GV-9580</t>
  </si>
  <si>
    <t>Отпариватель для одежды Tefal IT-3440</t>
  </si>
  <si>
    <t>K1290714</t>
  </si>
  <si>
    <t>Терка Tefal K1290714</t>
  </si>
  <si>
    <t>K1291314</t>
  </si>
  <si>
    <t>Ножницы кухонные Tefal K1291314</t>
  </si>
  <si>
    <t>K3100412</t>
  </si>
  <si>
    <t>Контейнер Tefal CLIP&amp;GO 1,2 л K3100412</t>
  </si>
  <si>
    <t>K3100812</t>
  </si>
  <si>
    <t>Контейнер Tefal CLIP&amp;GO 0,85л K3100812</t>
  </si>
  <si>
    <t>K3100212</t>
  </si>
  <si>
    <t>Контейнер Tefal CLIP&amp;GO 1,2л K3100212</t>
  </si>
  <si>
    <t>Овощечистка Tefal K1291814</t>
  </si>
  <si>
    <t>K3100312</t>
  </si>
  <si>
    <t>Контейнер Tefal CLIP&amp;GO 1,2л K3100312</t>
  </si>
  <si>
    <t>K1220614</t>
  </si>
  <si>
    <t>Нож 9 см Tefal K1220614</t>
  </si>
  <si>
    <t>K3100112</t>
  </si>
  <si>
    <t>Контейнер Tefal CLIP&amp;GO 1л K3100112</t>
  </si>
  <si>
    <t>K3100512</t>
  </si>
  <si>
    <t>Контейнер Tefal CLIP&amp;GO 1л K3100512</t>
  </si>
  <si>
    <t>K3100612</t>
  </si>
  <si>
    <t>Контейнер Tefal CLIP&amp;GO  0,55 K3100612</t>
  </si>
  <si>
    <t>K1220114</t>
  </si>
  <si>
    <t>Нож-сантоку Tefal K1220114</t>
  </si>
  <si>
    <t>K1220314</t>
  </si>
  <si>
    <t>Нож-шеф Tefal K1220314</t>
  </si>
  <si>
    <t>Фен Rowenta CV-3820F0</t>
  </si>
  <si>
    <t>Отпариватель для одежды Tefal IT-9501</t>
  </si>
  <si>
    <t>KO200830</t>
  </si>
  <si>
    <t>Чайник Tefal KO-200830</t>
  </si>
  <si>
    <t>DW8220F1</t>
  </si>
  <si>
    <t>Набор сковородок 24/28см Ingenio Tefal 04131820</t>
  </si>
  <si>
    <t>GV9590E0</t>
  </si>
  <si>
    <t>Гладильная система Tefal GV-9590</t>
  </si>
  <si>
    <t>Выпрямитель Rowenta SF-1515FO</t>
  </si>
  <si>
    <t>Насадка для приготовления бельгийских вафель Tefal на OPTIGRILL</t>
  </si>
  <si>
    <t>K3072114</t>
  </si>
  <si>
    <t>Термокружка Travel Mug Fun 0.36л Tefal K3072114 (Красный)</t>
  </si>
  <si>
    <t>K3071114</t>
  </si>
  <si>
    <t>Термокружка Travel Mug Fun 0.36л Tefal K3070114 (Белый)</t>
  </si>
  <si>
    <t>Термокружка Travel Mug Fun 0.36л Tefal K3071114 (Черный)</t>
  </si>
  <si>
    <t>Сковорода Гриль 26см Sensoria Tefal C7534154</t>
  </si>
  <si>
    <t>Мультиварка-скороварка Moulinex CE-620</t>
  </si>
  <si>
    <t>Конвектор TEFAL CQ-3030 Vectissimo черный</t>
  </si>
  <si>
    <t>D5061962</t>
  </si>
  <si>
    <t>Сковорода вок 28см So Intensive Tefal D5061962</t>
  </si>
  <si>
    <t>D5064462</t>
  </si>
  <si>
    <t>Кастрюля 20см So Intensive Tefal D5064462</t>
  </si>
  <si>
    <t>Конвектор TEFAL CQ-3031 Vectissimo белый</t>
  </si>
  <si>
    <t>D5064662</t>
  </si>
  <si>
    <t>Кастрюля 24см So Intensive Tefal D5064662</t>
  </si>
  <si>
    <t>Утюг Tefal FV-1849</t>
  </si>
  <si>
    <t>Гладильная система Tefal GV-9591</t>
  </si>
  <si>
    <t>Гладильная система Tefal GV-9581</t>
  </si>
  <si>
    <t>Мультиварка Tefal RK-745</t>
  </si>
  <si>
    <t>Машинка для стрижки волос Rowenta TN-1600</t>
  </si>
  <si>
    <t>TN1410F0</t>
  </si>
  <si>
    <t>Машинка для стрижки волос Rowenta TN-1410</t>
  </si>
  <si>
    <t>TN2300F0</t>
  </si>
  <si>
    <t>Триммер Rowenta TN-2300</t>
  </si>
  <si>
    <t>B815S614</t>
  </si>
  <si>
    <t>Набор посуды Simpleo Tefal B815S614</t>
  </si>
  <si>
    <t>C6340202</t>
  </si>
  <si>
    <t>Сковорода 21см Authentic Tefal C6340202</t>
  </si>
  <si>
    <t>C6343202</t>
  </si>
  <si>
    <t>Сотейник 24см  Authentic Tefal C6343202</t>
  </si>
  <si>
    <t>C6340402</t>
  </si>
  <si>
    <t>Сковорода 24см Authentic Tefal C6340402</t>
  </si>
  <si>
    <t>C6340502</t>
  </si>
  <si>
    <t>Сковорода 26см Authentic Tefal C6340502</t>
  </si>
  <si>
    <t>C6340602</t>
  </si>
  <si>
    <t>Сковорода 28см Authentic Tefal C6340602</t>
  </si>
  <si>
    <t>C6341902</t>
  </si>
  <si>
    <t>Сковорода Вок 28см Authentic Tefal C6341902</t>
  </si>
  <si>
    <t>Кастрюля 24см Trattoria Tefal E2184614</t>
  </si>
  <si>
    <t>G7124414</t>
  </si>
  <si>
    <t>Кастрюля 20см 3л Daily Cook Tefal G7124414</t>
  </si>
  <si>
    <t>G7122274</t>
  </si>
  <si>
    <t>Ковш 16см Daily Cook Tefal G7122274</t>
  </si>
  <si>
    <t>G7130614</t>
  </si>
  <si>
    <t>Сковорода 28с Daily Cook Tefal G7130614</t>
  </si>
  <si>
    <t>G7130414</t>
  </si>
  <si>
    <t>Сковорода 24см Daily Cook Tefal G7130414</t>
  </si>
  <si>
    <t>G7124614</t>
  </si>
  <si>
    <t>Кастрюля 24см 5,2л Daily Cook Tefal G7124614</t>
  </si>
  <si>
    <t>G7130214</t>
  </si>
  <si>
    <t>Сковорода 20см Daily Cook Tefal G7130214</t>
  </si>
  <si>
    <t>G7130514</t>
  </si>
  <si>
    <t>Сковорода 26см Daily Cook Tefal G7130514</t>
  </si>
  <si>
    <t>Форма с разъемным дном 25см Tefal J1626215</t>
  </si>
  <si>
    <t>K2302414</t>
  </si>
  <si>
    <t>Кисточка силиконовая Ingenio Wood Tefal K2302414</t>
  </si>
  <si>
    <t>Робот пылесос Tefal RG-7145RH</t>
  </si>
  <si>
    <t>Отпариватель для одежды Tefal IT-8460</t>
  </si>
  <si>
    <t>PP1070V0</t>
  </si>
  <si>
    <t>Весы электронные Tefal PP-1070</t>
  </si>
  <si>
    <t>Термокружка Travel Mug 0,36л Emsa 513548 (зелёный)</t>
  </si>
  <si>
    <t>Термокружка Travel Mug 0.36л Emsa 513357 (синий)</t>
  </si>
  <si>
    <t>Термокружка Travel Mug 0,36л Emsa 513359 (фиолетовый)</t>
  </si>
  <si>
    <t>Термокружка Travel Mug 0,36л Emsa 513361 (черный)</t>
  </si>
  <si>
    <t>Термокружка Travel Mug 0.36л Emsa 515108 (белый)</t>
  </si>
  <si>
    <t>Термокружка Travel Mug Grande 0.5л Emsa 515614</t>
  </si>
  <si>
    <t>Термокружка Travel Mug Grande 0.5л Emsa 515618 (синий)</t>
  </si>
  <si>
    <t>Термокружка Travel Mug Grande 0.5л Emsa 515615 (черный)</t>
  </si>
  <si>
    <t>Термос Senator Sleeve 0,5л Emsa 515711 (черный)</t>
  </si>
  <si>
    <t>Термос Senator Sleeve 0,5л Emsa 515712 (красный)</t>
  </si>
  <si>
    <t>Термос Senator Sleeve 1л Emsa 515715 (красный)</t>
  </si>
  <si>
    <t>Отпариватель для одежды Tefal QT-1020</t>
  </si>
  <si>
    <t>Гладильная система Tefal GV-9590 Демо</t>
  </si>
  <si>
    <t>FV9776E0</t>
  </si>
  <si>
    <t>Утюг Tefal FV-9776</t>
  </si>
  <si>
    <t>PP1060V0</t>
  </si>
  <si>
    <t>Весы электронные Tefal PP-1060</t>
  </si>
  <si>
    <t>Плойка Rowenta CF-2112</t>
  </si>
  <si>
    <t>Плойка Rowenta CF-3242</t>
  </si>
  <si>
    <t>K1292614</t>
  </si>
  <si>
    <t>Пресс для чеснока Tefal K1292614</t>
  </si>
  <si>
    <t>E2187214</t>
  </si>
  <si>
    <t>Сотейник 28см Trattoria Tefal E2187214(28см)</t>
  </si>
  <si>
    <t>Сковорода ВОК 28см Cook Right Tefal 4166628</t>
  </si>
  <si>
    <t>Порошок для удаления накипи Krups F-054001B</t>
  </si>
  <si>
    <t>XS900010</t>
  </si>
  <si>
    <t>Жидкость для очистки автокапуччинатора Krups XS-900010</t>
  </si>
  <si>
    <t>Чайник Tefal KO-260130</t>
  </si>
  <si>
    <t>Чайник Tefal KO-450832</t>
  </si>
  <si>
    <t>Фильтр для воды Claris Krups F-08801</t>
  </si>
  <si>
    <t>Пароварка Tefal VC-130130</t>
  </si>
  <si>
    <t>Пароварка Tefal VC-145130</t>
  </si>
  <si>
    <t>Плойка Rowenta CF-3212</t>
  </si>
  <si>
    <t>EP1038F0</t>
  </si>
  <si>
    <t>Эпилятор Rowenta EP-1038</t>
  </si>
  <si>
    <t>EP2910F0</t>
  </si>
  <si>
    <t>Эпилятор Rowenta EP-2910</t>
  </si>
  <si>
    <t>GV9611E0</t>
  </si>
  <si>
    <t>Гладильная система Tefal GV-9611</t>
  </si>
  <si>
    <t>G713SB74</t>
  </si>
  <si>
    <t>Набор посуды Daily Cook Tefal G713SB74</t>
  </si>
  <si>
    <t>Чайник 2,5л Tefal C7921024</t>
  </si>
  <si>
    <t>Чайник 3,0л Tefal C7922024</t>
  </si>
  <si>
    <t>SV8055E0</t>
  </si>
  <si>
    <t>Гладильная система Tefal SV-8055</t>
  </si>
  <si>
    <t>Гладильная система Tefal GV-9620</t>
  </si>
  <si>
    <t>Утюг Tefal FV-2675</t>
  </si>
  <si>
    <t>Утюг Tefal FV-9787</t>
  </si>
  <si>
    <t>Блендер стационарный Moulinex LM-181</t>
  </si>
  <si>
    <t>TY6751WO</t>
  </si>
  <si>
    <t>Вертикальный пылесос Tefal TY-6751WO</t>
  </si>
  <si>
    <t>Вертикальный пылесос Tefal TY-9256WO</t>
  </si>
  <si>
    <t>Вертикальный пылесос Tefal TY-9471WO</t>
  </si>
  <si>
    <t>VP8561RH</t>
  </si>
  <si>
    <t>Вертикальный моющий пылесос Tefal VP-8561RH</t>
  </si>
  <si>
    <t>B9074674</t>
  </si>
  <si>
    <t>Кастрюля 24см Simpleo Tefal B9074674</t>
  </si>
  <si>
    <t>Набор кастрюль 6 пр. Virtuoso Tefal E492S674</t>
  </si>
  <si>
    <t>Тепловентилятор Tefal SE-9260F0</t>
  </si>
  <si>
    <t>Тепловентилятор Tefal SE-9420F0</t>
  </si>
  <si>
    <t>Пылесос Tefal TW-7475EA</t>
  </si>
  <si>
    <t>Утюг дорожный Rowenta DA-1511</t>
  </si>
  <si>
    <t>KP100B10</t>
  </si>
  <si>
    <t>Кофеварка капсульная Krups KP-100B10</t>
  </si>
  <si>
    <t>Тостер WMF 414090711 (Lono)</t>
  </si>
  <si>
    <t>Пароварка WMF 415090711 (Kitchen Minis)</t>
  </si>
  <si>
    <t>Рисоварка WMF 415260711 (Kitchen Minis)</t>
  </si>
  <si>
    <t>Чайник WMF 413130711 (Metal Lono)</t>
  </si>
  <si>
    <t>Блендер погружной WMF 416350711 (Lineo)</t>
  </si>
  <si>
    <t>Блендер стационарный WMF 416530711 (Kult Pro)</t>
  </si>
  <si>
    <t>Чайник WMF 413150711 (Glass Lono)</t>
  </si>
  <si>
    <t>FV4993E0</t>
  </si>
  <si>
    <t>Утюг Tefal FV-4993</t>
  </si>
  <si>
    <t>TN6000F4</t>
  </si>
  <si>
    <t>Мультитриммер Rowenta TN-6000</t>
  </si>
  <si>
    <t>B9074474</t>
  </si>
  <si>
    <t>Кастрюля 20см Simpleo Tefal B9074474</t>
  </si>
  <si>
    <t>Фен Rowenta CV-1612</t>
  </si>
  <si>
    <t>Сотейник 24см ст/кр Performa Tefal 4190224</t>
  </si>
  <si>
    <t>Сковорода 22см Performa Tefal 4190122</t>
  </si>
  <si>
    <t>Сковорода 24см Performa Tefal 4190124</t>
  </si>
  <si>
    <t>Сковорода для блинов 25см Performa Tefal 4190525</t>
  </si>
  <si>
    <t>Утюг Tefal FV-5735</t>
  </si>
  <si>
    <t>Кастрюля 20см Performa Tefal 4190320</t>
  </si>
  <si>
    <t>Ковш 16см ст/кр Performa Tefal 4190416</t>
  </si>
  <si>
    <t>Сковорода 26см Performa Tefal 4190126</t>
  </si>
  <si>
    <t>Сковорода 28см Performa Tefal 4190128</t>
  </si>
  <si>
    <t>Сковорода ВОК 28см Performa Tefal 4190628</t>
  </si>
  <si>
    <t>Яйцеварка WMF 415020711 (Kitchen Minis)</t>
  </si>
  <si>
    <t>Блендер стационарный WMF 416630711 (Kult Pro)</t>
  </si>
  <si>
    <t>Плойка Rowenta CF-3222</t>
  </si>
  <si>
    <t>Плойка Rowenta CF-3232</t>
  </si>
  <si>
    <t>CV5432F0</t>
  </si>
  <si>
    <t>Фен Rowenta CV-5432</t>
  </si>
  <si>
    <t>Кухонная машина WMF 416320771 (Profi Plus)</t>
  </si>
  <si>
    <t>Пылесос Tefal TW-2947EA</t>
  </si>
  <si>
    <t>Гладильная доска Tefal IB-5100 Демо</t>
  </si>
  <si>
    <t>Кофеварка капельная WMF 412320711 (Lumero Glass Coffee)</t>
  </si>
  <si>
    <t>Утюг Tefal FV-5687</t>
  </si>
  <si>
    <t>Сотейник 24см ст/кр Granit Tefal 4192224</t>
  </si>
  <si>
    <t>Сковорода 24см Granit Tefal 4192124</t>
  </si>
  <si>
    <t>Сковорода 26см Granit Tefal 4192126</t>
  </si>
  <si>
    <t>Сковорода 28см Granit Tefal 4192128</t>
  </si>
  <si>
    <t>Сковорода для блинов 25см Granit Tefal 4192525</t>
  </si>
  <si>
    <t>Сковорода ВОК 28см Granit Tefal 4192628</t>
  </si>
  <si>
    <t>Картридж для отпаривателя Tefal XD-5100 (для моделей QT-1020/QT-1010)</t>
  </si>
  <si>
    <t>Вертикальный пылесос Tefal TY-9472WO</t>
  </si>
  <si>
    <t>Отпариватель для одежды Tefal IT-2461</t>
  </si>
  <si>
    <t>Хлебопечка WMF 415140711 (Kult X)</t>
  </si>
  <si>
    <t>Tefal HEPA-фильтр Z-R903701</t>
  </si>
  <si>
    <t>Гладильная система Tefal GV-7830</t>
  </si>
  <si>
    <t>Блендер стационарный Moulinex LM-355</t>
  </si>
  <si>
    <t>Робот пылесос Tefal RG-6825WH</t>
  </si>
  <si>
    <t>Машинка д/удаления катышков Tefal JB-1011</t>
  </si>
  <si>
    <t>JB1013E0</t>
  </si>
  <si>
    <t>Машинка д/удаления катышков Tefal JB-1013</t>
  </si>
  <si>
    <t>Ручной отпариватель Tefal DT-3030</t>
  </si>
  <si>
    <t>Ручной отпариватель Tefal DT-6131</t>
  </si>
  <si>
    <t>Ручной отпариватель Tefal DT-7000</t>
  </si>
  <si>
    <t>DT8100E0</t>
  </si>
  <si>
    <t>Ручной отпариватель Tefal DT-8100</t>
  </si>
  <si>
    <t>DT9100E0</t>
  </si>
  <si>
    <t>Ручной отпариватель Tefal DT-9100</t>
  </si>
  <si>
    <t>Ручной отпариватель Tefal DV-9001</t>
  </si>
  <si>
    <t>Гриль Tefal GC-305816</t>
  </si>
  <si>
    <t>Фен Rowenta CV-5622</t>
  </si>
  <si>
    <t>Фен Rowenta CV-5812</t>
  </si>
  <si>
    <t>Фен Rowenta CV-6930</t>
  </si>
  <si>
    <t>Насадка противень для запекания на Optigrill+ XA-725870</t>
  </si>
  <si>
    <t>Гриль Moulinex GC-208832</t>
  </si>
  <si>
    <t>Гриль Tefal GC-242D38</t>
  </si>
  <si>
    <t>Робот пылесос Tefal RG-7267WH</t>
  </si>
  <si>
    <t>Робот пылесос Tefal RG-7275WH</t>
  </si>
  <si>
    <t>Кухонный комбайн Moulinex FP-542111</t>
  </si>
  <si>
    <t>FP546811</t>
  </si>
  <si>
    <t>Кухонный комбайн Moulinex FP-546811</t>
  </si>
  <si>
    <t>Вертикальный моющий пылесос Tefal TY-9490WO</t>
  </si>
  <si>
    <t>Тепловентилятор Tefal SE-2210F0</t>
  </si>
  <si>
    <t>Выпрямитель Rowenta SF-4210</t>
  </si>
  <si>
    <t>Машинка для стрижки волос Rowenta TN-1300F0</t>
  </si>
  <si>
    <t>Сэндвич-тостер Moulinex SW-611812</t>
  </si>
  <si>
    <t>YG660132</t>
  </si>
  <si>
    <t>Йогуртница Tefal YG-660132</t>
  </si>
  <si>
    <t>Сушка для овощей и фруктов Tefal DF-100830</t>
  </si>
  <si>
    <t>E2156974</t>
  </si>
  <si>
    <t>Утятница овал. 30x22 Aroma Tefal E2156974</t>
  </si>
  <si>
    <t>Кастрюля 20см Cook&amp;Clip Tefal G7234474</t>
  </si>
  <si>
    <t>Кастрюля 24см Cook&amp;Clip Tefal G7234674</t>
  </si>
  <si>
    <t>H8524435</t>
  </si>
  <si>
    <t>Кастрюля 20см 3л Nordica Tefal H8524435</t>
  </si>
  <si>
    <t>H8524635</t>
  </si>
  <si>
    <t>Кастрюля 24см 5л Nordica Tefal H8524635</t>
  </si>
  <si>
    <t>Весы кухонные Tefal BC-1000</t>
  </si>
  <si>
    <t>Весы кухонные Tefal BC-5000</t>
  </si>
  <si>
    <t>Весы кухонные Tefal BC-5102</t>
  </si>
  <si>
    <t>K1181214</t>
  </si>
  <si>
    <t>Толкушка для картофеля Ingenio SS Tefal K1181214</t>
  </si>
  <si>
    <t>K2060614</t>
  </si>
  <si>
    <t>Щипцы для салата Ingenio PL Tefal K2060614</t>
  </si>
  <si>
    <t>Толкушка для картофеля Ingenio PL Tefal K2071214</t>
  </si>
  <si>
    <t>Нож шеф 20см Ice Force Tefal K2320214</t>
  </si>
  <si>
    <t>K2320414</t>
  </si>
  <si>
    <t>Нож для хлеба 20см Ice Force Tefal K2320414</t>
  </si>
  <si>
    <t>Нож многофункциональный 9см Ice Force Tefal K2320514</t>
  </si>
  <si>
    <t>Нож сантоку 18см Ice Force Tefal K2320614</t>
  </si>
  <si>
    <t>Нож для измельчения 20см Ice Force Tefal K2320714</t>
  </si>
  <si>
    <t>Нож универсальный 11см Ice Force Tefal K2320914</t>
  </si>
  <si>
    <t>K2321214</t>
  </si>
  <si>
    <t>Нож для разделки 7см Ice Force Tefal K2321214</t>
  </si>
  <si>
    <t>Набор ножей в деревянном блоке 6пр Ice Force Tefal K232S574</t>
  </si>
  <si>
    <t>Весы кухонные Tefal LK-2000</t>
  </si>
  <si>
    <t>B815S974</t>
  </si>
  <si>
    <t>Набор посуды 9 пр. Simpleo Tefal B815S974</t>
  </si>
  <si>
    <t>Набор посуды 6 пр. Opti'Space Tefal G720S674</t>
  </si>
  <si>
    <t>Набор посуды 6 пр. Nordica Tefal H852S325</t>
  </si>
  <si>
    <t>B9072274</t>
  </si>
  <si>
    <t>Ковш 16см 1,5л Simpleo Tefal B9072274</t>
  </si>
  <si>
    <t>G7232274</t>
  </si>
  <si>
    <t>Ковш 16см Cook&amp;Clip Tefal G7232274</t>
  </si>
  <si>
    <t>H8522235</t>
  </si>
  <si>
    <t>Ковш 16см 1,5л Nordica Tefal H8522235</t>
  </si>
  <si>
    <t>E2150434</t>
  </si>
  <si>
    <t>Сковорода 24см Aroma Tefal E2150434</t>
  </si>
  <si>
    <t>E2150634</t>
  </si>
  <si>
    <t>Сковорода 28см Aroma Tefal E2150634</t>
  </si>
  <si>
    <t>E2151934</t>
  </si>
  <si>
    <t>Сковорода ВОК 28см Aroma Tefal E2151934</t>
  </si>
  <si>
    <t>E2154034</t>
  </si>
  <si>
    <t>Сковорода гриль 26см Aroma Tefal E2154034</t>
  </si>
  <si>
    <t>E4970434</t>
  </si>
  <si>
    <t>Сковорода 24см Eternal Tefal E4970434</t>
  </si>
  <si>
    <t>E4970634</t>
  </si>
  <si>
    <t>Сковорода 28см Eternal Tefal E4970634</t>
  </si>
  <si>
    <t>E4971634</t>
  </si>
  <si>
    <t>Сковорода ВОК 28см Eternal Tefal E4971634</t>
  </si>
  <si>
    <t>Электропечь Moulinex OX-4648</t>
  </si>
  <si>
    <t>Электропечь Moulinex OX-464E</t>
  </si>
  <si>
    <t>Отпариватель для одежды Tefal IT-8490</t>
  </si>
  <si>
    <t>Машинка для стрижки волос Rowenta TN-5200F5</t>
  </si>
  <si>
    <t>GC706D34</t>
  </si>
  <si>
    <t>Набор ножей в деревянном блоке 6пр Comfort Tefal K221SA14</t>
  </si>
  <si>
    <t>Блендер погружной Moulinex DD-533132</t>
  </si>
  <si>
    <t>ME112832</t>
  </si>
  <si>
    <t>Мясорубка Moulinex ME-112</t>
  </si>
  <si>
    <t>Половник Ingenio PL Tefal K2060114</t>
  </si>
  <si>
    <t>K2060214</t>
  </si>
  <si>
    <t>Ложка для пасты Ingenio PL Tefal K2060214</t>
  </si>
  <si>
    <t>Шумовка Ingenio PL Tefal K2060314</t>
  </si>
  <si>
    <t>Ложка Ingenio PL Tefal K2060514</t>
  </si>
  <si>
    <t>Щипцы кулинарные Ingenio PL Tefal K2060714</t>
  </si>
  <si>
    <t>Утюг Tefal FV-5697</t>
  </si>
  <si>
    <t>Утюг Tefal FV-6830</t>
  </si>
  <si>
    <t>Утюг Tefal FV-6840</t>
  </si>
  <si>
    <t>Фен Rowenta CV-5830</t>
  </si>
  <si>
    <t>K121S375</t>
  </si>
  <si>
    <t>Набор ножей 3пр Expertise Tefal K121S375</t>
  </si>
  <si>
    <t>Пресс для чеснока Ingenio PL Tefal K2072614</t>
  </si>
  <si>
    <t>G720S474</t>
  </si>
  <si>
    <t>Набор посуды 4 пр. Opti'Space Tefal G720S474</t>
  </si>
  <si>
    <t>Пылесос Tefal TW-4853EA</t>
  </si>
  <si>
    <t>Пылесос Tefal TW-4881EA</t>
  </si>
  <si>
    <t>Мультирезка Moulinex DJ-755G32</t>
  </si>
  <si>
    <t>Мультирезка Moulinex DJ-905832</t>
  </si>
  <si>
    <t>K1180614</t>
  </si>
  <si>
    <t>Шумовка Ingenio SS Tefal K1180614</t>
  </si>
  <si>
    <t>Лопатка угловая Ingenio PL Tefal K2060814</t>
  </si>
  <si>
    <t>K1183014</t>
  </si>
  <si>
    <t>Щипцы для мяса Ingenio SS Tefal K1183014</t>
  </si>
  <si>
    <t>Вертикальный пылесос Tefal TY-7233WO</t>
  </si>
  <si>
    <t>RG6871WH</t>
  </si>
  <si>
    <t>Робот пылесос Tefal RG-6871WH</t>
  </si>
  <si>
    <t>Робот пылесос Tefal RG-7765WH</t>
  </si>
  <si>
    <t>Гладильная система Rowenta DG-9248</t>
  </si>
  <si>
    <t>Гладильная система Tefal SV-6140</t>
  </si>
  <si>
    <t>Гриль Tefal GC-241D38</t>
  </si>
  <si>
    <t>Блендер стационарный Moulinex LM-2A0832</t>
  </si>
  <si>
    <t>Вертикальный пылесос Tefal TY-7231WO</t>
  </si>
  <si>
    <t>Весы кухонные Tefal BC-5400</t>
  </si>
  <si>
    <t>Весы электронные Tefal PP-1146</t>
  </si>
  <si>
    <t>Электропечь Tefal OF-310830</t>
  </si>
  <si>
    <t>OF463830</t>
  </si>
  <si>
    <t>Электропечь Tefal OF-463830</t>
  </si>
  <si>
    <t>Блендер стационарный Moulinex LM-435810</t>
  </si>
  <si>
    <t>K1180214</t>
  </si>
  <si>
    <t>Половник Ingenio SS Tefal K1180214</t>
  </si>
  <si>
    <t>OX444832</t>
  </si>
  <si>
    <t>Электропечь Moulinex OX-444832</t>
  </si>
  <si>
    <t>G2739072</t>
  </si>
  <si>
    <t>Набор сковород (22-28) Daily Chef Tefal G2739072</t>
  </si>
  <si>
    <t>G2680472</t>
  </si>
  <si>
    <t>Сковорода 24см Ultimate Tefal G2680472</t>
  </si>
  <si>
    <t>Сковорода 24см Daily Chef Tefal G2730472</t>
  </si>
  <si>
    <t>Сковорода 26см Daily Chef Tefal G2730572</t>
  </si>
  <si>
    <t>Сковорода 28см Daily Chef Tefal G2730672</t>
  </si>
  <si>
    <t>Сковорода ВОК 28см Daily Chef Tefal G2731972</t>
  </si>
  <si>
    <t>Сотейник 24см ст.кр Daily Chef Tefal G2733272</t>
  </si>
  <si>
    <t>HD5235F0</t>
  </si>
  <si>
    <t>Увлажнитель воздуха Tefal HD-5235</t>
  </si>
  <si>
    <t>Электропечь Moulinex OX-485832</t>
  </si>
  <si>
    <t>Tefal набор из 2 тряпок ZR-005801 для VP75**</t>
  </si>
  <si>
    <t>Tefal набор из 2 тряпок ZR-690202 для RG72**, RG68**</t>
  </si>
  <si>
    <t>Tefal набор фильтров и щеток ZR-740003 для RG74**</t>
  </si>
  <si>
    <t>ZR850001</t>
  </si>
  <si>
    <t>Tefal набор из 4 картриджей от накипи ZR-850001 для VP85**</t>
  </si>
  <si>
    <t>ZR850002</t>
  </si>
  <si>
    <t>Tefal набор из 2 тряпок ZR-850002 для VP75** для VP85**</t>
  </si>
  <si>
    <t>ZR850003</t>
  </si>
  <si>
    <t>Tefal набор аксессуаров и щеток ZR-850003 для VP85**</t>
  </si>
  <si>
    <t>ZR005802</t>
  </si>
  <si>
    <t>Tefal насадка для очистки ковров ZR-005802 для VP75**,85**</t>
  </si>
  <si>
    <t>Tefal HEPA-фильтр ZR-005201 для TY65**</t>
  </si>
  <si>
    <t>ZR005202</t>
  </si>
  <si>
    <t>Tefal HEPA-фильтр ZR-005202 для TY72**</t>
  </si>
  <si>
    <t>ZR005203</t>
  </si>
  <si>
    <t>Tefal фильтр ZR-005203 для TY67**</t>
  </si>
  <si>
    <t>Tefal HEPA-фильтр ZR-009004</t>
  </si>
  <si>
    <t>Tefal фильтр ZR-009002 для TY92**/TY94**</t>
  </si>
  <si>
    <t>Tefal фильтр ZR-009003 для TY95**</t>
  </si>
  <si>
    <t>Tefal HEPA-фильтр ZR-904301 для TW29**</t>
  </si>
  <si>
    <t>Фен-щетка Rowenta CF-3910</t>
  </si>
  <si>
    <t>Фен-щетка Rowenta CF-9540</t>
  </si>
  <si>
    <t>K1180314</t>
  </si>
  <si>
    <t>Лопатка Ingenio SS Tefal K1180314</t>
  </si>
  <si>
    <t>K1181714</t>
  </si>
  <si>
    <t>Венчик Ingenio SS Tefal K1181714</t>
  </si>
  <si>
    <t>E4926S74</t>
  </si>
  <si>
    <t>Набор посуды 6 пр. Virtuoso Tefal E4926S74</t>
  </si>
  <si>
    <t>Сковорода для блинов 25см Daily Chef Tefal G2733872</t>
  </si>
  <si>
    <t>ZR901701</t>
  </si>
  <si>
    <t>Tefal турбощетка mini ZR-901701 для TW64**,68**,69**,76**,83**</t>
  </si>
  <si>
    <t>G2680672</t>
  </si>
  <si>
    <t>Сковорода 28см Ultimate Tefal G2680672</t>
  </si>
  <si>
    <t>Вертикальный пылесос Tefal TY-9679WO</t>
  </si>
  <si>
    <t>XD6060F0</t>
  </si>
  <si>
    <t>Угольный фильтр XD-6060 для очистителя Tefal PU40</t>
  </si>
  <si>
    <t>XD6074F0</t>
  </si>
  <si>
    <t>HEPA фильтр XD-6074 для очистителя Tefal PU40</t>
  </si>
  <si>
    <t>XD6082F0</t>
  </si>
  <si>
    <t>Nanocaptur фильтр XD-6082 от формальдегида для очистителей Tefal PT30/PU40</t>
  </si>
  <si>
    <t xml:space="preserve"> XD6230F0</t>
  </si>
  <si>
    <t>Угольный фильтр + фильтр ALLERGY + HEPA13 XD-6230 для очистителя Tefal PT30</t>
  </si>
  <si>
    <t>Утюг Rowenta DW-5127</t>
  </si>
  <si>
    <t>Воздухоочиститель Tefal PT-3040</t>
  </si>
  <si>
    <t>Воздухоочиститель Tefal PU-4026</t>
  </si>
  <si>
    <t>LM142A26</t>
  </si>
  <si>
    <t>Блендер стационарный Moulinex LM-142A26</t>
  </si>
  <si>
    <t>Кухонный комбайн Moulinex FP-827E10</t>
  </si>
  <si>
    <t>K1180814</t>
  </si>
  <si>
    <t>Ложка для пасты Ingenio SS Tefal K1180814</t>
  </si>
  <si>
    <t>G2689072</t>
  </si>
  <si>
    <t>Набор сковород (22-28) Ultimate Tefal G2689072</t>
  </si>
  <si>
    <t>Пылесос Tefal TW-2971EA</t>
  </si>
  <si>
    <t>Сменный чехол для гладильной доски XD-5151 (для модели QT-1020)</t>
  </si>
  <si>
    <t>Сменный чехол для гладильной доски XD-5160 (для модели QT-2020)</t>
  </si>
  <si>
    <t>Термос-чайник Samba 1л Emsa 504231 (Синий)</t>
  </si>
  <si>
    <t>Термос Senator 1л Emsa 618101600</t>
  </si>
  <si>
    <t>Термос Senator 0,5л Emsa 618501600</t>
  </si>
  <si>
    <t>G2663872</t>
  </si>
  <si>
    <t>Сковорода для блинов 25см Natural Force Tefal G2663872</t>
  </si>
  <si>
    <t>Вертикальный пылесос Tefal TY-9479WO</t>
  </si>
  <si>
    <t>Вертикальный моющий пылесос Tefal TY-9890WO</t>
  </si>
  <si>
    <t>Термос-чайник Samba 1л Emsa 508950 (Желтый)</t>
  </si>
  <si>
    <t>CM261838</t>
  </si>
  <si>
    <t>Кофеварка капельная Tefal CM-2618380</t>
  </si>
  <si>
    <t>Кофеварка капельная Tefal CM-600810</t>
  </si>
  <si>
    <t>G2660472</t>
  </si>
  <si>
    <t>Сковорода 24см Natural Force Tefal G2660472</t>
  </si>
  <si>
    <t>G2660572</t>
  </si>
  <si>
    <t>Сковорода 26см Natural Force Tefal G2660572</t>
  </si>
  <si>
    <t>G2660672</t>
  </si>
  <si>
    <t>Сковорода 28см Natural Force Tefal G2660672</t>
  </si>
  <si>
    <t>G2661972</t>
  </si>
  <si>
    <t>Сковорода ВОК 28см Natural Force Tefal G2661972</t>
  </si>
  <si>
    <t>Tefal набор фильтров и щеток ZR-720002 для RG72**</t>
  </si>
  <si>
    <t>Tefal набор из 2 тряпок ZR-740001 для RG74**</t>
  </si>
  <si>
    <t>Tefal фильтр ZR-009008 для TY98**</t>
  </si>
  <si>
    <t>Тостер Tefal TT-1A1830</t>
  </si>
  <si>
    <t>Тостер Tefal TT-640810</t>
  </si>
  <si>
    <t>Кофеварка капельная Moulinex FG-170819</t>
  </si>
  <si>
    <t>Кофемолка Krups F-2034232</t>
  </si>
  <si>
    <t>Пробка Clever&amp;More WMF 641026030</t>
  </si>
  <si>
    <t>Пробка для шампанского CLEVER &amp; MORE WMF 641036030</t>
  </si>
  <si>
    <t>Термометр для вина CLEVER&amp;MORE WMF 658516030</t>
  </si>
  <si>
    <t>Каппучинатор WMF 413300711 (Lumero)</t>
  </si>
  <si>
    <t>Аппарат для приготовления попкорна WMF 415470711</t>
  </si>
  <si>
    <t>Сушка для овощей и фруктов WMF 415250711 (Kitchen Minis)</t>
  </si>
  <si>
    <t>Тостер WMF 414190711 (Long Slot Lumero)</t>
  </si>
  <si>
    <t>Чайник WMF 413180712 (Kitchen Minis)</t>
  </si>
  <si>
    <t>Чайник WMF 413190711 (Kitchen Minis Graphite)</t>
  </si>
  <si>
    <t>Чайник WMF 413260711 (Lumero)</t>
  </si>
  <si>
    <t>Блендер стационарный WMF 416490711 (Kitchen Minis)</t>
  </si>
  <si>
    <t>Кухонная машина WMF 416680771 (Kitchen Minis Grey)</t>
  </si>
  <si>
    <t>Миксер WMF 416560711 (Kult X)</t>
  </si>
  <si>
    <t>Насадка для приготовления спагетти WMF 416810721</t>
  </si>
  <si>
    <t>Насадка для приготовления тальятелле WMF 416910721</t>
  </si>
  <si>
    <t>Насадка мясорубка WMF 416920711</t>
  </si>
  <si>
    <t>Насадка овощерезка WMF 416960771</t>
  </si>
  <si>
    <t>Овощерезка WMF 416400711 (Kitchen Minis)</t>
  </si>
  <si>
    <t>Мороженица WMF 416450711 (Kitchen Minis)</t>
  </si>
  <si>
    <t>Вакуумный упаковщик WMF 419070711 (Lono)</t>
  </si>
  <si>
    <t>Набор мисок GOURMET KUECHE 4пр WMF 645709990</t>
  </si>
  <si>
    <t>Контейнер TOP SERVE 3пр WMF 654249999</t>
  </si>
  <si>
    <t>Термокружка 0,35л нержавеющая сталь IMPULSE WMF 690726040</t>
  </si>
  <si>
    <t>Термокружка 0,35л (цвет медный) IMPULSE WMF 690726600</t>
  </si>
  <si>
    <t>Кастрюля Rose Quartz FUSIONTEC 20см WMF 514395290</t>
  </si>
  <si>
    <t>Кастрюля Rose Quartz FUSIONTEC 24см WMF 514495290</t>
  </si>
  <si>
    <t>K1180114</t>
  </si>
  <si>
    <t>Ложка Ingenio SS Tefal K1180114</t>
  </si>
  <si>
    <t>Щипцы сервировочные  NUOVA WMF 1297336040</t>
  </si>
  <si>
    <t>Щипцы для пасты NUOVA 25см WMF 1297356040</t>
  </si>
  <si>
    <t>Половник д/супа PROFI PLUS 30см WMF 1871016030</t>
  </si>
  <si>
    <t>Венчик PROFI PLUS 30см WMF 1871156030</t>
  </si>
  <si>
    <t>Нож для сердцевины яблок  PROFI PLUS WMF 1871296030</t>
  </si>
  <si>
    <t>Пресс для картофеля PROFI PLUS 28см WMF 1871386030</t>
  </si>
  <si>
    <t>Нож для чистки PROFI PLUS 19см WMF 1871396030</t>
  </si>
  <si>
    <t>Шумовка PROFI PLUS 30см WMF 1871976030</t>
  </si>
  <si>
    <t>Венчик PROFI PLUS 27см WMF 1872316030</t>
  </si>
  <si>
    <t>Молоток для мяса PROFI PLUS 25см WMF 1872946030</t>
  </si>
  <si>
    <t>Нож универсальный GRAND GOURMET 12см WMF 1880316032</t>
  </si>
  <si>
    <t>Нож поварской GRAND GOURMET 20см WMF 1880396032</t>
  </si>
  <si>
    <t>Нож китайский GRAND GOURMET 15см WMF 1880426032</t>
  </si>
  <si>
    <t>Ножницы кухонные с открывалкой WMF 1883216030</t>
  </si>
  <si>
    <t>Нож Сантоку GRAND GOURMET 18см WMF 1891946032</t>
  </si>
  <si>
    <t>Набор кухонных ножей SPITZENKLASSE 3пр WMF 1894919992</t>
  </si>
  <si>
    <t>Нож для овощей SPITZENKLASSE WMF 1895436032</t>
  </si>
  <si>
    <t>Нож поварской  SPITZENKLASSE 20см WMF 1895486032</t>
  </si>
  <si>
    <t>Нож для филе SPITZENKLASSE 17см WMF 1895936032</t>
  </si>
  <si>
    <t>Мусат SPITZENKLASSE 23см WMF 1895946030</t>
  </si>
  <si>
    <t>Нож для хлеба SPITZENKLASSE P WMF 1896076032</t>
  </si>
  <si>
    <t>Набор ножей Kineo 3пр WMF 1896249992</t>
  </si>
  <si>
    <t>Мыло против запаха GOURMET KUECHE WMF 605796030</t>
  </si>
  <si>
    <t>Спираль для фруктов 2шт BASIC WMF 618086040</t>
  </si>
  <si>
    <t>Подставка для горячих блюд WMF 632576030</t>
  </si>
  <si>
    <t>Сито для чая погружное размер S TEA TIME 4см WMF 636466040</t>
  </si>
  <si>
    <t>Нож сомелье WMF 658136030</t>
  </si>
  <si>
    <t>Мельница для специй на батарейках  CERAMILL WMF 667346030</t>
  </si>
  <si>
    <t>Набор кастрюль  FT Functional T 4-пр (Черный) WMF 517405290</t>
  </si>
  <si>
    <t>Ковш Rose Quartz FUSIONTEC 16см WMF 515295290</t>
  </si>
  <si>
    <t>Набор столовых приборов PALERMO 24пр WMF 1177006043</t>
  </si>
  <si>
    <t>Приборы детские SAFARI 4пр WMF 1280026040</t>
  </si>
  <si>
    <t>Набор детский PRINCESS 6пр WMF 1282409964</t>
  </si>
  <si>
    <t>Набор детский MICKEY MOUSE 6пр WMF 1282959964</t>
  </si>
  <si>
    <t>Набор детский CARS 6пр WMF 1286019964</t>
  </si>
  <si>
    <t>Набор столовых приборов детский MINIONS 4пр WMF 1286076040</t>
  </si>
  <si>
    <t>Ложки Long Drink набор NUOVA 6пр WMF 1291406046</t>
  </si>
  <si>
    <t>Салатная пара NUOVA 25см WMF 1291426040</t>
  </si>
  <si>
    <t>Ложка сервировочная NUOVA 25см WMF 1291476040</t>
  </si>
  <si>
    <t>Вилка сервировочная NUOVA WMF 1291496042</t>
  </si>
  <si>
    <t>Набор ложек для латте NUOVA 6шт WMF 1291746046</t>
  </si>
  <si>
    <t>Подставка для яйца с ложкой лимонная MCEGG WMF 616687290</t>
  </si>
  <si>
    <t>Щетка чистящая BASIC WMF 617597390</t>
  </si>
  <si>
    <t>Набор графин для воды 1л 2 стакана для воды 0,25л BASIC WMF 617709994</t>
  </si>
  <si>
    <t>Графин для воды 1.5л BASIC WMF 617726040</t>
  </si>
  <si>
    <t>Графин для воды 1.5л с ручкой  BASIC WMF 618046040</t>
  </si>
  <si>
    <t>Солонка-перечница 2шт WMF 634546040</t>
  </si>
  <si>
    <t>Графин 1,25л Motion WMF 651036040</t>
  </si>
  <si>
    <t>Декантер на подставке JETTE WMF 947712000</t>
  </si>
  <si>
    <t>Сковорода Hexagon PROFI RESIST 24см WMF 1756246411</t>
  </si>
  <si>
    <t>Сковорода Hexagon PROFI RESIST 28см WMF 1756286411</t>
  </si>
  <si>
    <t>Сковорода PERMADUR EXCELL 28см WMF 575284021</t>
  </si>
  <si>
    <t>Сковорода с высокими бортами PERMADUR PREMIUM 28см WMF 576484291</t>
  </si>
  <si>
    <t>Сковорода гриль PERMADUR PREMIUM 28х28см WMF 576504291</t>
  </si>
  <si>
    <t>Чайник заварочный с подставкой для подогрева SmarTea WMF 631096030</t>
  </si>
  <si>
    <t>Кофейник френч-пресс COFFEE TIME WMF 632456040</t>
  </si>
  <si>
    <t>Пробка для вина VINO WMF 640667920</t>
  </si>
  <si>
    <t>Штопор CLEVER &amp; MORE WMF 658186200</t>
  </si>
  <si>
    <t>Набор сомелье 5 предметов BARIC WMF 662866040</t>
  </si>
  <si>
    <t>Блендер стационарный Moulinex LM-42Q110</t>
  </si>
  <si>
    <t>Ложка детская WINNIE THE POOH DISNEY WMF 1283526040</t>
  </si>
  <si>
    <t>Нож для пиццы PROFI PLUS 21см WMF 1871346030</t>
  </si>
  <si>
    <t>Блок для ножей WMF 1873776040</t>
  </si>
  <si>
    <t>Нож для овощей GRAND GOURMET 9см WMF 1889466032</t>
  </si>
  <si>
    <t>Нож разделочный GRAND GOURMET 20см WMF 1889486032</t>
  </si>
  <si>
    <t>Набор ножей SPITZENKLASSE 6пр WMF 1895379992</t>
  </si>
  <si>
    <t>Нож универсальный SPITZENKLASSE 12см WMF 1895966032</t>
  </si>
  <si>
    <t>Блок с ножами Kineo 6пр WMF 1896259992</t>
  </si>
  <si>
    <t>Нож сомелье VINO WMF 658277920</t>
  </si>
  <si>
    <t>Нож для срезания фольги с бутылки VINO WMF 658337920</t>
  </si>
  <si>
    <t>Кастрюля низкая Rose Quartz FUSIONTEC 20см WMF 514595290</t>
  </si>
  <si>
    <t>Набор детский JUNGLE BOOK 6пр WMF 1283309964</t>
  </si>
  <si>
    <t>Приборы детские WINNIE THE POOH 4пр WMF 1283506040</t>
  </si>
  <si>
    <t>Набор детский UNICORN 6пр WMF 1286059964</t>
  </si>
  <si>
    <t>Набор столовых приборов детский MINIONS 6пр WMF 1286079964</t>
  </si>
  <si>
    <t>Набор для торта NUOVA 13пр WMF 1291376040</t>
  </si>
  <si>
    <t>Набор десертные ложка и вилка NUOVA WMF 1291606040</t>
  </si>
  <si>
    <t>Набор вилок для торта NUOVA 6шт WMF 1291666046</t>
  </si>
  <si>
    <t>Набор столовых приборов с собой My2go WMF 1295036040</t>
  </si>
  <si>
    <t>Ведро для вина MANHATTAN WMF 683969990</t>
  </si>
  <si>
    <t>Кофейник KULT WMF 630796030</t>
  </si>
  <si>
    <t>Весы электронные Tefal PP-1300</t>
  </si>
  <si>
    <t>Выпрямитель Rowenta SF-3232</t>
  </si>
  <si>
    <t>CV5940F0</t>
  </si>
  <si>
    <t>Фен Rowenta CV-5940</t>
  </si>
  <si>
    <t>Помпа для вина VINO WMF 640717920</t>
  </si>
  <si>
    <t>Крышка 22 см Tefal 4090122</t>
  </si>
  <si>
    <t>Крышка 18 см Tefal 4090118</t>
  </si>
  <si>
    <t>Крышка 20 см Tefal 4090120</t>
  </si>
  <si>
    <t>Крышка 30 стеклянная Tefal 4090130</t>
  </si>
  <si>
    <t>Крышка плоская 16 см Butterfly Tefal 4199716</t>
  </si>
  <si>
    <t>Крышка плоская 18 см Butterfly Tefal 4199718</t>
  </si>
  <si>
    <t>Крышка плоская 20 см Butterfly Tefal 4199720</t>
  </si>
  <si>
    <t>Крышка плоская 22 см Butterfly Tefal 4199722</t>
  </si>
  <si>
    <t>Крышка плоская 28 см Butterfly Tefal 4199728</t>
  </si>
  <si>
    <t>Крышка для сковороды 28см WMF 728399902</t>
  </si>
  <si>
    <t>Tefal насадка для влажной уборки ZR-009500 для TY95**</t>
  </si>
  <si>
    <t>Tefal насадка для влажной уборки ZR-009600 для TY96**, 98</t>
  </si>
  <si>
    <t>ZR009005</t>
  </si>
  <si>
    <t>Tefal фильтр ZR-009005 для TY96**</t>
  </si>
  <si>
    <t>ZR009006</t>
  </si>
  <si>
    <t>Tefal фильтр ZR-009006 для TY96**</t>
  </si>
  <si>
    <t>ZR009007</t>
  </si>
  <si>
    <t>Tefal фильтр ZR-009007 для TY98**</t>
  </si>
  <si>
    <t>Утюг Tefal FV-5699</t>
  </si>
  <si>
    <t>G2554672</t>
  </si>
  <si>
    <t>Кастрюля 24см Unlimited Tefal G2554672</t>
  </si>
  <si>
    <t>Набор ножей 4пр Ice Force Tefal K2324S74</t>
  </si>
  <si>
    <t>Нож консервный PROFI PLUS 23см WMF 1871486030</t>
  </si>
  <si>
    <t>Пресс для чеснока PROFI PLUS 17,5см WMF 1871636030</t>
  </si>
  <si>
    <t>Нож для хлеба с двойными зубчиками GRAND GOURMET WMF 1889506032</t>
  </si>
  <si>
    <t>Блок с ножами GRAND GOURMET 5пр WMF 1889669992</t>
  </si>
  <si>
    <t>Набор сковород (22-28) Unlimited Tefal G2559072</t>
  </si>
  <si>
    <t>Набор сковород (20-28) Natural Force Tefal G2669082</t>
  </si>
  <si>
    <t>G2683372</t>
  </si>
  <si>
    <t>Сотейник 26см ст/кр Ultimate Tefal G2683372</t>
  </si>
  <si>
    <t>Набор для сыра NUOVA 2пр WMF 1291786040</t>
  </si>
  <si>
    <t>Сковорода круглый гриль 26см Unlimited Tefal E2294074</t>
  </si>
  <si>
    <t>E2304074</t>
  </si>
  <si>
    <t>Сковорода круглый гриль 26см Ultimate Tefal E2304074</t>
  </si>
  <si>
    <t>Сковорода круглый гриль 26см Daily Chef Tefal E2374074</t>
  </si>
  <si>
    <t>G2550272</t>
  </si>
  <si>
    <t>Сковорода 20см Unlimited Tefal G2550272</t>
  </si>
  <si>
    <t>G2550372</t>
  </si>
  <si>
    <t>Сковорода 22см Unlimited Tefal G2550372</t>
  </si>
  <si>
    <t>G2550772</t>
  </si>
  <si>
    <t>Сковорода 30см Unlimited Tefal G2550772</t>
  </si>
  <si>
    <t>G2680272</t>
  </si>
  <si>
    <t>Сковорода 20см Ultimate Tefal G2680272</t>
  </si>
  <si>
    <t>G2680372</t>
  </si>
  <si>
    <t>Сковорода 22 см Ultimate Tefal G2680372</t>
  </si>
  <si>
    <t>G2680572</t>
  </si>
  <si>
    <t>Сковорода 26см Ultimate Tefal G2680572</t>
  </si>
  <si>
    <t>G2680772</t>
  </si>
  <si>
    <t>Сковорода 30см Ultimate Tefal G2680772</t>
  </si>
  <si>
    <t>G2681972</t>
  </si>
  <si>
    <t>Сковорода ВОК 28см Ultimate Tefal G2681972</t>
  </si>
  <si>
    <t>G2683872</t>
  </si>
  <si>
    <t>Сковорода для блинов 25см Ultimate Tefal G2683872</t>
  </si>
  <si>
    <t>G2687772</t>
  </si>
  <si>
    <t>Сковорода глубокая 26см Ultimate Tefal G2687772</t>
  </si>
  <si>
    <t>Сковорода глубокая 26см Daily Chef Tefal G2737772</t>
  </si>
  <si>
    <t>Термос-чайник Samba 1л Emsa 504687 (Белый)</t>
  </si>
  <si>
    <t>Tefal HEPA-фильтр ZR-903501 для TW48**</t>
  </si>
  <si>
    <t>Утюг Tefal FV-2837</t>
  </si>
  <si>
    <t>Весы электронные Tefal BM-2521</t>
  </si>
  <si>
    <t>CV7827F0</t>
  </si>
  <si>
    <t>Фен Rowenta CV-7827</t>
  </si>
  <si>
    <t>K2213214</t>
  </si>
  <si>
    <t>Нож поварской 20см Comfort Tefal K2213204</t>
  </si>
  <si>
    <t>Нож для чистки овощей 9см Tefal K2213504</t>
  </si>
  <si>
    <t>Нож Сантоку 12см Tefal K2213604</t>
  </si>
  <si>
    <t>K2213714</t>
  </si>
  <si>
    <t>Нож для измельчения 20см Comfort Tefal K2213704</t>
  </si>
  <si>
    <t>Нож многофункциональный 12см Tefal K2213904</t>
  </si>
  <si>
    <t>Набор ножей 3пр Comfort Tefal K221S375</t>
  </si>
  <si>
    <t>Набор посуды 6 пр. Primary Tefal E3086S74</t>
  </si>
  <si>
    <t>G7122255</t>
  </si>
  <si>
    <t>Ковш 16см Daily Cook Tefal G7122255</t>
  </si>
  <si>
    <t>G7300455</t>
  </si>
  <si>
    <t>Сковорода 24см Daily Cook Tefal G7300455</t>
  </si>
  <si>
    <t>G7309955</t>
  </si>
  <si>
    <t>Сковорода Вок 28см Daily Cook Tefal G7309955</t>
  </si>
  <si>
    <t>Вентилятор напольный Tefal VF3910F0</t>
  </si>
  <si>
    <t>Вентилятор напольный Tefal VF4420F0</t>
  </si>
  <si>
    <t>Штопор VINO WMF 658257920</t>
  </si>
  <si>
    <t>Лопатка пластиковая PROFI PLUS 32см WMF 1871596030</t>
  </si>
  <si>
    <t>Доска разделочная со сливом 38х25см WMF 1886879990</t>
  </si>
  <si>
    <t>Набор кастрюль  FT Functional T 4пр WMF 760046380</t>
  </si>
  <si>
    <t>Приборы столовые KENT 30пр WMF 1207916342</t>
  </si>
  <si>
    <t>Набор детский The Lion King 6пр WMF 1286049964</t>
  </si>
  <si>
    <t>Набор 2 чашки 2 ложки S Mickey Mouse WMF 1296436042</t>
  </si>
  <si>
    <t>Подставка для яйца с ложкой розовая MCEGG WMF 616687400</t>
  </si>
  <si>
    <t>Стакан для латте COFFEE TIME  0,23л 4пр WMF 948642040</t>
  </si>
  <si>
    <t>Сковорода PERMADUR EXCELL 24см WMF 575244021</t>
  </si>
  <si>
    <t>Кофейник для эспрессо WMF 631016030 (Kult)</t>
  </si>
  <si>
    <t>Нож-сантоку Tefal K1220104</t>
  </si>
  <si>
    <t>Нож-шеф Tefal K1220304</t>
  </si>
  <si>
    <t>Вентилятор настольный Tefal VF2310F0</t>
  </si>
  <si>
    <t>Утюг Tefal FV-2839</t>
  </si>
  <si>
    <t>Утюг Tefal FV-2865</t>
  </si>
  <si>
    <t>Утюг Tefal FV-2868</t>
  </si>
  <si>
    <t>Разделочная доска Emsa Perfect Cut 514454</t>
  </si>
  <si>
    <t>K1410174</t>
  </si>
  <si>
    <t>Нож для овощей 9см Tefal Character K1410174</t>
  </si>
  <si>
    <t>K1410274</t>
  </si>
  <si>
    <t>Шеф-нож 20см Tefal Character K1410274</t>
  </si>
  <si>
    <t>K1410474</t>
  </si>
  <si>
    <t>Нож для хлеба 20см Tefal Character K1410474</t>
  </si>
  <si>
    <t>K1410574</t>
  </si>
  <si>
    <t>Универсальный нож 12,5см Tefal Character K1410574</t>
  </si>
  <si>
    <t>K1410674</t>
  </si>
  <si>
    <t>Нож Сантоку 18см Tefal Character K1410674</t>
  </si>
  <si>
    <t>K1569075</t>
  </si>
  <si>
    <t>Блок для ножей Tefal Collection K1569075</t>
  </si>
  <si>
    <t>Машинка для стрижки волос Rowenta TN-1350</t>
  </si>
  <si>
    <t>TT520D10</t>
  </si>
  <si>
    <t>Тостер Tefal TT-520D10</t>
  </si>
  <si>
    <t>Терка Top Tools WMF 686076040</t>
  </si>
  <si>
    <t>G7303255</t>
  </si>
  <si>
    <t>Сотейник 24см Daily Cook Tefal G7303255</t>
  </si>
  <si>
    <t>Набор детский FROZEN 6пр WMF 1286009964</t>
  </si>
  <si>
    <t>G7300255</t>
  </si>
  <si>
    <t>Сковорода 20см Daily Cook Tefal G7300255</t>
  </si>
  <si>
    <t>G7300555</t>
  </si>
  <si>
    <t>Сковорода 26см Daily Cook Tefal G7300555</t>
  </si>
  <si>
    <t>G7300655</t>
  </si>
  <si>
    <t>Сковорода 28см Daily Cook Tefal G7300655</t>
  </si>
  <si>
    <t>Крышка плоская 24 см Butterfly Tefal 4199724</t>
  </si>
  <si>
    <t>Крышка плоская 26 см Butterfly Tefal 4199726</t>
  </si>
  <si>
    <t>PP1143V0</t>
  </si>
  <si>
    <t>Весы электронные Tefal PP-1143</t>
  </si>
  <si>
    <t>Стаканы для чая 2шт ICE TEA WMF 936382000</t>
  </si>
  <si>
    <t>Вентилятор колонный Tefal VF6720F0</t>
  </si>
  <si>
    <t>Пробка универсальная VIN WMF 640727920</t>
  </si>
  <si>
    <t>Утюг Tefal FV-6813</t>
  </si>
  <si>
    <t>G7124645</t>
  </si>
  <si>
    <t>Кастрюля 24см 5,2л Daily Cook Tefal G7124645</t>
  </si>
  <si>
    <t>Набор посуды Daily Cook Tefal G713SB45</t>
  </si>
  <si>
    <t>Робот пылесос Tefal RG-7675WH</t>
  </si>
  <si>
    <t>Воздухоочиститель Tefal Eclipse 2in1 Bladeless QF-5030</t>
  </si>
  <si>
    <t>Весы электронные Tefal PP-1400</t>
  </si>
  <si>
    <t>PP1500V0</t>
  </si>
  <si>
    <t>Весы электронные Tefal PP-1500</t>
  </si>
  <si>
    <t>Мультитриммер Rowenta TN-8940</t>
  </si>
  <si>
    <t>Чайник Tefal BI-520D10</t>
  </si>
  <si>
    <t>Робот пылесос Tefal RG-7987WH</t>
  </si>
  <si>
    <t>Весы электронные Tefal PP-1401</t>
  </si>
  <si>
    <t>Весы электронные Tefal PP-1403</t>
  </si>
  <si>
    <t>Машинка для стрижки волос Rowenta TN-1603</t>
  </si>
  <si>
    <t>Машинка для стрижки волос Rowenta TN-5221</t>
  </si>
  <si>
    <t>Триммер Rowenta TN-2801</t>
  </si>
  <si>
    <t>Мультитриммер Rowenta TN-9140</t>
  </si>
  <si>
    <t>Нож 9 см Tefal K1220604</t>
  </si>
  <si>
    <t>K221SA04</t>
  </si>
  <si>
    <t>Набор ножей в деревянном блоке 6пр Comfort Tefal K221SA04</t>
  </si>
  <si>
    <t>Ложка для подачи овощей NUOVA WMF 1291586040</t>
  </si>
  <si>
    <t>Робот пылесос Tefal RG-7767WH</t>
  </si>
  <si>
    <t>G7124445</t>
  </si>
  <si>
    <t>Кастрюля 20см 3л Daily Cook Tefal G7124445</t>
  </si>
  <si>
    <t>Набор ножей 4пр Comfort Tefal K221S475</t>
  </si>
  <si>
    <t>Робот пылесос Tefal RG-7375WH</t>
  </si>
  <si>
    <t>Робот пылесос Tefal RG-7387WH</t>
  </si>
  <si>
    <t>Весы электронные Tefal PP-1500, powder blue</t>
  </si>
  <si>
    <t>Машинка для стрижки волос Rowenta TN-1400</t>
  </si>
  <si>
    <t>Пароварка WMF 415360711 (Lono Sous-Vide)</t>
  </si>
  <si>
    <t>Весы электронные Tefal PP-1530</t>
  </si>
  <si>
    <t>Весы электронные Tefal PP-1535</t>
  </si>
  <si>
    <t>Выпрямитель Rowenta SF-1612</t>
  </si>
  <si>
    <t>Выпрямитель Rowenta SF-1810</t>
  </si>
  <si>
    <t>Стайлер Rowenta CF-4222</t>
  </si>
  <si>
    <t>Ножницы кухонные Comfort Tefal K2214104</t>
  </si>
  <si>
    <t>J1640574</t>
  </si>
  <si>
    <t>Форма с разъемным дном 36*24см Delibake Tefal J1640574</t>
  </si>
  <si>
    <t>J1641274</t>
  </si>
  <si>
    <t>Форма с разъемным дном 23см Delibake Tefal J1641274</t>
  </si>
  <si>
    <t>Форма с разъемным дном 27см Delibake Tefal J1641474</t>
  </si>
  <si>
    <t>Мультиварка Tefal RK-321A32</t>
  </si>
  <si>
    <t>Мультиварка Tefal RK-812832</t>
  </si>
  <si>
    <t>Кофеварка рожковая WMF 412360711 (Lumero)</t>
  </si>
  <si>
    <t>PP1536V0</t>
  </si>
  <si>
    <t>Весы электронные Tefal PP-1536</t>
  </si>
  <si>
    <t>CF3112F0</t>
  </si>
  <si>
    <t>Плойка Rowenta CF-3112</t>
  </si>
  <si>
    <t>CF3712F0</t>
  </si>
  <si>
    <t>Плойка Rowenta CF-3712</t>
  </si>
  <si>
    <t>Плойка Rowenta CF-3730</t>
  </si>
  <si>
    <t>CF3810F0</t>
  </si>
  <si>
    <t>Плойка Rowenta CF-3810</t>
  </si>
  <si>
    <t>Стайлер Rowenta CF-4102</t>
  </si>
  <si>
    <t>Стайлер Rowenta CF-4122</t>
  </si>
  <si>
    <t>Стайлер Rowenta CF-4512</t>
  </si>
  <si>
    <t>Мультитриммер Rowenta TN-8961</t>
  </si>
  <si>
    <t>Гриль WMF 415560711 (Profi Plus Perfection)</t>
  </si>
  <si>
    <t>Мясорубка WMF 417100711 (Profi Plus)</t>
  </si>
  <si>
    <t>Tefal набор фильтров и щеток ZR-177002 для RG77**</t>
  </si>
  <si>
    <t>Tefal набор из 2 тряпок ZR-177005 для RG77**</t>
  </si>
  <si>
    <t>Мультитриммер Rowenta TN-3651</t>
  </si>
  <si>
    <t>Пылесос Tefal TW-7233</t>
  </si>
  <si>
    <t>Насадка для приготовления пасты WMF 416950721</t>
  </si>
  <si>
    <t>Tefal набор из 2 тряпок для влажной уборки ZR-009501 для TY95**, TY96**, TY98**</t>
  </si>
  <si>
    <t>Мультиварка Moulinex MK-622832</t>
  </si>
  <si>
    <t>Кофеварка рожковая Krups XP-442C11</t>
  </si>
  <si>
    <t>XA726870</t>
  </si>
  <si>
    <t>Насадка противень для запекания на Optigrill XL XA-726870</t>
  </si>
  <si>
    <t>Крышка пластиковая 16см Ingenio Tefal 4162716</t>
  </si>
  <si>
    <t>Крышка пластиковая 20см Ingenio Tefal 4162720</t>
  </si>
  <si>
    <t>Крышка пластиковая 22см Ingenio Tefal 4162722</t>
  </si>
  <si>
    <t>Ручной отпариватель Tefal DT-9530</t>
  </si>
  <si>
    <t>H8114674</t>
  </si>
  <si>
    <t>Кастрюля 24см 5,2л Emotion Tefal H8114674</t>
  </si>
  <si>
    <t>H8119074</t>
  </si>
  <si>
    <t>Кастрюля для пасты + дуршлаг 22см Emotion Tefal H8119074</t>
  </si>
  <si>
    <t>Ручка съемная для посуды Ingenio Tefal 4200820</t>
  </si>
  <si>
    <t>Набор аксессуаров PROFI PLUS 7пр WMF 1876709990</t>
  </si>
  <si>
    <t>L9252874</t>
  </si>
  <si>
    <t>Ковш 16см Ingenio Emotion Tefal L9252874</t>
  </si>
  <si>
    <t>L9253074</t>
  </si>
  <si>
    <t>Ковш 20см Ingenio Emotion Tefal L9253074</t>
  </si>
  <si>
    <t>L6390672</t>
  </si>
  <si>
    <t>Сковорода 28см Ingenio Emotion Tefal L6390672</t>
  </si>
  <si>
    <t>L9480374</t>
  </si>
  <si>
    <t>Сковорода 22см Ingenio Emotion Tefal L9480374</t>
  </si>
  <si>
    <t>L9480574</t>
  </si>
  <si>
    <t>Сковорода 26см Ingenio Emotion Tefal L9480574</t>
  </si>
  <si>
    <t>L9487774</t>
  </si>
  <si>
    <t>Сковорода ВОК 26см Ingenio Emotion Tefal L9487774</t>
  </si>
  <si>
    <t>Ручной отпариватель Tefal DT-9531</t>
  </si>
  <si>
    <t>Утюг Tefal FV-2838</t>
  </si>
  <si>
    <t>Утюг Tefal FV-2867</t>
  </si>
  <si>
    <t>Мясорубка Moulinex ME-111032</t>
  </si>
  <si>
    <t>Мясорубка Moulinex ME-301132</t>
  </si>
  <si>
    <t>Кастрюля 20см Trattoria Tefal E2184414</t>
  </si>
  <si>
    <t>K001A504</t>
  </si>
  <si>
    <t>Набор 5 предметов Bienvenue Tefal K001A504</t>
  </si>
  <si>
    <t>Набор ножей 4пр для стейка Ice Force Tefal K232S414</t>
  </si>
  <si>
    <t>Чайник 2,7л (для индукции) Tefal K2481574</t>
  </si>
  <si>
    <t>Набор аксессуаров 5 предметов Tefal K210S514</t>
  </si>
  <si>
    <t>Сковорода 24см Easy Plus Tefal 4206124</t>
  </si>
  <si>
    <t>Сковорода 26см Easy Plus Tefal 4206126</t>
  </si>
  <si>
    <t>Сковорода ВОК 28см Easy Plus Tefal 4206628</t>
  </si>
  <si>
    <t>Сковорода для блинов 22см Easy Plus Tefal 4206522</t>
  </si>
  <si>
    <t>Сковорода 24см ст/кр Easy Plus Tefal 4206924</t>
  </si>
  <si>
    <t>Сковорода 22см Easy Plus Tefal 4206122</t>
  </si>
  <si>
    <t>VP7777WH</t>
  </si>
  <si>
    <t>Вертикальный моющий пылесос Tefal VP-7777WH</t>
  </si>
  <si>
    <t>Мясорубка Moulinex ME-478138</t>
  </si>
  <si>
    <t>Массажер для тела Rowenta Body Sculpt LY-4000</t>
  </si>
  <si>
    <t>Фен Rowenta CV-9920</t>
  </si>
  <si>
    <t>Чайник Tefal KI-700830</t>
  </si>
  <si>
    <t>Сотейник 24см ст/кр Natural Cook Tefal 4211224</t>
  </si>
  <si>
    <t>Сковорода 28см Easy Plus Tefal 4206128</t>
  </si>
  <si>
    <t>Сковорода 26см ст/кр Easy Plus Tefal 4206926</t>
  </si>
  <si>
    <t>Сковорода 28см ст/кр Easy Plus Tefal 4206928</t>
  </si>
  <si>
    <t>Сковорода 24см Natural Cook Tefal 4211124</t>
  </si>
  <si>
    <t>Сковорода 26см Natural Cook Tefal 4211126</t>
  </si>
  <si>
    <t>Сковорода для блинов 22см Natural Cook Tefal 4211522</t>
  </si>
  <si>
    <t>TN9320F0</t>
  </si>
  <si>
    <t>Машинка для стрижки волос Rowenta TN-9320</t>
  </si>
  <si>
    <t>TN3011F0</t>
  </si>
  <si>
    <t>Триммер Rowenta TN-3011</t>
  </si>
  <si>
    <t>Сковорода 22см Natural Cook Tefal 4211122</t>
  </si>
  <si>
    <t>Сковорода 28см Natural Cook Tefal 4211128</t>
  </si>
  <si>
    <t>Сковорода ВОК 28см Natural Cook Tefal 4211628</t>
  </si>
  <si>
    <t>Сковорода 24см ст/кр Natural Cook Tefal 4211924</t>
  </si>
  <si>
    <t>Сковорода 26см ст/кр Natural Cook Tefal 4211926</t>
  </si>
  <si>
    <t>Сковорода 28см ст/кр Natural Cook Tefal 4211928</t>
  </si>
  <si>
    <t>Фен Rowenta CV-5512</t>
  </si>
  <si>
    <t>Фен Rowenta CV-6135</t>
  </si>
  <si>
    <t>Увлажнитель воздуха Tefal HD-4020</t>
  </si>
  <si>
    <t>Увлажнитель воздуха Tefal HD-4045</t>
  </si>
  <si>
    <t>Фен Rowenta CV-5712</t>
  </si>
  <si>
    <t>Набор посуды 6 пр. Virtuoso Tefal E4926S75</t>
  </si>
  <si>
    <t>Гладильная доска Tefal TI-1200</t>
  </si>
  <si>
    <t>Пылесос Tefal TW-1923RH</t>
  </si>
  <si>
    <t>Вертикальный пылесос Tefal TY-6933</t>
  </si>
  <si>
    <t>Пылесос Tefal TW-1931RH</t>
  </si>
  <si>
    <t>SV8001E1</t>
  </si>
  <si>
    <t>Гладильная система Tefal SV-8001</t>
  </si>
  <si>
    <t>Гладильная система Tefal SV-8061</t>
  </si>
  <si>
    <t>Утюг Tefal FV-5770</t>
  </si>
  <si>
    <t>Фен Rowenta CV-887L</t>
  </si>
  <si>
    <t>Фен Rowenta CV-888L</t>
  </si>
  <si>
    <t>Соковыжималка Moulinex JU-420D10</t>
  </si>
  <si>
    <t>Блендер стационарный Moulinex LM-439D10</t>
  </si>
  <si>
    <t>Кухонная машина Moulinex QA-310110</t>
  </si>
  <si>
    <t>QA530G10</t>
  </si>
  <si>
    <t>Кухонная машина Moulinex QA-530G10</t>
  </si>
  <si>
    <t>AR110830</t>
  </si>
  <si>
    <t>Кофемолка Moulinex AR-110830</t>
  </si>
  <si>
    <t>Мясорубка Moulinex ME-558810</t>
  </si>
  <si>
    <t>Гладильная система Tefal GV-9711</t>
  </si>
  <si>
    <t>Блендер погружной Moulinex DD-653832</t>
  </si>
  <si>
    <t>Блендер погружной Moulinex DD-833810</t>
  </si>
  <si>
    <t>Блендер стационарный Moulinex LM-2C0110</t>
  </si>
  <si>
    <t>Блендер стационарный Moulinex LM-81G810</t>
  </si>
  <si>
    <t>Миксер Moulinex HM-211A11</t>
  </si>
  <si>
    <t>Миксер Moulinex HM-3101B1</t>
  </si>
  <si>
    <t>Миксер Moulinex HM-3108B1</t>
  </si>
  <si>
    <t>Миксер Moulinex HM-3128B1</t>
  </si>
  <si>
    <t>Миксер Moulinex HM-450B10</t>
  </si>
  <si>
    <t>HM460110</t>
  </si>
  <si>
    <t>Миксер Moulinex HM-460110</t>
  </si>
  <si>
    <t>Миксер Moulinex HM-461110</t>
  </si>
  <si>
    <t>Миксер Moulinex HM-464110</t>
  </si>
  <si>
    <t>Термос Captain 1,0л нерж. сталь Emsa 502474</t>
  </si>
  <si>
    <t>Термос Sleeve 0,7л бирюзовый Emsa N3111200</t>
  </si>
  <si>
    <t>B9214474</t>
  </si>
  <si>
    <t>Кастрюля 20см 3л Cook Eat Tefal B9214474</t>
  </si>
  <si>
    <t>B9214674</t>
  </si>
  <si>
    <t>Кастрюля 24см 5л Cook Eat Tefal B9214674</t>
  </si>
  <si>
    <t>Выпрямитель Rowenta SF-4630</t>
  </si>
  <si>
    <t>Выпрямитель Rowenta SF-4655</t>
  </si>
  <si>
    <t>Выпрямитель Rowenta SF-467L</t>
  </si>
  <si>
    <t>Фен-щетка Rowenta CF-952L</t>
  </si>
  <si>
    <t>CV3323F0</t>
  </si>
  <si>
    <t>Фен Rowenta CV-3323</t>
  </si>
  <si>
    <t>Фен Rowenta CV-5703</t>
  </si>
  <si>
    <t>Фен Rowenta CV-7920</t>
  </si>
  <si>
    <t>N3110700</t>
  </si>
  <si>
    <t>Термос Sleeve 0,5л синий Emsa N3110700</t>
  </si>
  <si>
    <t>N3111100</t>
  </si>
  <si>
    <t>Термос Sleeve 0,7л черный Emsa N3111100</t>
  </si>
  <si>
    <t>B9212274</t>
  </si>
  <si>
    <t>Ковш 16см 1,5л Cook Eat Tefal B9212274</t>
  </si>
  <si>
    <t>QA510110</t>
  </si>
  <si>
    <t>Кухонная машина Moulinex QA-510110</t>
  </si>
  <si>
    <t>HM310E10</t>
  </si>
  <si>
    <t>Миксер Moulinex HM-310E10</t>
  </si>
  <si>
    <t>HM653910</t>
  </si>
  <si>
    <t>Миксер Moulinex HM-653910</t>
  </si>
  <si>
    <t>HM654E10</t>
  </si>
  <si>
    <t>Миксер Moulinex HM-654E10</t>
  </si>
  <si>
    <t>Фен-щетка Rowenta CF-6130</t>
  </si>
  <si>
    <t>Фен-щетка Rowenta CF-9520</t>
  </si>
  <si>
    <t>Фен Rowenta CV-8810</t>
  </si>
  <si>
    <t>Фен Rowenta CV-8830</t>
  </si>
  <si>
    <t>Фен Rowenta CV-8840</t>
  </si>
  <si>
    <t>Утюг Tefal FV-5718</t>
  </si>
  <si>
    <t xml:space="preserve">QA150110 </t>
  </si>
  <si>
    <t>Кухонная машина Moulinex QA-150110</t>
  </si>
  <si>
    <t>Кухонная машина Moulinex QA-317510</t>
  </si>
  <si>
    <t>Кухонная машина Moulinex QA-613DB1</t>
  </si>
  <si>
    <t>Выпрямитель Rowenta SF-4620</t>
  </si>
  <si>
    <t>Выпрямитель Rowenta SF-323L</t>
  </si>
  <si>
    <t>Фен Rowenta CV-1603</t>
  </si>
  <si>
    <t>Фен Rowenta CV-1613</t>
  </si>
  <si>
    <t>Фен Rowenta CV-581L</t>
  </si>
  <si>
    <t>Кухонная машина Moulinex QA-151810</t>
  </si>
  <si>
    <t>Выпрямитель Rowenta SF-161L</t>
  </si>
  <si>
    <t>Фен Rowenta CV-5623</t>
  </si>
  <si>
    <t>Фен Rowenta CV-5820</t>
  </si>
  <si>
    <t>Гриль-Раклет-Фондю WMF 415480711</t>
  </si>
  <si>
    <t>Блендер стационарный WMF 416500711 (Kitchen Minis)</t>
  </si>
  <si>
    <t>Блендер портативный WMF 416700711 (Kitchen Minis)</t>
  </si>
  <si>
    <t>Миска 20см GOURMET KUECHE WMF 646596030</t>
  </si>
  <si>
    <t>Кастрюля низкая FT Functional T 20см (Черная) WMF 517205290</t>
  </si>
  <si>
    <t>Кастрюля FT Functional T 20см (Черная) WMF 517305290</t>
  </si>
  <si>
    <t>Кастрюля низкая Function 4 20см WMF 760206380</t>
  </si>
  <si>
    <t>Кастрюля Function 4 24см WMF 761246380</t>
  </si>
  <si>
    <t>Набор для стейка RANCH 12пр WMF 1280636046</t>
  </si>
  <si>
    <t>Набор аксессуаров Profi Plus WMF 1871529990</t>
  </si>
  <si>
    <t>Кисточка силиконовая Profi Plus WMF 1874986030</t>
  </si>
  <si>
    <t>Набор ножей GRAND GOURMET 5пр WMF 1876349992</t>
  </si>
  <si>
    <t>Нож-шеф Grand Gourmet 15см WMF 1880346032</t>
  </si>
  <si>
    <t>Нож для филе Grand Gourmet 16см WMF 1889586032</t>
  </si>
  <si>
    <t>Мусат Grand Gourmet 23см WMF 1889646030</t>
  </si>
  <si>
    <t>Блок с ножами SPITZENKLASSE 5пр WMF 1892159992</t>
  </si>
  <si>
    <t>Набор ножей GRAND CLASS 3пр WMF 1894929992</t>
  </si>
  <si>
    <t>Нож разделочный Spitzenklasse 16см WMF 1895206032</t>
  </si>
  <si>
    <t>Разделочный нож Spitzenklasse 12см WMF 1895246032</t>
  </si>
  <si>
    <t>Нож универсальный Spitzenklasse 14см WMF 1895896032</t>
  </si>
  <si>
    <t>Набор посуды Rose Quartz Fusiontec T 4-пр WMF 514895290</t>
  </si>
  <si>
    <t>Набор посуды BELMONTE 5-пр WMF 751156040</t>
  </si>
  <si>
    <t>Сотейник Haxagon Profi Resist 28см WMF 1756386411</t>
  </si>
  <si>
    <t>Ковш FT Function 4 16см (черный) WMF 517165290</t>
  </si>
  <si>
    <t>Ковш Function 4 16см WMF 763166380</t>
  </si>
  <si>
    <t>Набор столовых приборов Kineo 30пр. WMF 1268916342</t>
  </si>
  <si>
    <t>Набор чайных ложек 6пр. Nuova WMF 1291656046</t>
  </si>
  <si>
    <t>Графин для воды Basic WMF 617706040</t>
  </si>
  <si>
    <t>Графин 0,8л Motion WMF 651046040</t>
  </si>
  <si>
    <t>Сковорода для блинов Devil 27см WMF 570044291</t>
  </si>
  <si>
    <t>Сковорода Permadur Premium 24см WMF 576244291</t>
  </si>
  <si>
    <t>Сковорода Permadur Premium 28см WMF 576284291</t>
  </si>
  <si>
    <t>EA811010</t>
  </si>
  <si>
    <t>Кофемашина Krups EA-811010</t>
  </si>
  <si>
    <t>Кофемашина Krups EA-82F010</t>
  </si>
  <si>
    <t>EA870810</t>
  </si>
  <si>
    <t>Кофемашина Krups EA-870810</t>
  </si>
  <si>
    <t>EA811810</t>
  </si>
  <si>
    <t>Кофемашина Krups EA-811810</t>
  </si>
  <si>
    <t>EA817010</t>
  </si>
  <si>
    <t>Кофемашина Krups EA-817010</t>
  </si>
  <si>
    <t>EA890110</t>
  </si>
  <si>
    <t>Кофемашина Krups EA-890110</t>
  </si>
  <si>
    <t>EA891110</t>
  </si>
  <si>
    <t>Кофемашина Krups EA-891110</t>
  </si>
  <si>
    <t>Соковыжималка прессовая Moulinex ZU-255B10</t>
  </si>
  <si>
    <t>Насадка овощерезка Moulinex XF-383110 для Companion HF-80B832</t>
  </si>
  <si>
    <t>Ручной отпариватель Tefal DT-8250</t>
  </si>
  <si>
    <t>SV6115E0</t>
  </si>
  <si>
    <t>Гладильная система Tefal SV-6115</t>
  </si>
  <si>
    <t>Утюг дорожный Rowenta DA-1510</t>
  </si>
  <si>
    <t>Утюг Rowenta DW-5135</t>
  </si>
  <si>
    <t>DW5310D1</t>
  </si>
  <si>
    <t>Утюг Rowenta DW-5310</t>
  </si>
  <si>
    <t>Утюг Tefal FV-6820</t>
  </si>
  <si>
    <t>Утюг Tefal FV-6872</t>
  </si>
  <si>
    <t>Машинка для стрижки волос Rowenta YD-3017</t>
  </si>
  <si>
    <t>Триммер Rowenta TN-3800</t>
  </si>
  <si>
    <t>Мультитриммер Rowenta TN-4500</t>
  </si>
  <si>
    <t>AF215D10</t>
  </si>
  <si>
    <t>Фритюрница Moulinex AF-215D10</t>
  </si>
  <si>
    <t>FR516032</t>
  </si>
  <si>
    <t>Фритюрница Tefal FR-516032</t>
  </si>
  <si>
    <t>VC139810</t>
  </si>
  <si>
    <t>Пароварка Tefal VC-139810</t>
  </si>
  <si>
    <t>Пароварка Tefal VC-204810</t>
  </si>
  <si>
    <t>Тостер Tefal TT-410D38</t>
  </si>
  <si>
    <t>OW251E32</t>
  </si>
  <si>
    <t>Хлебопечь Moulinex OW-251E32</t>
  </si>
  <si>
    <t>ZU150110</t>
  </si>
  <si>
    <t>Соковыжималка прессовая Moulinex ZU-150110</t>
  </si>
  <si>
    <t>BJ551B10</t>
  </si>
  <si>
    <t>Чайник Tefal BJ-551B10</t>
  </si>
  <si>
    <t>KI750D30</t>
  </si>
  <si>
    <t>Чайник Tefal KI-750D30</t>
  </si>
  <si>
    <t>Чайник Tefal KI-772138</t>
  </si>
  <si>
    <t>Чайник Tefal KO-260830</t>
  </si>
  <si>
    <t>Чайник Tefal KO-511030</t>
  </si>
  <si>
    <t>Чайник WMF 413310711 (Kineo)</t>
  </si>
  <si>
    <t>Блендер стационарный Moulinex LM-811132</t>
  </si>
  <si>
    <t>Пылесос Tefal TW-2943</t>
  </si>
  <si>
    <t>Мясорубка Moulinex ME-683832</t>
  </si>
  <si>
    <t>Утюг Tefal FV-2836</t>
  </si>
  <si>
    <t>Чайник Tefal KI-583C10</t>
  </si>
  <si>
    <t>Tefal набор фильтров ZR-780000 для TW48**</t>
  </si>
  <si>
    <t>Утюг Tefal FV-5695</t>
  </si>
  <si>
    <t>Утюг Tefal FV-5736</t>
  </si>
  <si>
    <t>Утюг Tefal FV-6832</t>
  </si>
  <si>
    <t>SF1526F0</t>
  </si>
  <si>
    <t>Выпрямитель Rowenta SF-1526</t>
  </si>
  <si>
    <t>Мультиварка-скороварка Moulinex CE-22A932</t>
  </si>
  <si>
    <t>Блендер погружной Moulinex DD-64H110</t>
  </si>
  <si>
    <t>DD64K832</t>
  </si>
  <si>
    <t>Блендер погружной Moulinex DD-64K832</t>
  </si>
  <si>
    <t>E2324474</t>
  </si>
  <si>
    <t>Кастрюля 20см 2л Delicio Tefal E2324474</t>
  </si>
  <si>
    <t>E2324674</t>
  </si>
  <si>
    <t>Кастрюля 24см 3,5л Delicio Tefal E2324674</t>
  </si>
  <si>
    <t>Набор посуды 11пр. Illico Tefal G744SB74</t>
  </si>
  <si>
    <t>E2327274</t>
  </si>
  <si>
    <t>Сотейник 28см 5л Delicio Tefal E2327274</t>
  </si>
  <si>
    <t>Сковорода круглая гриль 26см Black Stone Tefal E2434055</t>
  </si>
  <si>
    <t>Сковорода 24см Black Stone Tefal G2810472</t>
  </si>
  <si>
    <t>Сковорода 28см Black Stone Tefal G2810672</t>
  </si>
  <si>
    <t>Сковорода ВОК 28см Black Stone Tefal G2811972</t>
  </si>
  <si>
    <t>Сковорода для блинов 25см Black Stone Tefal G2813872</t>
  </si>
  <si>
    <t>Вертикальный пылесос Tefal TY-98A9WO</t>
  </si>
  <si>
    <t>Вертикальный моющий пылесос Tefal TY-98C0WO</t>
  </si>
  <si>
    <t>SO9261F0</t>
  </si>
  <si>
    <t>Тепловентилятор Tefal SE-9261F0</t>
  </si>
  <si>
    <t>Отпариватель для одежды Tefal IT-2440</t>
  </si>
  <si>
    <t>Гладильная система Rowenta DG-9226</t>
  </si>
  <si>
    <t>Утюг Tefal FV-5698</t>
  </si>
  <si>
    <t>Утюг Tefal FV-5737</t>
  </si>
  <si>
    <t>Блендер стационарный Moulinex LM-16L110</t>
  </si>
  <si>
    <t>G2814602</t>
  </si>
  <si>
    <t>Кастрюля 24см Black Stone Tefal G2814602</t>
  </si>
  <si>
    <t>Ложка для спагетти 32см Profi Plus WMF 1871086030</t>
  </si>
  <si>
    <t>Приборы столовые BOSTON 30пр WMF 1120916040</t>
  </si>
  <si>
    <t>Измельчитель Moulinex DJ-450B10</t>
  </si>
  <si>
    <t>Сотейник с крышкой 26см Black Stone Tefal G2818202</t>
  </si>
  <si>
    <t>Жаровня Vitalis 41х27x10см 6,5л WMF 1741016040</t>
  </si>
  <si>
    <t>Выпрямитель Rowenta SF-1500</t>
  </si>
  <si>
    <t>Плойка Rowenta CF-321L</t>
  </si>
  <si>
    <t>Плойка Rowenta CF-3345</t>
  </si>
  <si>
    <t>Мультитриммер Rowenta TN-8931</t>
  </si>
  <si>
    <t>Фен Rowenta CV-8820</t>
  </si>
  <si>
    <t>Соковыжималка цитрусовая Moulinex PC-120870</t>
  </si>
  <si>
    <t>Блендер стационарный Moulinex LM-488410</t>
  </si>
  <si>
    <t>Кастрюля 20см 2,6л Pro Cook Tefal E2184475</t>
  </si>
  <si>
    <t>Кастрюля 24см 4,5л Pro Cook Tefal E2184675</t>
  </si>
  <si>
    <t>Ложка для рыбы Profi Plus WMF 1873086030</t>
  </si>
  <si>
    <t>Доска разделочная из акации 40х32х4см Acacia WMF 1879984500</t>
  </si>
  <si>
    <t>Блок с ножами Sequence 6пр WMF 1896369993</t>
  </si>
  <si>
    <t>Набор посуды 9пр. Daily Cook Tefal G713S974</t>
  </si>
  <si>
    <t>Утятница овал. 30x22 Pro Cook Tefal E2156975</t>
  </si>
  <si>
    <t>Сотейник 28см Pro Cook Tefal E2187275</t>
  </si>
  <si>
    <t>G6052374</t>
  </si>
  <si>
    <t>Ковш 18см Pro Cook Tefal G6052374</t>
  </si>
  <si>
    <t>Приборы столовые KENT 30пр WMF 1207916340</t>
  </si>
  <si>
    <t>Робот пылесос Tefal RG-7867WH</t>
  </si>
  <si>
    <t>Беспроводной пылесос Tefal X-Ô 90 IQ-7767EA</t>
  </si>
  <si>
    <t>Беспроводной пылесос Tefal X-Ô 160 IQ-7777EA</t>
  </si>
  <si>
    <t>Мультиварка-скороварка Moulinex CE-430832</t>
  </si>
  <si>
    <t>ZR690002</t>
  </si>
  <si>
    <t>Tefal набор насадка для влажной уборки и тряпка из микрофибры ZR-690002 для роботов S20/S40/S50</t>
  </si>
  <si>
    <t>Tefal набор из 2 боковых щёток, 2 тряпок и 2 фильтров ZR-762000 для RG77**</t>
  </si>
  <si>
    <t xml:space="preserve">ZR791000 </t>
  </si>
  <si>
    <t>Tefal набор из 3 щёток ZR-791000 для RG79**</t>
  </si>
  <si>
    <t>Фен Rowenta CV-5713</t>
  </si>
  <si>
    <t>Гриль Tefal Optigrill + GC-714834</t>
  </si>
  <si>
    <t>Чайник Tefal KI-583E10</t>
  </si>
  <si>
    <t>Чайник Tefal KO-150130</t>
  </si>
  <si>
    <t>Робот пылесос Tefal RG-7865WH</t>
  </si>
  <si>
    <t>Робот пылесос Tefal 75S RG-8575WH</t>
  </si>
  <si>
    <t>Робот пылесос Tefal 75S RG-8577WH</t>
  </si>
  <si>
    <t>PP1700V0</t>
  </si>
  <si>
    <t>Весы диагностические Tefal PP-1700</t>
  </si>
  <si>
    <t>Плойка Rowenta CF-2119</t>
  </si>
  <si>
    <t>Робот пылесос Tefal 75S+ RG-8595WH</t>
  </si>
  <si>
    <t>Робот пылесос Tefal 75S+ RG-8597WH</t>
  </si>
  <si>
    <t>Стайлер Rowenta CF-422L</t>
  </si>
  <si>
    <t>ZR793000</t>
  </si>
  <si>
    <t>Tefal набор из 2 боковых щёток, 3 тряпок и 2 фильтров ZR-793000 для RG79**</t>
  </si>
  <si>
    <t>Сковорода для блинов 22см Cook Right Tefal 4166522</t>
  </si>
  <si>
    <t>Выпрямитель Rowenta SF-4522</t>
  </si>
  <si>
    <t>Fora</t>
  </si>
  <si>
    <t>БЛЕНДЕР ПОГРУЖНОЙ MOULINEX DD533132 WHITE</t>
  </si>
  <si>
    <t>БЛЕНДЕР ПОГРУЖНОЙ MOULINEX DD944810 BLACK</t>
  </si>
  <si>
    <t>БЛЕНДЕР ПОГРУЖНОЙ MOULINEX OPTICHEF DD641132 WHITE</t>
  </si>
  <si>
    <t>БЛЕНДЕР ПОГРУЖНОЙ MOULINEX QUICKCHEF DD653832 SILVER/BLACK</t>
  </si>
  <si>
    <t>БЛЕНДЕР ПОГРУЖНОЙ MOULINEX QUICKCHEF DD65L832 BLACK</t>
  </si>
  <si>
    <t>БЛЕНДЕР СТАЦИОНАРНЫЙ MOULINEX LM2A0832 BLACK</t>
  </si>
  <si>
    <t>БЛЕНДЕР СТАЦИОНАРНЫЙ MOULINEX LM420110 WHITE</t>
  </si>
  <si>
    <t>БЛЕНДЕР СТАЦИОНАРНЫЙ MOULINEX LM435810 BLACK</t>
  </si>
  <si>
    <t>ВЕНЧИК TEFAL 2745512 BIENVENUE BLACK</t>
  </si>
  <si>
    <t>ВЕНЧИК TEFAL COMFORT K1291714 BLACK</t>
  </si>
  <si>
    <t>ВЕСЫ КУХОННЫЕ TEFAL BC5000V2 WHITE</t>
  </si>
  <si>
    <t>BC5003V2</t>
  </si>
  <si>
    <t>ВЕСЫ КУХОННЫЕ TEFAL BC5003V2 CRIMSON</t>
  </si>
  <si>
    <t>ВЕСЫ КУХОННЫЕ TEFAL BC5122V1 WHITE</t>
  </si>
  <si>
    <t>ВЕСЫ НАПОЛЬНЫЕ TEFAL BODY UP BM2521V0 BLACK</t>
  </si>
  <si>
    <t>ВЕСЫ НАПОЛЬНЫЕ TEFAL CLASSIC DRAWING BLOOM PP1146V0 WHITE</t>
  </si>
  <si>
    <t>PP1147V0</t>
  </si>
  <si>
    <t>ВЕСЫ НАПОЛЬНЫЕ TEFAL CLASSIC DRAWING BLOOM ROSE PP1147V0 PINK</t>
  </si>
  <si>
    <t>ВЕСЫ НАПОЛЬНЫЕ TEFAL CLASSIC PP1530V0</t>
  </si>
  <si>
    <t>PP1531V0</t>
  </si>
  <si>
    <t>ВЕСЫ НАПОЛЬНЫЕ TEFAL CLASSIC PP1531V0 PINK</t>
  </si>
  <si>
    <t>ВЕСЫ НАПОЛЬНЫЕ TEFAL PP5150V1</t>
  </si>
  <si>
    <t>ВЕСЫ НАПОЛЬНЫЕ TEFAL PREMISS PP1401V0 WHITE</t>
  </si>
  <si>
    <t>ВЕСЫ НАПОЛЬНЫЕ TEFAL PREMISS PP1431V0 PINK</t>
  </si>
  <si>
    <t>ВЫПРЯМИТЕЛЬ ROWENTA LISS AND CURL SF7461F0 BLACK/PINK</t>
  </si>
  <si>
    <t>ВЫПРЯМИТЕЛЬ ROWENTA SF7460F0 WHITE/PINK</t>
  </si>
  <si>
    <t>GC306012</t>
  </si>
  <si>
    <t>ГРИЛЬ TEFAL HEALTH GRILL GC306012</t>
  </si>
  <si>
    <t>ГРИЛЬ TEFAL MINUTE GRILL GC205012 SILVER/BLACK</t>
  </si>
  <si>
    <t>ГРИЛЬ TEFAL OPTIGRILL+ GC712D34 STEEL</t>
  </si>
  <si>
    <t>ГРИЛЬ TEFAL OPTIGRILL+ GC722D34 STEEL</t>
  </si>
  <si>
    <t>КАСТРЮЛЯ TEFAL G7234674 С КРЫШКОЙ SILVER</t>
  </si>
  <si>
    <t>G7237974</t>
  </si>
  <si>
    <t>КАСТРЮЛЯ С КРЫШКОЙ TEFAL COOK&amp;CLIP G7237974 SILVER</t>
  </si>
  <si>
    <t>КОВШ TEFAL G7232274 С КРЫШКОЙ SILVER/GREY</t>
  </si>
  <si>
    <t>КОФЕВАРКА КАПЕЛЬНАЯ MOULINEX FG360830/ЦВЕТ ЧЕРНЫЙ</t>
  </si>
  <si>
    <t>КОФЕВАРКА КАПЕЛЬНАЯ TEFAL CM261838 BLACK</t>
  </si>
  <si>
    <t>CM361E38</t>
  </si>
  <si>
    <t>КОФЕВАРКА КАПЕЛЬНАЯ TEFAL CM361E38 BLACK/RED</t>
  </si>
  <si>
    <t>КОФЕВАРКА КАПЕЛЬНАЯ TEFAL SMART'N LIGHT CM600810 BLACK</t>
  </si>
  <si>
    <t>КОФЕМАШИНА KRUPS ARABICA ESPRESSO EA811010 BLACK</t>
  </si>
  <si>
    <t>EA810870</t>
  </si>
  <si>
    <t>КОФЕМАШИНА KRUPS EA810870 BLACK</t>
  </si>
  <si>
    <t>КОФЕМАШИНА KRUPS EA82F810 BLACK</t>
  </si>
  <si>
    <t>КОФЕМАШИНА KRUPS EA890110 WHITE</t>
  </si>
  <si>
    <t>КОФЕМОЛКА KRUPS F2034232 BLACK</t>
  </si>
  <si>
    <t>КОФЕМОЛКА MOULINEX AR110830</t>
  </si>
  <si>
    <t>КРЫШКА TEFAL 04090124</t>
  </si>
  <si>
    <t>КРЫШКА TEFAL 04090126</t>
  </si>
  <si>
    <t>КРЫШКА TEFAL 4090120</t>
  </si>
  <si>
    <t>КРЫШКА TEFAL 4090122</t>
  </si>
  <si>
    <t>КРЫШКА СТЕКЛЯННАЯ 18 TEFAL 04090118</t>
  </si>
  <si>
    <t>КРЫШКА СТЕКЛЯННАЯ TEFAL 04090128</t>
  </si>
  <si>
    <t>КУХОННЫЕ НОЖНИЦЫ TEFAL K1291314 BLACK</t>
  </si>
  <si>
    <t>КУХОННЫЙ КОМБАЙН MOULINEX MASTERCHEF GOURMET QA51AD10</t>
  </si>
  <si>
    <t>КУХОННЫЙ КОМБАЙН MOULINEX QA317510</t>
  </si>
  <si>
    <t>ЛОЖКА TEFAL 2743912</t>
  </si>
  <si>
    <t>ЛОПАТКА TEFAL 2743712 BIENVENUE BLACK</t>
  </si>
  <si>
    <t>ЛОПАТКА TEFAL 2744112 BIENVENUE BLACK</t>
  </si>
  <si>
    <t>ЛОПАТКА TEFAL 2744912</t>
  </si>
  <si>
    <t>МАШИНКА ДЛЯ СТРИЖКИ ROWENTA DRIVER TN1604F0 RED</t>
  </si>
  <si>
    <t>МАШИНКА ДЛЯ СТРИЖКИ ROWENTA NOMAD TN1405F1 WHITE</t>
  </si>
  <si>
    <t>МАШИНКА ДЛЯ СТРИЖКИ ROWENTA TN1400F1 WHITE</t>
  </si>
  <si>
    <t>МАШИНКА ДЛЯ СТРИЖКИ ROWENTA TN1601F1 WHITE</t>
  </si>
  <si>
    <t>МИКСЕР РУЧНОЙ MOULINEX HM3101B1 WHITE</t>
  </si>
  <si>
    <t>МИКСЕР РУЧНОЙ MOULINEX HM460110 WHITE/BLACK</t>
  </si>
  <si>
    <t>МИКСЕР СТАЦИОНАРНЫЙ MOULINEX HM3121B1 WHITE</t>
  </si>
  <si>
    <t>МИКСЕР СТАЦИОНАРНЫЙ MOULINEX HM412131 WHITE</t>
  </si>
  <si>
    <t>МУЛЬТИВАРКА TEFAL ESSENTIAL COOK RK321A32 BRONZE/BLACK</t>
  </si>
  <si>
    <t>МУЛЬТИВАРКА TEFAL RK745832 BLACK</t>
  </si>
  <si>
    <t>МУЛЬТИВАРКА-СКОРОВАРКА MOULINEX CE620D32 BLACK/STEEL</t>
  </si>
  <si>
    <t>ME630139</t>
  </si>
  <si>
    <t>МЯСОРУБКА MOULINEX HV8 ME630139 WHITE</t>
  </si>
  <si>
    <t>МЯСОРУБКА MOULINEX ME106832</t>
  </si>
  <si>
    <t>МЯСОРУБКА MOULINEX ME111032 WHITE</t>
  </si>
  <si>
    <t>МЯСОРУБКА MOULINEX ME208139</t>
  </si>
  <si>
    <t>МЯСОРУБКА MOULINEX ME306832 SILVER/BLACK</t>
  </si>
  <si>
    <t>МЯСОРУБКА MOULINEX ME456139 WHITE</t>
  </si>
  <si>
    <t>ME620132</t>
  </si>
  <si>
    <t>МЯСОРУБКА MOULINEX ME620132</t>
  </si>
  <si>
    <t>МЯСОРУБКА MOULINEX ME683832 BLACK/SILVER</t>
  </si>
  <si>
    <t>МЯСОРУБКА MOULINEX ME856D32 SILVER</t>
  </si>
  <si>
    <t>НАБОР ПОСУДЫ TEFAL G720S674 SILVER</t>
  </si>
  <si>
    <t>НОЖ TEFAL ICE FORCE K2320214 BLACK</t>
  </si>
  <si>
    <t>НОЖ TEFAL ICE FORCE K2320514 BLACK/SILVER</t>
  </si>
  <si>
    <t>K1291114</t>
  </si>
  <si>
    <t>НОЖ TEFAL K1291114 ДЛЯ ПИЦЦЫ BLACK</t>
  </si>
  <si>
    <t>НОЖ TEFAL K2213214</t>
  </si>
  <si>
    <t>НОЖ TEFAL K2213514 ДЛЯ ЧИСТКИ ОВОЩЕЙ</t>
  </si>
  <si>
    <t>НОЖ ДЛЯ ХЛЕБА TEFAL ICE FORCE K2320414 BLACK</t>
  </si>
  <si>
    <t>НОЖ САНТОКУ TEFAL COMFORT K2213604</t>
  </si>
  <si>
    <t>НОЖ САНТОКУ TEFAL ICE FORCE K2320614 BLACK</t>
  </si>
  <si>
    <t>НОЖ САНТОКУ TEFAL K2213614</t>
  </si>
  <si>
    <t>НОЖ УНИВЕРСАЛЬНЫЙ TEFAL COMFORT K2213204</t>
  </si>
  <si>
    <t>НОЖ УНИВЕРСАЛЬНЫЙ TEFAL COMFORT K2213504 ДЛЯ ЧИСТКИ ОВОЩЕЙ</t>
  </si>
  <si>
    <t>НОЖ УНИВЕРСАЛЬНЫЙ TEFAL COMFORT K2213904 BLACK</t>
  </si>
  <si>
    <t>НОЖ УНИВЕРСАЛЬНЫЙ TEFAL ICE FORCE K2320914 BLACK</t>
  </si>
  <si>
    <t>ОБОГРЕВАТЕЛЬ КОНВЕКЦИОННЫЙ TEFAL VECTISSIMO CQ3030F0 BLACK</t>
  </si>
  <si>
    <t>ОВОЩЕЧИСТКА TEFAL K1291814 BLACK</t>
  </si>
  <si>
    <t>ОВОЩЕЧИСТКА TEFAL K1298114 BLACK</t>
  </si>
  <si>
    <t>K1522014</t>
  </si>
  <si>
    <t>ОВОЩЕЧИСТКА TEFAL K1522014 BLACK</t>
  </si>
  <si>
    <t>ОТПАРИВАТЕЛЬ ВЕРТИКАЛЬНЫЙ TEFAL IT3460E0 WHITE/BLUE</t>
  </si>
  <si>
    <t>ОТПАРИВАТЕЛЬ ВЕРТИКАЛЬНЫЙ TEFAL PRO STYLE IT8460E0 BLACK/COPPER</t>
  </si>
  <si>
    <t>ОТПАРИВАТЕЛЬ МОБИЛЬНЫЙ TEFAL CUBE UT2020E0 BLACK/BLUE</t>
  </si>
  <si>
    <t>ОТПАРИВАТЕЛЬ РУЧНОЙ TEFAL TWEENY NANO DV9001E0 BLACK/WHITE</t>
  </si>
  <si>
    <t>SV8062E0</t>
  </si>
  <si>
    <t>ПАРОГЕНЕРАТОР TEFAL EXPRESS POWER SV8062E0 BLACK/SILVER</t>
  </si>
  <si>
    <t>ПЛОЙКА ROWENTA CF2112F0 BLACK</t>
  </si>
  <si>
    <t>ПЛОЙКА ROWENTA CF3222F0 BLACK</t>
  </si>
  <si>
    <t>ПЛОЙКА ROWENTA CF3319F0 BLACK</t>
  </si>
  <si>
    <t>ПЛОЙКА ROWENTA CF3345F0 BLACK/WHITE</t>
  </si>
  <si>
    <t>ПЛОЙКА ROWENTA CF4112F0 BLACK</t>
  </si>
  <si>
    <t>ПЛОЙКА ROWENTA CF4711F0 BLACK</t>
  </si>
  <si>
    <t>ПОЛОВНИК TEFAL 2744312 BIENVENUE</t>
  </si>
  <si>
    <t>ПРЕСС ДЛЯ ЧЕСНОКА TEFAL K1292614 BLACK</t>
  </si>
  <si>
    <t>J1627014</t>
  </si>
  <si>
    <t>ПРОТИВЕНЬ TEFAL J1627014</t>
  </si>
  <si>
    <t>TW4826EA</t>
  </si>
  <si>
    <t>ПЫЛЕСОС TEFAL COMPACT POWER XXL TW4826EA GREY</t>
  </si>
  <si>
    <t>TW4871EA</t>
  </si>
  <si>
    <t>ПЫЛЕСОС TEFAL COMPACT POWER XXL TW4871EA BLUE</t>
  </si>
  <si>
    <t>ПЫЛЕСОС TEFAL SILENCE FORCE CYCLONIC TW7256EA BLACK/BROWN</t>
  </si>
  <si>
    <t>ПЫЛЕСОС TEFAL SILENCE FORCE TW7222EA GREEN</t>
  </si>
  <si>
    <t>ПЫЛЕСОС TEFAL SILENCE FORCE TW7233EA RED</t>
  </si>
  <si>
    <t xml:space="preserve">ПЫЛЕСОС TEFAL SILENCE FORCE TW7233EA RED </t>
  </si>
  <si>
    <t>ПЫЛЕСОС ВЕРТИКАЛЬНЫЙ БЕСПРОВОДНОЙ TEFAL CORDLESS HANDSTICK DUAL FORCE TY6751WO BLUE</t>
  </si>
  <si>
    <t>ПЫЛЕСОС РОБОТ TEFAL X-PLORER SERIE 60 RG7447WH WHITE</t>
  </si>
  <si>
    <t>ПЫЛЕСОС РОБОТ TEFAL X-PLORER SERIE 80 RG7765WH BLACK</t>
  </si>
  <si>
    <t>C6820275</t>
  </si>
  <si>
    <t>СКОВОРОДА TEFAL C6820275</t>
  </si>
  <si>
    <t>СКОВОРОДА TEFAL C6823875</t>
  </si>
  <si>
    <t>СКОВОРОДА TEFAL GRANIT 04192124 BLACK/GREY</t>
  </si>
  <si>
    <t>СКОВОРОДА TEFAL GRANIT 04192126 BLACK/GREY</t>
  </si>
  <si>
    <t>СКОВОРОДА TEFAL GRANIT 04192128 BLACK/GREY</t>
  </si>
  <si>
    <t>СКОВОРОДА TEFAL H1180474 24 SUPREME GUSTO BLACK</t>
  </si>
  <si>
    <t>СКОВОРОДА TEFAL H1180575 26 SUPREME GUSTO BLACK</t>
  </si>
  <si>
    <t>СКОВОРОДА TEFAL H1180675 28 SUPREME GUSTO BLACK</t>
  </si>
  <si>
    <t>СКОВОРОДА TEFAL H1180974 БЛИННАЯ 25 SUPREME GUSTO BLACK</t>
  </si>
  <si>
    <t>СКОВОРОДА TEFAL H1181974 ВОК 28 SUPREME GUSTO BLACK</t>
  </si>
  <si>
    <t>СКОВОРОДА ГРИЛЬ TEFAL H1184074 26 SUPREME GUSTO BLACK</t>
  </si>
  <si>
    <t>СОКОВЫЖИМАЛКА MOULINEX FRUTELIA+ JU420D10 STEEL</t>
  </si>
  <si>
    <t>СОКОВЫЖИМАЛКА MOULINEX JU385H30</t>
  </si>
  <si>
    <t>СОКОВЫЖИМАЛКА MOULINEX PC300B10 WHITE/BLACK</t>
  </si>
  <si>
    <t>СОКОВЫЖИМАЛКА ЦЕНТРОБЕЖНАЯ MOULINEX JU655H30 SILVER</t>
  </si>
  <si>
    <t>СОТЕЙНИК TEFAL 04190224 С КРЫШКОЙ BROWN</t>
  </si>
  <si>
    <t>СТАЙЛЕР ROWENTA AIR CARE ULTIMATE EXPERIENCE CF4310F0 WHITE</t>
  </si>
  <si>
    <t>СУШИЛКА ДЛЯ ФРУКТОВ И ОВОЩЕЙ TEFAL DF100830 BROWN</t>
  </si>
  <si>
    <t>СЭНДВИЧНИЦА MOULINEX SM154135 SILVER</t>
  </si>
  <si>
    <t>ТЕПЛОВЕНТИЛЯТОР TEFAL SE2210F0 BLACK</t>
  </si>
  <si>
    <t>ТЕПЛОВЕНТИЛЯТОР TEFAL SE9260F0 BLACK</t>
  </si>
  <si>
    <t>ТЕРКА TEFAL K1290714 BLACK</t>
  </si>
  <si>
    <t>ТОЛКУШКА TEFAL 2744712 BIENVENUE</t>
  </si>
  <si>
    <t>ТОСТЕР TEFAL TT130130 WHITE</t>
  </si>
  <si>
    <t>TT365031</t>
  </si>
  <si>
    <t>ТОСТЕР TEFAL TT365031 BLACK/SILVER</t>
  </si>
  <si>
    <t>ТОСТЕР TEFAL ULTRA MINI TT330D30 STEEL</t>
  </si>
  <si>
    <t>ТРИММЕР ROWENTA MULTISTYLE 7 В 1 TN8931F4 WHITE</t>
  </si>
  <si>
    <t>ТРИММЕР ROWENTA TN3651F0</t>
  </si>
  <si>
    <t>УТЮГ ПАРОВОЙ TEFAL ACCESS FV1543E0 RED</t>
  </si>
  <si>
    <t>УТЮГ ПАРОВОЙ TEFAL EASYGLISS 2 FV5718E0 TURQUOISE</t>
  </si>
  <si>
    <t>УТЮГ ПАРОВОЙ TEFAL EASYGLISS 2 FV5720E0 RED</t>
  </si>
  <si>
    <t>УТЮГ ПАРОВОЙ TEFAL EASYGLISS PLUS FV5770E0 BLUE</t>
  </si>
  <si>
    <t>УТЮГ ПАРОВОЙ TEFAL FV5695E1 BLACK/BLUE</t>
  </si>
  <si>
    <t>УТЮГ ПАРОВОЙ TEFAL FV6842E0 GREY/GREEN</t>
  </si>
  <si>
    <t>УТЮГ ПАРОВОЙ TEFAL ULTRAGLISS ANTI-CALC PLUS FV6832E0 TURQUOISE</t>
  </si>
  <si>
    <t>УТЮГ ПАРОВОЙ TEFAL ULTRAGLISS PLUS FV6830E0 BLUE</t>
  </si>
  <si>
    <t>УТЮГ ПАРОВОЙ TEFAL ULTRAGLISS PLUS FV6840E0 BURGUNDY</t>
  </si>
  <si>
    <t>УТЮГ ПАРОВОЙ TEFAL VIRTUO FV1711E0 WHITE/BLUE</t>
  </si>
  <si>
    <t>ФЕН ROWENTA CV5830F0 WHITE/PINK</t>
  </si>
  <si>
    <t>ФЕН ROWENTA CV7461F0 WHITE</t>
  </si>
  <si>
    <t>ФЕН ROWENTA CV8840F0 BLACK</t>
  </si>
  <si>
    <t>ФЕН ROWENTA SILENCE CV7930F0 WHITE/PINK</t>
  </si>
  <si>
    <t>ФЕН ROWENTA ULTIMATE EXPERIENCE SCALP CARE CV9240F0 WHITE</t>
  </si>
  <si>
    <t>ФЕН-ЩЕТКА ROWENTA CF3910F0 BLACK/WHITE</t>
  </si>
  <si>
    <t>CF7819F0</t>
  </si>
  <si>
    <t>ФЕН-ЩЕТКА ROWENTA CF7819F0 HOT AIR BRUSH BLACK/GOLD</t>
  </si>
  <si>
    <t>ФОРМА ДЛЯ ВЫПЕЧКИ TEFAL J1626215 BROWN</t>
  </si>
  <si>
    <t>J4072204</t>
  </si>
  <si>
    <t>ФОРМА ДЛЯ ВЫПЕЧКИ TEFAL J4072204</t>
  </si>
  <si>
    <t>ФОРМА ДЛЯ ВЫПЕЧКИ КЕКСА TEFAL EASY GRIP J1625314 BROWN</t>
  </si>
  <si>
    <t>ФОРМА ДЛЯ КРУГЛОГО ПИРОГА TEFAL J1629614</t>
  </si>
  <si>
    <t>ХЛЕБОПЕЧЬ MOULINEX OW220830 BLACK</t>
  </si>
  <si>
    <t>ШУМОВКА TEFAL 2744512 BIENVENUE</t>
  </si>
  <si>
    <t>ЩИПЦЫ TEFAL 2745312 BIENVENUE</t>
  </si>
  <si>
    <t>CF2132F0</t>
  </si>
  <si>
    <t>ЩИПЦЫ ДЛЯ ВОЛОС ROWENTA CF2132F0 BLACK</t>
  </si>
  <si>
    <t>ЭЛЕКТРОПЕЧЬ MOULINEX OPTIMO OX464810 BLACK</t>
  </si>
  <si>
    <t>ЭЛЕКТРОЧАЙНИК TEFAL BI520D10 STEEL</t>
  </si>
  <si>
    <t>ЭЛЕКТРОЧАЙНИК TEFAL CONFIDENCE KI270D30 SILVER</t>
  </si>
  <si>
    <t>ЭЛЕКТРОЧАЙНИК TEFAL DELFINI PLUS KO150130 WHITE</t>
  </si>
  <si>
    <t>ЭЛЕКТРОЧАЙНИК TEFAL DELFINI PLUS KO150F30 BLACK</t>
  </si>
  <si>
    <t>ЭЛЕКТРОЧАЙНИК TEFAL ELEMENT KI280D30 STEEL</t>
  </si>
  <si>
    <t>KO450132</t>
  </si>
  <si>
    <t>ЭЛЕКТРОЧАЙНИК TEFAL KO450132 WHITE</t>
  </si>
  <si>
    <t>ЭЛЕКТРОЧАЙНИК TEFAL KO450832 BLACK</t>
  </si>
  <si>
    <t>ЭЛЕКТРОЧАЙНИК TEFAL SAFE TO TOUCH KO260130 WHITE</t>
  </si>
  <si>
    <t>ЭЛЕКТРОЧАЙНИК TEFAL SAFE TO TOUCH KO371I30 BEIGE</t>
  </si>
  <si>
    <t>ЭЛЕКТРОЧАЙНИК TEFAL SILVER ION KO511030 WHITE</t>
  </si>
  <si>
    <t>KO331830</t>
  </si>
  <si>
    <t>ЭЛЕКТРОЧАЙНИК TEFAL SNOW CONTROL KO331830 BLACK</t>
  </si>
  <si>
    <t>ЭЛЕКТРОЧАЙНИК TEFAL SNOW KO330130 WHITE</t>
  </si>
  <si>
    <t>ЭПИЛЯТОР ROWENTA EP2900F1 WHITE/PINK</t>
  </si>
  <si>
    <t>ЭПИЛЯТОР ROWENTA EP5620D1 PINK/WHITE</t>
  </si>
  <si>
    <t>ЭПИЛЯТОР ROWENTA FLOWER LOVE EP2851F1 WHITE/BLUE</t>
  </si>
  <si>
    <t>DNS</t>
  </si>
  <si>
    <t>HEPA фильтр Tefal ZR004201 [ Для моделей пылесосов: Tefal TW26,24]</t>
  </si>
  <si>
    <t>HEPA фильтр Tefal ZR005701 [ Для моделей пылесосов: Tefal TW25,27]</t>
  </si>
  <si>
    <t>HEPA Фильтр Tefal ZR009003 для вертикальных пылесосов TY95**</t>
  </si>
  <si>
    <t>HEPA фильтр Tefal ZR902501[ Для моделей пылесосов: Tefal TW83]</t>
  </si>
  <si>
    <t>Tefal ZR009501 Аксессуары на вертикальный пылесос AIR FOCRCE X60 AQUA</t>
  </si>
  <si>
    <t>Tefal ZR009600 Насадка на вертикальный пылесос AIR FOCRCE TY96, TY98 TETE AQUA</t>
  </si>
  <si>
    <t>Блендер Moulinex Blendforce 2 LM42Q110 [600 Вт, скоростей - 2, 2000 мл, стакан, белый, черный]</t>
  </si>
  <si>
    <t>Блендер Moulinex Blendforce 2 LM439D10 [800 Вт, скоростей - 5, 1250 мл, стакан, серебристый, серый]</t>
  </si>
  <si>
    <t>Блендер Moulinex DD533132 [600 Вт, турборежим, измельчитель, стакан, венчик, белый]</t>
  </si>
  <si>
    <t>Блендер Moulinex DD641 белый [800 Вт, скоростей - 10, турборежим, измельчитель, стакан]</t>
  </si>
  <si>
    <t>Блендер Moulinex DD650 серебристый [800 Вт, скоростей - 10, турборежим, стакан]</t>
  </si>
  <si>
    <t>Блендер Moulinex DD65C серый [800 Вт, скоростей - 20, турборежим, измельчитель, стакан, венчик]</t>
  </si>
  <si>
    <t>Блендер Moulinex DD833810 [600 Вт, скоростей - 16, турборежим, измельчитель, стакан, венчик, черный, серебристый]</t>
  </si>
  <si>
    <t>Блендер Moulinex DD95KD10 [1200 Вт, измельчитель, стакан, венчик, черный, серебристый]</t>
  </si>
  <si>
    <t>Блендер Moulinex Infiny Force DD944810 [1000 Вт, измельчитель, стакан, венчик, черный]</t>
  </si>
  <si>
    <t>Блендер Moulinex Infiny Force DD94J110 [1000 Вт, измельчитель, стакан, белый, черный]</t>
  </si>
  <si>
    <t>Блендер Moulinex Infiny Force Pro DD95MD10 [1200 Вт, измельчитель, стакан, венчик, черный, серебристый]</t>
  </si>
  <si>
    <t>Блендер Moulinex LM142A26 [300 Вт, скоростей - 2, 600 мл, измельчитель, серебристый]</t>
  </si>
  <si>
    <t>Блендер Moulinex LM355A10 [500 вт, скоростей - 2, 1500 мл, стакан, белый, серый]</t>
  </si>
  <si>
    <t>Блендер Moulinex LM420110 белый [600 Вт, скоростей - 2, 1250 мл]</t>
  </si>
  <si>
    <t>Блендер Moulinex LM435810 [800 Вт, скоростей - 2, 1750 мл, стакан, черный, серебристый]</t>
  </si>
  <si>
    <t>Блендер Moulinex LM811D10 [1200 Вт, 1500 мл, стакан, серебристый, черный]</t>
  </si>
  <si>
    <t>Блендер Moulinex LM91HD32 [1600 Вт, скоростей - 10, 1750 мл, серебристый, черный]</t>
  </si>
  <si>
    <t>Блендер Moulinex LM935 [1500 Вт, скоростей - 10, 2000 мл, стакан, серебристый, черный]</t>
  </si>
  <si>
    <t>Блендер Moulinex Optichef DD64H110 [800 Вт, скоростей - 20, турборежим, измельчитель, стакан, венчик, белый, серый]</t>
  </si>
  <si>
    <t>Блендер Moulinex Perfectmix+ LM81G810 [1200 Вт, 1500 мл, турборежим, стакан, черный]</t>
  </si>
  <si>
    <t>Блендер Moulinex QUICKCHEF DD652832 [900 Вт, скоростей - 10, турборежим, измельчитель, стакан, черный, серебристый]</t>
  </si>
  <si>
    <t>Блендер Moulinex QUICKCHEF DD65L832 [1000 Вт, скоростей - 20, турборежим, измельчитель, стакан, венчик, черный, серебристый]</t>
  </si>
  <si>
    <t>PY303633</t>
  </si>
  <si>
    <t>Блинница Tefal PY 303633 черный [720 Вт, блинов - 4, корпус - пластик, 120 мм]</t>
  </si>
  <si>
    <t>PY559312</t>
  </si>
  <si>
    <t>Блинница Tefal PY 559312  черный [1000 Вт, блинов - 6, корпус - пластик, 110 мм]</t>
  </si>
  <si>
    <t>Вафельница Moulinex SW611812 черный [700 Вт, бельгийские вафли, сэндвичи, 2 шт, антипригарное покрытие, сменные панели, корпус - пластик, металл]</t>
  </si>
  <si>
    <t>Вентилятор Tefal VF3910F0 черный [напольный, 60 Вт, скоростей - 3, диаметр - 400 мм, пульт ДУ, 59.6 дБ]</t>
  </si>
  <si>
    <t>K0060614</t>
  </si>
  <si>
    <t>Венчик Tefal K0060614 Enjoy [термостойкий пластик]</t>
  </si>
  <si>
    <t>Весы BodyMaster с функцией измерения жировой / мышечной массы, BMI, LCD, 8 пользователей, до 150кг.</t>
  </si>
  <si>
    <t>BM6010V0</t>
  </si>
  <si>
    <t>Весы Tefal BM6010V0 Bodymaster, серебристый [диагностические, материал-стекло]</t>
  </si>
  <si>
    <t>PP1330V0</t>
  </si>
  <si>
    <t>Весы Tefal Essential PP1330V0 серый [материал-закаленное стекло]</t>
  </si>
  <si>
    <t>PP1144V0</t>
  </si>
  <si>
    <t>Весы Tefal PP1144V0 серый, белый [материал-стекло, пластик]</t>
  </si>
  <si>
    <t>Весы Tefal PP1147  Classic, розовый [рисунок-цветы, материал-стекло]</t>
  </si>
  <si>
    <t>PP1148V0</t>
  </si>
  <si>
    <t>Весы Tefal PP1148V0 Classic, синий [рисунок-цветы, материал-стекло]</t>
  </si>
  <si>
    <t>Весы Tefal PP1149V0 Classic Lipstick, красный [рисунок-губы, материал-стекло]</t>
  </si>
  <si>
    <t>PP1153V0</t>
  </si>
  <si>
    <t>Весы Tefal PP1153V0 Classic, белый [рисунок-мозайка, материал-стекло]</t>
  </si>
  <si>
    <t>Весы Tefal PP1221V0 Premio, фиолетовый [рисунок-однотонный, материал-стекло]</t>
  </si>
  <si>
    <t>Весы Tefal PP3020V1 Atlantis, серебристый [память-4, материал-стекло]</t>
  </si>
  <si>
    <t>Весы Tefal PP5150V1 Evolis белый/черный [память-4, материал-стекло]</t>
  </si>
  <si>
    <t>SF4112F0</t>
  </si>
  <si>
    <t>Выпрямитель EXTRA LISS: Большие пластины для объемных или длинных волос, керамическое покрытие пластин с добавлением Кератина и Турмалина]</t>
  </si>
  <si>
    <t>SF4402F0</t>
  </si>
  <si>
    <t>Выпрямитель для волос Rowenta SF 4402 розовый, черный [режимов-11, покрытие-керамическое, без ионизации]</t>
  </si>
  <si>
    <t>SF6010F0</t>
  </si>
  <si>
    <t>Выпрямитель для волос Rowenta SF 6010 фиолетовый [режимов-6, покрытие-керамическое, генератор ионов]</t>
  </si>
  <si>
    <t>Выпрямитель для волос Rowenta SF 6220 серебристый, черный [режимов-5, покрытие-керамическое, генератор ионов]</t>
  </si>
  <si>
    <t>SF1519F0</t>
  </si>
  <si>
    <t>Выпрямитель для волос Rowenta SF1519 черный [режимов-1, покрытие-керамическое, турмалиновое, турмалиновая ионизация]</t>
  </si>
  <si>
    <t>SF1525F0</t>
  </si>
  <si>
    <t>Выпрямитель для волос Rowenta SF1525F0 Mozai белый [режимов-2, покрытие-керамическое, без ионизации]</t>
  </si>
  <si>
    <t>Выпрямитель для волос Rowenta SF1612FO черный [режимов-1, покрытие-керамико-турмалиновое, ионизация]</t>
  </si>
  <si>
    <t>Выпрямитель для волос Rowenta SF1810F0</t>
  </si>
  <si>
    <t>SF3212F0</t>
  </si>
  <si>
    <t>Выпрямитель для волос Rowenta SF3212 черный [режимов-10, покрытие-керамическое, ионизация]</t>
  </si>
  <si>
    <t>Выпрямитель для волос Rowenta SF7461 черный, розовый [режимов-5, покрытие-кератиновое, кашемировое, генератор ионов]</t>
  </si>
  <si>
    <t>Гладильная доска Tefal Стандарт [Напольная, 130*47см, метал. поверхность, подходит для: парогенераторов и утюгов]</t>
  </si>
  <si>
    <t>Гладильная система Tefal IXEO POWER QT2020E0 [подошва: нержавеющая сталь, пар: 90 г/мин, 5.8 Бар, 1.1 л, AutoOff, поверхность: 48.4х43.5, черный]</t>
  </si>
  <si>
    <t>Гладильная система Tefal IXEO QT1010E0 [подошва: нержавеющая сталь, пар: 60 г/мин, 5 Бар, 1 л, AutoOff, поверхность: 48.4х43.5, белый]</t>
  </si>
  <si>
    <t>Гриль Moulinex GC208832 [1600 Вт, антипригарное покрытие, сменные панели, черный]</t>
  </si>
  <si>
    <t>Гриль Tefal GC205012 серебристый [1600 Вт, антипригарное покрытие, сменные панели]</t>
  </si>
  <si>
    <t>Гриль Tefal GC241D38 серебристый [2000 Вт, антипригарное покрытие]</t>
  </si>
  <si>
    <t>Гриль Tefal GC242D38 [2000 Вт, антипригарное покрытие, серебристый, черный]</t>
  </si>
  <si>
    <t>Гриль Tefal GC306012 черный [2000 Вт, антипригарное покрытие, сменные панели]</t>
  </si>
  <si>
    <t>Гриль Tefal GC450B32 серебристый [2000 Вт, антипригарное покрытие, сменные панели]</t>
  </si>
  <si>
    <t>Гриль Tefal GC706D34 серебристый [2000 Вт, дисплей, антипригарное покрытие, сменные панели]</t>
  </si>
  <si>
    <t>GC712834</t>
  </si>
  <si>
    <t>Гриль Tefal GC712834 [2000 Вт, антипригарное покрытие, сменные панели, черный]</t>
  </si>
  <si>
    <t>Гриль Tefal GC722D34 Optigrill XL серебристый [2000 Вт, дисплей, антипригарное покрытие, сменные панели]</t>
  </si>
  <si>
    <t>Гриль Tefal GC724D12 Optigrill XL серебристый + насадка [2000 Вт, дисплей, антипригарное покрытие, сменные панели]</t>
  </si>
  <si>
    <t>Гриль Tefal Optigrill Elite GC750D30 [2000 Вт, дисплей, таймер, антипригарное покрытие, сменные панели, серебристый, черный, ПИ]</t>
  </si>
  <si>
    <t>DJ360A10</t>
  </si>
  <si>
    <t>Измельчитель Moulinex DJ360A10 [350 Вт, скоростей - 1, корпус - пластик, металл, белый]</t>
  </si>
  <si>
    <t>DJ450B10</t>
  </si>
  <si>
    <t>Измельчитель Moulinex DJ450 [500 Вт, скоростей - 1, корпус - пластик, белый, черный]</t>
  </si>
  <si>
    <t>Йогуртница Moulinex YG230131 белый [13 Вт, 140 мл, емкостей - 7, материал баночек - стекло, дисплей]</t>
  </si>
  <si>
    <t>Йогуртница Tefal Multi Delices Express YG660132 [450 Вт, 140 мл, емкостей - 6 шт, материал баночек - стекло, дисплей, белый, красный]</t>
  </si>
  <si>
    <t>Йогуртница TEFAL YG 260132 белый [40 Вт, 1750 мл, емкостей - 1, материал баночек - пластик, дисплей]</t>
  </si>
  <si>
    <t>YG500132</t>
  </si>
  <si>
    <t>Йогуртница Tefal YG 500132 белый [30 Вт, 125 мл, емкостей - 8, материал баночек - стекло, дисплей]</t>
  </si>
  <si>
    <t>XS600010</t>
  </si>
  <si>
    <t>Капучинатор KRUPS XS600010 [для кофемашин, материал - нержавеющая сталь, в комплекте - 1 шт]</t>
  </si>
  <si>
    <t>Картофелемялка Tefal K0260314 Enjoy [термостойкий пластик]</t>
  </si>
  <si>
    <t>Картриджи + фильтр Tefal ZR850001[Для пылесосовVP8561RH, картридж 4шт., фильтр 1шт. ]</t>
  </si>
  <si>
    <t>Кастрюля Tefal 04166322 Cook Right [диаметр: 22 см, объем: 3,5 л, материал: алюминий]</t>
  </si>
  <si>
    <t>Кастрюля Tefal Emotion E3014524 (диаметр: 20 см; объем 3 л; материал: нерж сталь; крышка)</t>
  </si>
  <si>
    <t>E3014624</t>
  </si>
  <si>
    <t>Кастрюля Tefal Emotion E3014624 (диаметр: 24 см; объем 5,2 л; материал: нерж.сталь; крышка)</t>
  </si>
  <si>
    <t>G7024414</t>
  </si>
  <si>
    <t>Кастрюля Tefal illico G7024414 Страна: КНР Диаметр: 20 см Объем кастрюли: 2.9 л Внутренняя градуировка: Да</t>
  </si>
  <si>
    <t>G7024674</t>
  </si>
  <si>
    <t>Кастрюля Tefal illico G7024674 Страна: КНР Диаметр: 24 см Объем кастрюли: 5 л Внутренняя градуировка: Да</t>
  </si>
  <si>
    <t>Кастрюля Tefal Performa 4190320 (диаметр: 20 см; объем 3 л; материал: алюм; крышка)</t>
  </si>
  <si>
    <t>Кастрюля Tefal PRIMARY E3084374 (диаметр: 18 см; объем 2,1 л; материал: нерж сталь; крышка)</t>
  </si>
  <si>
    <t>Ковш Tefal 04166418 Cook Right [объем: 2 л, диаметр: 18 см, алюминий, крышка]</t>
  </si>
  <si>
    <t>Ковш Tefal Emotion E3012174 (диаметр: 14 см; объем 1 л; материал: нерж. сталь; крышка)</t>
  </si>
  <si>
    <t>Ковш Tefal Emotion E3012224 (диаметр: 16 см; объем 1,5 л; материал: нерж. сталь; крышка, индукция)</t>
  </si>
  <si>
    <t>Ковш Tefal illico G7022214 Страна: КНР Диаметр: 16 см Объем ковша: 1.5 л Стеклянная крышка: в комплекте</t>
  </si>
  <si>
    <t>Ковш Tefal Performa 4190416 (диаметр: 16 см; объем 1,5 л; материал: алюм; крышка)</t>
  </si>
  <si>
    <t>Ковш Tefal PRIMARY E3082274 (диаметр: 16 см; объем 1,5 л; материал: нерж сталь; крышка)</t>
  </si>
  <si>
    <t>E3082374</t>
  </si>
  <si>
    <t>Ковш Tefal PRIMARY E3082374 (диаметр: 18 см; объем 2,1 л; материал: нерж сталь; крышка)</t>
  </si>
  <si>
    <t>Комплект фильтров Tafal ZR005901 [ Для моделей пылесосов: Tefal TW37]</t>
  </si>
  <si>
    <t>K3102012</t>
  </si>
  <si>
    <t>Контейнер для хранения Tefal K3102012 [пластик, прямоугольный, 0,55 л]</t>
  </si>
  <si>
    <t>K3102112</t>
  </si>
  <si>
    <t>Контейнер для хранения Tefal K3102112 [пластик, прямоугольный, 0,8 л]</t>
  </si>
  <si>
    <t>K3102212</t>
  </si>
  <si>
    <t>Контейнер для хранения Tefal K3102212 [пластик, прямоугольный, 1 л]</t>
  </si>
  <si>
    <t>K3102312</t>
  </si>
  <si>
    <t>Контейнер пищевой TEFAL Clip and Micro K3102312 [пластик, прямоугольный, 1 л]</t>
  </si>
  <si>
    <t>K3102412</t>
  </si>
  <si>
    <t>Контейнер пищевой TEFAL Clip and Micro K3102412 [пластик, прямоугольный, 1,2 л]</t>
  </si>
  <si>
    <t>Кофеварка капельная Moulinex FG170819 [870 Вт, 1250 мл, исп. кофе - молотый, черный]</t>
  </si>
  <si>
    <t xml:space="preserve">FG385A30 </t>
  </si>
  <si>
    <t>Кофеварка капельная Moulinex Soleil FG385A30 [1000 Вт, 1250 мл, исп. кофе - молотый, бежевый]</t>
  </si>
  <si>
    <t>Кофеварка капельная Tefal CM261838 черный [1200 Вт, 1250 мл, исп. кофе - молотый]</t>
  </si>
  <si>
    <t>CM361838</t>
  </si>
  <si>
    <t>Кофеварка капельная Tefal CM361838 черный [1000 Вт, 1250 мл, исп. кофе - молотый]</t>
  </si>
  <si>
    <t>Кофеварка капельная Tefal CM361E38 красный [1000 Вт, 1250 мл, исп. кофе - молотый]</t>
  </si>
  <si>
    <t>XP344010</t>
  </si>
  <si>
    <t>Кофеварка рожковая Krups XP344010 [исп. кофе - молотый, чалды, 1460 Вт, 15 Бар, 1100 мл, ручной, черный, серебристый]</t>
  </si>
  <si>
    <t>Кофемашина Krups EA817010 черный [15 бар, ручной, дисплей, исп. кофе - молотый]</t>
  </si>
  <si>
    <t>EA81R870</t>
  </si>
  <si>
    <t>Кофемашина Krups EA81R870 [1450 Вт, 15 Бар, ручной, 1.7 л, исп. кофе - зерновой, черный]</t>
  </si>
  <si>
    <t>EA826E30</t>
  </si>
  <si>
    <t>Кофемашина Krups EA826E30 серебристый [1450 Вт, 15 бар, автоматический, 1.8 л, дисплей, исп. кофе - зерновой]</t>
  </si>
  <si>
    <t>Кофемашина Krups EA873810 [1450 Вт, 15 Бар, автоматический, 3 л, дисплей, исп. кофе - зерновой]</t>
  </si>
  <si>
    <t>Кофемашина Krups EA890110 белый [1450 Вт, 15 бар, автоматический, 2.5 л, дисплей, исп. кофе - молотый, зерновой]</t>
  </si>
  <si>
    <t>Кофемолка Moulinex AR110830 черный [180 Вт, скоростей - 1, корпус - пластик, импульсный режим]</t>
  </si>
  <si>
    <t>Крышка Tefal 04090118 [диаметр: 18 см, материал: огнеупорное стекло, стальная окантовка, отверстие для выпуска пара]</t>
  </si>
  <si>
    <t>Крышка Tefal 04090120 [диаметр: 20 см, материал: огнеупорное стекло, стальная окантовка, отверстие для выпуска пара]</t>
  </si>
  <si>
    <t>Крышка Tefal 04090122 [диаметр: 22 см, материал: огнеупорное стекло, стальная окантовка, отверстие для выпуска пара]</t>
  </si>
  <si>
    <t>Крышка Tefal 04090124 [диаметр: 24 см, материал: огнеупорное стекло, стальная окантовка, отверстие для выпуска пара]</t>
  </si>
  <si>
    <t>Крышка Tefal 04090126 [диаметр: 26 см, материал: огнеупорное стекло, стальная окантовка, отверстие для выпуска пара]</t>
  </si>
  <si>
    <t>Крышка Tefal 04090128 [диаметр: 28 см, материал: огнеупорное стекло, стальная окантовка, отверстие для выпуска пара]</t>
  </si>
  <si>
    <t>Крышка Tefal 04090130 [диаметр: 30 см, материал: огнеупорное стекло, стальная окантовка, отверстие для выпуска пара]</t>
  </si>
  <si>
    <t>Крышка Tefal 04162720 Ingenio [диаметр: 20 см, материал: пластик]</t>
  </si>
  <si>
    <t>Крышка Tefal Butterfly 04199728 [диаметр: 28 см, материал: огнеупорное стекло, стальная окантовка, отверстие для выпуска пара]</t>
  </si>
  <si>
    <t>Крышка Tefal Butterfly 4199716 [диаметр: 16 см, материал: огнеупорное стекло, стальная окантовка, отверстие для выпуска пара]</t>
  </si>
  <si>
    <t>Крышка Tefal Butterfly 4199718 [диаметр: 18 см, материал: огнеупорное стекло, стальная окантовка, отверстие для выпуска пара]</t>
  </si>
  <si>
    <t>Крышка Tefal Butterfly 4199720 [диаметр: 20 см, материал: огнеупорное стекло, стальная окантовка, отверстие для выпуска пара]</t>
  </si>
  <si>
    <t>Крышка Tefal Butterfly 4199722 [диаметр: 22 см, материал: огнеупорное стекло, стальная окантовка, отверстие для выпуска пара]</t>
  </si>
  <si>
    <t>Крышка Tefal Butterfly 4199724 [диаметр: 24 см, материал: огнеупорное стекло, стальная окантовка, отверстие для выпуска пара]</t>
  </si>
  <si>
    <t>Крышка Tefal Butterfly 4199726 [диаметр: 26 см, материал: огнеупорное стекло, стальная окантовка, отверстие для выпуска пара]</t>
  </si>
  <si>
    <t>Кулинарные Щипцы Tefal Ingenio K2060714</t>
  </si>
  <si>
    <t>Кухонная машина Moulinex QA510110 [1100 Вт, чаша - 4.6 л, белый]</t>
  </si>
  <si>
    <t>Кухонная машина Moulinex QA519D32 [1100 Вт, чаша - 4.6 л, мясорубка, блендер, терка, серебристый, черный]</t>
  </si>
  <si>
    <t>QA250A10</t>
  </si>
  <si>
    <t>Кухонная машина Moulinex Soleil QA250A10 [900 Вт, чаша - 4.6 л, белый, серый]</t>
  </si>
  <si>
    <t>Кухонная машина Moulinex Wizzo QA310110 [1000 Вт, чаша - 4 л, белый, черный]</t>
  </si>
  <si>
    <t>Кухонная машина Moulinex Wizzo QA317510 [1000 Вт, чаша - 4 л, мясорубка, блендер, терка, красный, черный, серебристый]</t>
  </si>
  <si>
    <t>Кухонные весы Tefal BC5003V1/ BC5003V2 Красные Optiss [электронные, платформа, предел - 5 кг, точность - 1 г, тарокомпенсация, измерение объема жидкос</t>
  </si>
  <si>
    <t>Кухонные весы Tefal BC5004V1/BC5004V2 Серые [электронные, платформа, предел - 5 кг, точность - 1 г, тарокомпенсация, измерение объема жидкости]</t>
  </si>
  <si>
    <t>BC5109V1</t>
  </si>
  <si>
    <t>Кухонные весы Tefal BC5109 Черные [электронные, платформа, предел - 5 кг, точность - 1 г, тарокомпенсация, измерение объема жидкости]</t>
  </si>
  <si>
    <t>BC5304V0</t>
  </si>
  <si>
    <t>Кухонные весы Tefal BC5304V0 Белые [электронные, платформа, предел - 5 кг, точность - 1 г, тарокомпенсация, измерение объема жидкости]</t>
  </si>
  <si>
    <t>Кухонные весы Tefal BC8000 [электронные, платформа, предел - 10 кг, точность - 1 г, тарокомпенсация, измерение объема жидкости]</t>
  </si>
  <si>
    <t>Кухонные весы Tefal Compliss BC1000V1</t>
  </si>
  <si>
    <t>Кухонные весы Tefal OPTISS CUPCAKE Стеклянная платформа - до 5 Кг - сброс тары - ед. измерения g/dl/cl</t>
  </si>
  <si>
    <t>FP244110</t>
  </si>
  <si>
    <t>Кухонный комбайн Moulinex Easy Force FP244110 [700 Вт, чаша - 2.4 л, терка, белый]</t>
  </si>
  <si>
    <t>Кухонный комбайн Moulinex FP542111 [800 Вт, чаша - 2.2 л, блендер, терка, белый]</t>
  </si>
  <si>
    <t>Кухонный комбайн Moulinex FP546811 [800 Вт, чаша - 3 л, блендер, терка, черный]</t>
  </si>
  <si>
    <t>Кухонный комбайн Moulinex FP827E10 [1000 Вт, чаша - 3 л, соковыжималка, мясорубка, блендер, терка, серебристый, черный]</t>
  </si>
  <si>
    <t>Ложка для пасты Tefal Ingenio K2060214</t>
  </si>
  <si>
    <t>Ложка поварская Tefal K0060112 Enjoy [термостойкий пластик]</t>
  </si>
  <si>
    <t>K0060312</t>
  </si>
  <si>
    <t>Лопатка Tefal K0060312 Enjoy [угловая, пластик]</t>
  </si>
  <si>
    <t>K0060412</t>
  </si>
  <si>
    <t>Лопатка Tefal K0060412 Enjoy [для блинов, термостойкий пластик]</t>
  </si>
  <si>
    <t>K0060512</t>
  </si>
  <si>
    <t>Лопатка Tefal K0060512 Enjoy [длинная, термостойкий пластик]</t>
  </si>
  <si>
    <t>Лопатка Tefal K0260514 Enjoy [угловая, пинцет, пластик]</t>
  </si>
  <si>
    <t>Лопатка Tefal K2060814 Ingenio [угловая, пластик]</t>
  </si>
  <si>
    <t>Машинка для стрижки Rowenta TN 5220F0 черный/синий [длина 0.5-30 мм, смена насадок и регулировка, насадок-3 шт, от сети/аккумулятора, нерж.сталь, тита</t>
  </si>
  <si>
    <t>Машинка для стрижки Rowenta TN1300 серебристый/черный [длина 0.6-25 мм, смена насадок и регулировка, насадок-6, от сети, нерж.сталь]</t>
  </si>
  <si>
    <t>Машинка для стрижки Rowenta TN1350 черный/красный [длина 0.6-25 мм, смена насадок и регулировка, насадок-6 шт, от сети]</t>
  </si>
  <si>
    <t>Машинка для стрижки Rowenta TN1405 белый/синий [длина 3-30 мм, смена насадок и регулировка, насадок-2, от сети/автономное, нерж.сталь, чехол]</t>
  </si>
  <si>
    <t>Машинка для стрижки Rowenta TN1604 красный/черный [длина 1-12 мм, смена насадок и регулировка, насадок-4, от сети, нерж.сталь]</t>
  </si>
  <si>
    <t>TN1609F0</t>
  </si>
  <si>
    <t>Машинка для стрижки Rowenta TN1609F0 черный [длина 1-12 мм, смена насадок и регулировка, насадок-4 шт, от сети, нерж.сталь]</t>
  </si>
  <si>
    <t>Машинка для стрижки Rowenta TN5200 черный [длина 0.5-30 мм, смена насадок и регулировка, насадок-2, от сети/автономное, нерж.сталь, титан]</t>
  </si>
  <si>
    <t>Машинка для удаления катышков Tefal JB1011E0 [корпус - пластик, питание - 2хот батареек]</t>
  </si>
  <si>
    <t>Машинка для удаления катышков Tefal JB1013E0 [корпус - пластик, питание - 2хот батареек]</t>
  </si>
  <si>
    <t>Мешки-пылесборники Tefal ZR003901 [Для моделей пылесосов: TW26]</t>
  </si>
  <si>
    <t>Мешки-пылесборники Tefal ZR200540 [Для моделей пылесосов: TW39/68]</t>
  </si>
  <si>
    <t>Мешки-пылесборники WB305140 Tefal [Для моделей пылесосов: TW52]</t>
  </si>
  <si>
    <t>Миксер Moulinex HM211A11 [200 Вт, ручной, скоростей - 2, корпус - пластик, насадок - 4 шт, бежевый, серый]</t>
  </si>
  <si>
    <t>Миксер Moulinex HM3101B1 белый [300 Вт, ручной, скоростей - 5, корпус - пластик, насадок - 2 шт, турборежим]</t>
  </si>
  <si>
    <t>Мультиварка Tefal RK321A32 [5 л, 750 Вт, управление - кнопки, программ - 15, поддержание температуры, отложенный старт, бронзовый, черный]</t>
  </si>
  <si>
    <t>RK601132</t>
  </si>
  <si>
    <t>Мультиварка Tefal RK601132 [2 л, 350 Вт, управление - сенсор, программ - 7, поддержание температуры, отложенный старт, белый, золотистый]</t>
  </si>
  <si>
    <t>Мультиварка Tefal RK802B32 [5 л, 1200 Вт, управление - сенсор, программ - 12, поддержание температуры, отложенный старт, серый, серебристый]</t>
  </si>
  <si>
    <t>Мультиварка Tefal RK812832 [5 л, 750 Вт, управление - кнопки, программ - 45, поддержание температуры, отложенный старт, черный]</t>
  </si>
  <si>
    <t>Мультиварка Tefal RK901F32 [5 л, 750 Вт, управление - кнопки, программ - 71, поддержание температуры, отложенный старт, черный, бронзовый]</t>
  </si>
  <si>
    <t>Мультиварка-скороварка Tefal CY625D32 [4.8 л, 1000 Вт, управление - кнопки, программ - 66, поддержание температуры, отложенный старт, черный]</t>
  </si>
  <si>
    <t>Мультистайлер Rowenta CF 4112 розовый, черный [нагрев до 180 °C, покрытие-керамическое, насадок/функций-5, с насадками]</t>
  </si>
  <si>
    <t>Мультистайлер Rowenta CF 4122 розовый, черный [нагрев до 180 °C, покрытие-керамическое, насадок/функций-3, с насадками]</t>
  </si>
  <si>
    <t>Мультистайлер Rowenta CF4512F0 черный, розовый [нагрев до 200°, покрытие-керамическое, насадок/функций-3, все в одном]</t>
  </si>
  <si>
    <t>Мясорубка Moulinex ME208139 белый [1400 Вт, 1.7 кг/мин, корпус - пластик, лоток - пластик]</t>
  </si>
  <si>
    <t>Мясорубка Moulinex ME209139 белый [1400 Вт, 1.7 кг/мин, корпус - пластик, лоток - пластик]</t>
  </si>
  <si>
    <t>Мясорубка Moulinex ME306 серый [1600 Вт, 1.9 кг/мин, корпус - пластик, лоток - металл, реверс]</t>
  </si>
  <si>
    <t>ME546810</t>
  </si>
  <si>
    <t>Мясорубка Moulinex ME546 [2200 Вт, 4.1 кг/мин, корпус - металл, пластик, лоток - металл, реверс, черный, серебристый]</t>
  </si>
  <si>
    <t>Мясорубка Moulinex ME548810 [2200 Вт, 4.1 кг/мин, корпус - металл, пластик, лоток - металл, реверс, черный, серебристый]</t>
  </si>
  <si>
    <t>Мясорубка Moulinex ME620 белый [2000 Вт, 2.6 кг/мин, корпус - пластик, лоток - пластик, реверс]</t>
  </si>
  <si>
    <t>Мясорубка Moulinex ME686832 [2200 Вт, 4.5 кг/мин, корпус - пластик, лоток - пластик, реверс, серый, серебристый]</t>
  </si>
  <si>
    <t>Мясорубка Moulinex ME688 черный [2200 Вт, 4.5 кг/мин, корпус - пластик, лоток - металл, реверс]</t>
  </si>
  <si>
    <t>Мясорубка электрическая Moulinex HV8 ME683832 [2000 Вт, 2.6 кг/мин, корпус - пластик, лоток - пластик, реверс, черный, серебристый]</t>
  </si>
  <si>
    <t>Мясорубка электрическая Moulinex HV8 ME687832 [2200 Вт, 4.5 кг/мин, корпус - пластик, лоток - пластик, реверс, черный, серебристый]</t>
  </si>
  <si>
    <t>Мясорубка электрическая Moulinex ME111032 [1400 Вт, 1.7 кг/мин, корпус - пластик, лоток - пластик, реверс, белый, серебристый, черный]</t>
  </si>
  <si>
    <t>Мясорубка электрическая Moulinex ME740H30 [2300 Вт, 5 кг/мин, корпус - металл, пластик, лоток - металл, реверс]</t>
  </si>
  <si>
    <t>Набор аксессуаров и щеток Tefal ZR720002 [для уборки в труднодоступных местах]</t>
  </si>
  <si>
    <t>Набор аксессуаров и щеток Tefal ZR740003 [для уборки в труднодоступных местах, уборка твердых полов]</t>
  </si>
  <si>
    <t>ZR005804</t>
  </si>
  <si>
    <t>Набор из двух тряпок-накладок и паролонового фильтра Tefal ZR005804  для TY75/TY85/TY77</t>
  </si>
  <si>
    <t>Набор кухонных предметов Tefal Ingenio K206S414 [4 предмета, пластик]</t>
  </si>
  <si>
    <t>Набор насадок Tefal ZR850003 [Для пылесосов VP8561RH]</t>
  </si>
  <si>
    <t>K2213S74</t>
  </si>
  <si>
    <t>Набор ножей Tefal K2213S74/K2213S75 Reliance/Essential [3 ножа из нержавеющей стали]</t>
  </si>
  <si>
    <t>K2214S74</t>
  </si>
  <si>
    <t>Набор ножей Tefal K2214S74/K2214S75 Reliance/Essential [4 ножа из нержавеющей стали]</t>
  </si>
  <si>
    <t>Набор ножей Tefal K221SB14/K221SB04 Comfort [9 ножей из нержавеющей стали, деревянная подставка]</t>
  </si>
  <si>
    <t>Набор посуды Tefal 04175810 Ingenio 5 [сковорода: 22 см, 26 см, материал алюминий, съемная ручка]</t>
  </si>
  <si>
    <t>Набор посуды Tefal 04175820 Ingenio 5 [сковорода: 24 см, 28 см, материал алюминий, съемная ручка]</t>
  </si>
  <si>
    <t>Набор посуды Tefal 04181810 Ingenio Black 5 [сковорода: 22 см, 26 см, материал алюминий, съемная ручка]</t>
  </si>
  <si>
    <t>Набор посуды Tefal 04181820 Ingenio Black 5 [сковорода: 24 см, 28 см, материал алюминий, съемная ручка]</t>
  </si>
  <si>
    <t>Набор посуды Tefal 04181830 Ingenio Black 5 [ковш: 16 см, 20 см, материал алюминий, съемная ручка]</t>
  </si>
  <si>
    <t>Набор посуды Tefal 4175830 Ingenio 5 [ковш: 2 см, вок: 26 см, материал алюминий, съемная ручка]</t>
  </si>
  <si>
    <t>Набор посуды Tefal 4181840 Ingenio Black [ковш: 1,5 л, сковорода 26 см, крышка 16 см, съемная ручка, алюминий]</t>
  </si>
  <si>
    <t>L6559702</t>
  </si>
  <si>
    <t>Набор посуды Tefal 4L6559702 Ingenio Chef's [ковш: 2л, сковорода 26см, сковорода глубокая 22см, съемная ручка, алюминий,</t>
  </si>
  <si>
    <t>L6559902</t>
  </si>
  <si>
    <t>Набор посуды Tefal 5L6559902 Ingenio Chef's [ковш: 1,6л, 2л, сковорода 22см, 28см, крышка 23см, съемная ручка, алюминий,</t>
  </si>
  <si>
    <t>L6559802</t>
  </si>
  <si>
    <t>Набор посуды Tefal 6L6559802 Ingenio Chef's [ковш: 1,6л, 2л, сковорода 22см, 26см, вок 26см, крышка 16см, 18см, съемная</t>
  </si>
  <si>
    <t>G701S874</t>
  </si>
  <si>
    <t>Набор посуды Tefal 7 G701S874 (ковш 16 см, кастрюля 20,22 см, сотрейник 24 см, крышки)</t>
  </si>
  <si>
    <t>Набор посуды Tefal Daily Chef G2739072 (сковорода 22, 28 см)</t>
  </si>
  <si>
    <t>Набор посуды Tefal Duetto+ 11 пр. G719S674 (ковш 16 см, кастрюли 20,24 см, крышки, нерж. сталь, индукция)</t>
  </si>
  <si>
    <t>Набор посуды Tefal Emotion 11 пр. E300SB74 (ковш 16 см, кастрюли 20,24 см, крышки, сковорода, + 4 аксес., нерж. сталь, индукция)</t>
  </si>
  <si>
    <t>G719SA74</t>
  </si>
  <si>
    <t>Набор посуды Tefal G719SA74 Duetto+ [кастрюля: 4,5 л, 3 л, 2 л., ковш: 1,5 л, для пасты:  3,5 л, нержавеющая сталь, индукция]</t>
  </si>
  <si>
    <t>Набор посуды Tefal Optispace 13 G720SD74 (кастрюли 18, 20, 24; 3 стекл. крышки; пласт. крышки 18,20 + 5 аксессуаров)</t>
  </si>
  <si>
    <t>G720S604</t>
  </si>
  <si>
    <t>Набор посуды Tefal Optispace G720S604 (кастрюли 18,20 см, сковороды 24, 28 см, 2 крышки)</t>
  </si>
  <si>
    <t>Набор посуды TEFAL Opti'Space G720S674 6 предметов 2,1/3/5,2 л 18/20/24 см</t>
  </si>
  <si>
    <t>Набор посуды Tefal Primary 11 пр. E308SB74 (ковш 16 см, кастрюли 18,20,24 см, крышки + 3 аксес, нерж. сталь, индукция)</t>
  </si>
  <si>
    <t>E308S474</t>
  </si>
  <si>
    <t>Набор посуды Tefal Primary 4 E308S474 (ковш:16 см, кастрюля 20 см, крышки; материал: нерж. сталь)</t>
  </si>
  <si>
    <t>Набор посуды Tefal Primary 6 E3086S74 (ковш:16 см, кастрюля 20, 24 см, крышки; материал: нерж. сталь)</t>
  </si>
  <si>
    <t>Набор посуды Tefal Virtuoso 6 пр. E4926S74 (ковш 14 см, кастрюли 20,24 см, крышки, нерж. сталь, индукция)</t>
  </si>
  <si>
    <t>Набор сменных аксесcуаров Tefal XD5100E0 [для гладильной системы, 1 шт]</t>
  </si>
  <si>
    <t>Насадка Tefal ZR005802 [Для пылесоса VP75]</t>
  </si>
  <si>
    <t>ZR006502</t>
  </si>
  <si>
    <t>Насадка Tefal ZR006502 [Для пылесоса VP65]</t>
  </si>
  <si>
    <t>Насадка Tefal ZR009500 [Для пылесосаTY94, 95, 92, 73]</t>
  </si>
  <si>
    <t>Насадка для блендера Moulinex XF634BB1 [Moulinex MasterChef Gourmet, Moulinex MasterChef Gourmet Moulinex QA500, Moulinex QA50A, Moulinex QA509]</t>
  </si>
  <si>
    <t>Насадки Tefal ZR005801[Для пылесоса VP75, салфетки 2 шт., картридж 1шт.,фильтр 1шт.]</t>
  </si>
  <si>
    <t>ZR006501</t>
  </si>
  <si>
    <t>Насадки Tefal ZR006501 [Для паровой швабры VP65, 2 салветки + картридж от накипи]</t>
  </si>
  <si>
    <t>Насадки Tefal ZR850002 [Для пылесоса VP8561RH, 2шт.]</t>
  </si>
  <si>
    <t>K1530214</t>
  </si>
  <si>
    <t>Нож для хлеба Tefal Ingenio White K1530214</t>
  </si>
  <si>
    <t>K1520414</t>
  </si>
  <si>
    <t>Нож керамический Tefal Ingenio K1520414 Black [сантоку,13 см]</t>
  </si>
  <si>
    <t>K1520514</t>
  </si>
  <si>
    <t>Нож керамический Tefal Ingenio K1520514 Black [универсальный,13 см]</t>
  </si>
  <si>
    <t>K1530314</t>
  </si>
  <si>
    <t>Нож керамический Tefal Ingenio K1530314 White [для овощей, 8 см]</t>
  </si>
  <si>
    <t>K1530414</t>
  </si>
  <si>
    <t>Нож керамический Tefal Ingenio K1530414 White [сантоку,13 см]</t>
  </si>
  <si>
    <t>K1530514</t>
  </si>
  <si>
    <t>Нож керамический Tefal Ingenio K1530514 White [универсальный,13 см]</t>
  </si>
  <si>
    <t>Нож кухонный стальной Tefal K1220114/K1220104 Fresh Kitchen [сантоку, 12 см]</t>
  </si>
  <si>
    <t>Нож кухонный стальной Tefal K1220314/K1220304 Fresh Kitchen [поварской, 15 см]</t>
  </si>
  <si>
    <t>Нож кухонный стальной Tefal K1220614/K1220604 Fresh Kitchen [для овощей 9 см]</t>
  </si>
  <si>
    <t>Нож кухонный стальной Tefal K1220714/K1220704 Fresh Kitchen [универсальный, 12 см]</t>
  </si>
  <si>
    <t>K1520214</t>
  </si>
  <si>
    <t>Нож поварской Tefal Ingenio Black K1520214</t>
  </si>
  <si>
    <t>K1224105</t>
  </si>
  <si>
    <t>Ножницы кухонные Tefal K1224114/ K1224105 Fresh Kitchen [универсальные, нерж. сталь, пластик, открывалка для бутылок]</t>
  </si>
  <si>
    <t>Овощечистка керамическая Tefal K1522014 Black</t>
  </si>
  <si>
    <t>Овощечистка керамическая Tefal K1532014 White</t>
  </si>
  <si>
    <t>IT3450E0</t>
  </si>
  <si>
    <t>Отпариватель напольный Tefal IT3450 [1800 Вт, поток пара: 30 г/мин, объем: 1.5 л, до 50 мин., фиолетовый]</t>
  </si>
  <si>
    <t>Отпариватель напольный Tefal IT8490E0 [2000 Вт, поток пара: 40 г/мин, объем: 1.3 л, до 40 мин., черный]</t>
  </si>
  <si>
    <t>Отпариватель напольный Tefal Pro Style Care IT8440E0 [1800 Вт, поток пара: 35 г/мин, объем: 1.3 л, до 40 мин]</t>
  </si>
  <si>
    <t>Отпариватель ручной Tefal ACCESS STEAM POCKET DT3030E0 [1300 Вт, поток пара: 19 г/мин, объем: 0.12 л]</t>
  </si>
  <si>
    <t>DT3031E0</t>
  </si>
  <si>
    <t>Отпариватель ручной Tefal ACCESS STEAM POCKET DT3031E0 [1300 Вт, поток пара: 19 г/мин, объем: 0.12 л]</t>
  </si>
  <si>
    <t>DT6130E0</t>
  </si>
  <si>
    <t>Отпариватель ручной Tefal DT6130E0 [1300 Вт, поток пара: 20 г/мин, объем: 0.07 л, белый/голубой]</t>
  </si>
  <si>
    <t>Отпариватель ручной Tefal DT7000 [1100 Вт, поток пара: 17 г/мин, объем: 0.15 л, до 8 мин, серый]</t>
  </si>
  <si>
    <t>Отпариватель ручной Tefal DT8100E0 [1600 Вт, поток пара: 26 г/мин, объем: 0.19 л, до 10 мин, темно-голубой / белый]</t>
  </si>
  <si>
    <t>DT8150E0</t>
  </si>
  <si>
    <t>Отпариватель ручной Tefal DT8150 [1600 Вт, поток пара: 26 г/мин, объем: 0.19 л, до 10 мин, черный]</t>
  </si>
  <si>
    <t>Отпариватель ручной Tefal DT9100E0 [1600 Вт, поток пара: 30 г/мин, объем: 0.2 л, до 9 мин, черный/медный металлик]</t>
  </si>
  <si>
    <t>Отпариватель ручной Tefal DV9000E0 [950 Вт, поток пара: 11 г/мин, объем: 0.05 л]</t>
  </si>
  <si>
    <t>Очиститель воздуха Tefal PT3030F0 [3 фильтра, угольный, HEPA, предварит. очистка, площадь помещения: 120 м.кв.,]</t>
  </si>
  <si>
    <t>Панель для гриля Tefal XA723812 [Для модели: GC7128 и GC712D - вафли ]</t>
  </si>
  <si>
    <t>Панель для гриля Tefal XA725870</t>
  </si>
  <si>
    <t>Пароварка Tefal VC1006 белый [900 Вт, 9 л, ярусов - 3, управление - механическое, корпус - пластик]</t>
  </si>
  <si>
    <t>Пароварка Tefal VC130130 Minicompact белый [650 Вт, 7 л, ярусов - 3, управление - механическое, корпус - пластик]</t>
  </si>
  <si>
    <t>VC140131</t>
  </si>
  <si>
    <t>Пароварка Tefal VC1401 черный [950 Вт, 6 л, ярусов - 2, управление - механическое, корпус - пластик]</t>
  </si>
  <si>
    <t>Пароварка Tefal VC3008 Steam’n’light [ 10 л, 3 яруса, 900 Вт, электронное управление]</t>
  </si>
  <si>
    <t>Паровая станция Tefal GV9581E0 [2600 Вт, подошва: металлокерамика, пар: 180 г/мин, удар: 600 г/мин, 8 Бар, 1900 мл, AutoOff, 1.7 м, золотой]</t>
  </si>
  <si>
    <t>SV8010E0</t>
  </si>
  <si>
    <t>Парогенератор Tefal EXPRESS ANTI-CALC SV8010E0 [2200 Вт, подошва: Dirilium Airglide, пар: 120 г/мин, удар: 400 г/мин, 6 бар, 1800 мл, AutoOff, голубой</t>
  </si>
  <si>
    <t>SV6110</t>
  </si>
  <si>
    <t>Парогенератор Tefal EXPRESS ESSENTIAL SV6110E0 [2200 Вт, подошва: металлокерамика, пар: 110 г/мин, удар: 260 г/мин, 5 Бар, 1400 мл, AutoOff, 1.6 м, бо</t>
  </si>
  <si>
    <t>Парогенератор Tefal EXPRESS POWER SV8061E0 [2800 Вт, подошва: металлокерамика, пар: 130 г/мин, удар: 460 г/мин, 6.7 Бар, 1800 мл, AutoOff, 1.6 м, фиол</t>
  </si>
  <si>
    <t>SV9203E0</t>
  </si>
  <si>
    <t>Парогенератор Tefal EXPRESS PROTECT SV9203E0 [2800 Вт, подошва: металлокерамика, пар: 130 г/мин, удар: 530 г/мин, 7.5 Бар, 1800 мл, AutoOff, 1.6 м]</t>
  </si>
  <si>
    <t>Парогенератор Tefal GV9220 [2600 Вт, подошва: металлокерамика, пар: 135 г/мин, удар: 540 г/мин, 7.5 Бар, 1800 мл, AutoOff, 1.6 м]</t>
  </si>
  <si>
    <t>Парогенератор Tefal Pro Express Ultimate + GV9620E0 [2600 Вт, удар: 180 г/мин, 8 Бар, 1900 мл, AutoOff]</t>
  </si>
  <si>
    <t>Парогенератор Tefal PRO EXPRESS Ultimate GV9570E0 [2600 Вт, подошва: керамика, пар: 160 г/мин, удар: 550 г/мин, 7.8 бар, 1900 млAutoOff, синий]</t>
  </si>
  <si>
    <t>Парогенератор TEFAL PRO EXPRESS ULTIMATE, давление пара 7,7 бар, постоянный пар до 150 г/мин, паровой удар 580 г/мин, коллектор для сбора накипи, съем</t>
  </si>
  <si>
    <t>SV7112E0</t>
  </si>
  <si>
    <t>Парогенератор Tefal SV7112E0 [2600 Вт, подошва: керамика, пар: 120 г/мин, удар: 360 г/мин, 5.9 бар, 1700 мл, синий]</t>
  </si>
  <si>
    <t>SV8012E0</t>
  </si>
  <si>
    <t>Парогенератор Tefal SV8012E0 [2200 Вт, подошва: металлокерамика, пар: 120 г/мин, удар: 400 г/мин, 6.2 Бар, 1800 мл]</t>
  </si>
  <si>
    <t>VP6557RH</t>
  </si>
  <si>
    <t>Пароочиститель вертикальный Tefal VP6557RH [1200 Вт, до 23 г/мин, 600 мл, 3 режима]</t>
  </si>
  <si>
    <t>Половник Tefal K0060212 Enjoy [термостойкий пластик]</t>
  </si>
  <si>
    <t>Половник Tefal K2060114 Ingenio</t>
  </si>
  <si>
    <t>ZR009001</t>
  </si>
  <si>
    <t>Предмоторный фильтр Tefal ZR009001[ Для моделей пылесосов: Tefal TY90; TY73]</t>
  </si>
  <si>
    <t>Предмоторный фильтр Tefal ZR009002 [ Для моделей пылесосов: Tefal TY92,TY94]</t>
  </si>
  <si>
    <t>ZR903901</t>
  </si>
  <si>
    <t>Предмоторный фильтр Tefal ZR903901[ Для моделей пылесосов: Tefal TY89]</t>
  </si>
  <si>
    <t>TW2925EA</t>
  </si>
  <si>
    <t>Пылесос  Tefal TW2925EA [750 Вт, сухая, контейнер, 1.2 л, труба телескопическая, HEPA]</t>
  </si>
  <si>
    <t>TW3132EA</t>
  </si>
  <si>
    <t>Пылесос  Tefal TW3132EA [450 Вт, сухая, мешок, 4.5 л, труба телескопическая, рег. мощности на корпусе, HEPA]</t>
  </si>
  <si>
    <t>TW3186EA</t>
  </si>
  <si>
    <t>Пылесос  Tefal TW3186EA [сухая, мешок, 4.5 л, труба телескопическая]</t>
  </si>
  <si>
    <t>TW3981EA</t>
  </si>
  <si>
    <t>Пылесос  Tefal TW3981EA [750 Вт, сухая, мешок, 3 л, труба телескопическая, рег. мощности на корпусе, HEPA]</t>
  </si>
  <si>
    <t>Пылесос  Tefal TW4871EA [550 Вт, сухая, контейнер, 2.5 л, труба телескопическая, голубой]</t>
  </si>
  <si>
    <t>Пылесос  Tefal TW4881EA [сухая, контейнер, 2.5 л, труба телескопическая, рег. мощности на рукоятке]</t>
  </si>
  <si>
    <t>Пылесос  Tefal TW7256EA [всасывания-550 Вт, сухая, контейнер, 2.5 л, труба телескопическая, рег. мощности на рукоятке, HEPA]</t>
  </si>
  <si>
    <t>Пылесос  Tefal TW7272EA [всасывания-550 Вт, сухая, контейнер, 2.5 л, труба телескопическая, рег. мощности на рукоятке, HEPA]</t>
  </si>
  <si>
    <t>Пылесос  Tefal TW7690EA [550 Вт, сухая, контейнер, 2.5 л, труба телескопическая, рег. мощности на рукоятке, HEPA, голубой]</t>
  </si>
  <si>
    <t>Пылесос  вертикальный Tefal TY6543RH [Li-Ion, до 30 мин, сухая, пылесборник - 0.65 л, рег. мощности, красный]</t>
  </si>
  <si>
    <t>Пылесос  вертикальный Tefal TY6547RH [аккумулятор, Li-Ion, до 30 мин, сухая, пылесборник - 0.5 л, рег. мощности, HEPA]</t>
  </si>
  <si>
    <t>Пылесос  вертикальный Tefal TY6878WO [Li-Ion, до 45 мин, всасывания-100 Вт, сухая, пылесборник - 0.55 л, рег. мощности, HEPA, графитовый]</t>
  </si>
  <si>
    <t>Пылесос  вертикальный Tefal TY9490WO [Li-Ion, до 59 мин, влажная, сухая, пылесборник - 0.65 л, рег. мощности]</t>
  </si>
  <si>
    <t>TY9152WO</t>
  </si>
  <si>
    <t>Пылесос вертикальный  Tefal TY9152WO [аккумулятор, Li-Ion, до 60 мин, сухая, пылесборник - 0.5 л, рег. мощности, HEPA, бирюзовый]</t>
  </si>
  <si>
    <t>TY9639WO</t>
  </si>
  <si>
    <t>Пылесос вертикальный  Tefal TY9639WO [Li-Ion, до 35 мин, сухая, пылесборник - 0.55 л, рег. мощности, HEPA, серый/сиреневый]</t>
  </si>
  <si>
    <t>TY9691W0</t>
  </si>
  <si>
    <t>Пылесос вертикальный  Tefal TY9691W0 [Li-Ion, до 30 мин, влажная, сухая, пылесборник - 0.55 л, рег. мощности, HEPA, серый с синим]</t>
  </si>
  <si>
    <t>Пылесос вертикальный  Tefal TY9879WO [Li-Ion, до 45 мин, всасывания-130 Вт, сухая, пылесборник - 0.9 л, рег. мощности, HEPA, красный с серым]</t>
  </si>
  <si>
    <t>Пылесос вертикальный  Tefal TY9890WO [Li-Ion, до 45 мин, всасывания-130 Вт, влажная, сухая, пылесборник - 0.9 л, рег. мощности, HEPA, серый с синим]</t>
  </si>
  <si>
    <t>Пылесос вертикальный  Tefal VP7751WH [1500 Вт, влажная, сухая, пылесборник - 0.3 л, рег. мощности, HEPA]</t>
  </si>
  <si>
    <t>Пылесос вертикальный Tefal TY6753WO [аккумуляторLi-Ion, до 45 мин, сухая, контейнер, 0.6 л, красный]</t>
  </si>
  <si>
    <t>TY9179WO</t>
  </si>
  <si>
    <t>Пылесос вертикальный Tefal TY9179WO [аккумуляторLi-Ion, до 70 мин, сухая, контейнер, 0.5 л, рег. мощности на рукоятке, HEPA, фиолетовый]</t>
  </si>
  <si>
    <t>Пылесос вертикальный Tefal TY9472WO [аккумуляторLi-Ion, до 35 мин, сухая, циклонный фильтр, 0.4 л, бело-зеленый]</t>
  </si>
  <si>
    <t>Пылесос вертикальный Tefal VP7545RH [1700 Вт, сухая, влажная, контейнер, 0.8 л, труба цельная, рег. мощности на рукоятке, черный/металлик]</t>
  </si>
  <si>
    <t>Пылесос-робот Tefal RG6875WH [аккумулятор, Li-Ion, до 150 мин, уборка: сухая, влажная, 0.44 л, режимов: 3] черный</t>
  </si>
  <si>
    <t>Пылесос-робот Tefal RG7275WH [аккумулятор, Li-Ion, до 150 мин, уборка: сухая, влажная, 0.44 л, режимов: 3] черный</t>
  </si>
  <si>
    <t>Пылесос-робот Tefal RG7375WH [аккумулятор, Li-Ion, до 120 мин, уборка: сухая, влажная, 110 мл, 0.4 л, режимов: 3]</t>
  </si>
  <si>
    <t>Пылесос-робот Tefal RG7675WH [аккумулятор, уборка: влажная, сухая, 0.4 л, режимов: 4, картография]</t>
  </si>
  <si>
    <t>Пылесос-робот Tefal RG7975WH [аккумулятор, уборка: влажная, сухая, 0.5 л, режимов: 4, картография]</t>
  </si>
  <si>
    <t>Пылесос-робот Tefal X-plorer Serie 60 RG7447WH [аккумулятор, Li-Ion, до 90 мин, уборка: сухая, влажная, 0.4 л, режимов: 3, белый]</t>
  </si>
  <si>
    <t>Пылесос-робот Tefal X-plorer Serie 80 RG7765WH [аккумулятор, Li-Ion, до 120 мин, уборка: сухая, влажная, 0.7 л, режимов: 3, картография, черный]</t>
  </si>
  <si>
    <t>K2215414</t>
  </si>
  <si>
    <t>Разделочная доска Tefal Comfort K2215414 [материал: пластик, 39,6 х 26,5 см]</t>
  </si>
  <si>
    <t>K2215514</t>
  </si>
  <si>
    <t>Разделочная доска Tefal Comfort K2215514 [материал: дерево, 41 х 24 см]</t>
  </si>
  <si>
    <t>Сковорода Tefal 4170924 Only Cook [диаметр: 24 см, штампованный алюминий, антипригарное покрытие, крышка]</t>
  </si>
  <si>
    <t>Сковорода Tefal Daily Chef G2730472 (диаметр: 24 см, материал: алюминий, антипригарное покрытие, крышка]</t>
  </si>
  <si>
    <t>Сковорода Tefal Daily Chef G2730572 (диаметр: 26 см, материал: алюминий, антипригарное покрытие, крышка]</t>
  </si>
  <si>
    <t>Сковорода Tefal Daily Chef G2730672 (диаметр: 28 см, материал: алюминий, антипригарное покрытие, крышка]</t>
  </si>
  <si>
    <t>Сковорода Tefal Daily Chef G2737772 (диаметр: 26 см, алюм., антипригарное покрытие, индукция)</t>
  </si>
  <si>
    <t>Сковорода Tefal Emotion E3000404 [диаметр: 24 см, материал: нерж. сталь, антипригарное покрытие]</t>
  </si>
  <si>
    <t>Сковорода Tefal Emotion E3000504 [диаметр: 26 см, материал: нерж. сталь, антипригарное покрытие]</t>
  </si>
  <si>
    <t>Сковорода Tefal Emotion E3000604 [диаметр: 28 см, материал: нерж. сталь, антипригарное покрытие]</t>
  </si>
  <si>
    <t>Сковорода Tefal H1180374 Supreme Gusto [диаметр: 22 см, литой алюминий, антипригарное покрытие]</t>
  </si>
  <si>
    <t>Сковорода Tefal H1180474 Supreme Gusto [диаметр: 24 см, литой алюминий, антипригарное покрытие]</t>
  </si>
  <si>
    <t>Сковорода Tefal H1180575 Supreme Gusto [диаметр: 26 см, литой алюминий, антипригарное покрытие]</t>
  </si>
  <si>
    <t>Сковорода Tefal H1180675 Supreme Gusto [диаметр: 28 см, литой алюминий, антипригарное покрытие]</t>
  </si>
  <si>
    <t>Сковорода Tefal Illico G7010414 [диаметр: 24 см, материал: нерж. сталь, антипригарное покрытие]</t>
  </si>
  <si>
    <t>Сковорода Tefal Illico G7010514 [диаметр: 26 см, материал: нерж. сталь, антипригарное покрытие]</t>
  </si>
  <si>
    <t>Сковорода Tefal Illico G7010614 [диаметр: 28 см, материал: нерж. сталь, антипригарное покрытие]</t>
  </si>
  <si>
    <t>Сковорода Tefal Performa 4190124 (диаметр: 24 см, материал: алюминий, антипригарное покрытие, индукция, крышка]</t>
  </si>
  <si>
    <t>Сковорода Tefal Performa 4190126 (диаметр: 26 см, материал: алюминий, антипригарное покрытие, индукция, крышка]</t>
  </si>
  <si>
    <t>Сковорода Tefal Performa 4190128 (диаметр: 28 см, материал: алюминий, антипригарное покрытие, индукция, крышка]</t>
  </si>
  <si>
    <t>Сковорода Tefal Unlimited G2550472 (диаметр: 24 см, материал: алюминий, антипригарное покрытие, крышка]</t>
  </si>
  <si>
    <t>Сковорода Tefal Unlimited G2550572 (диаметр: 26 см, материал: алюминий, антипригарное покрытие, крышка]</t>
  </si>
  <si>
    <t>Сковорода Tefal Unlimited G2550672 (диаметр: 28 см, материал: алюминий, антипригарное покрытие, крышка]</t>
  </si>
  <si>
    <t>Сковорода Tefal Unlimited G2557172 (диаметр: 26 см, материал: алюминий, антипригарное покрытие, крышка]</t>
  </si>
  <si>
    <t>Сковорода блинная Tefal Daily Chef G2733872 (диаметр: 25 см, материал: алюминий, антипригарное покрытие, крышка]</t>
  </si>
  <si>
    <t>E3003804</t>
  </si>
  <si>
    <t>Сковорода блинная Tefal Emotion E3003804 [диаметр: 26 см, материал: нерж. сталь, антипригарное покрытие]</t>
  </si>
  <si>
    <t>Сковорода блинная Tefal H1180974 Supreme Gusto [диаметр: 25 см, литой алюминий, антипригарное покрытие]</t>
  </si>
  <si>
    <t>Сковорода блинная Tefal Performa 4190525 (диаметр: 25 см, материал: алюминий, антипригарное покрытие, индукция, крышка]</t>
  </si>
  <si>
    <t>Сковорода блинная Tefal Unlimited G2553872 (диаметр: 25 см, материал: алюминий, антипригарное покрытие, крышка]</t>
  </si>
  <si>
    <t>Сковорода Вок Tefal Daily Chef G2731972 (диаметр: 28 см, материал: алюминий, антипригарное покрытие, крышка]</t>
  </si>
  <si>
    <t>Сковорода Вок Tefal Emotion E3007704 [диаметр: 26 см, материал: нерж. сталь, антипригарное покрытие]</t>
  </si>
  <si>
    <t>Сковорода вок Tefal H1181974 Supreme Gusto [диаметр: 28 см, литой алюминий, антипригарное покрытие]</t>
  </si>
  <si>
    <t>G7011914</t>
  </si>
  <si>
    <t>Сковорода Вок Tefal Illico G7011914 [диаметр: 28 см, материал: нерж. сталь, антипригарное покрытие]</t>
  </si>
  <si>
    <t>Сковорода Вок Tefal Performa 4190628 (диаметр: 28 см, материал: алюминий, антипригарное покрытие, индукция, крышка]</t>
  </si>
  <si>
    <t>Сковорода Вок Tefal Unlimited G2551972 (диаметр: 28 см, материал: алюминий, антипригарное покрытие, крышка]</t>
  </si>
  <si>
    <t>Сковорода гриль Tefal Daily Chef E2374074 (диаметр: 26 см, материал: алюминий, антипригарное покрытие, крышка]</t>
  </si>
  <si>
    <t>G7011374</t>
  </si>
  <si>
    <t>Сковорода гриль Tefal Illico G7011374 [диаметр: 26 см, материал: нерж. сталь, антипригарное покрытие]</t>
  </si>
  <si>
    <t>Сковорода гриль Tefal Unlimited E2294074 (диаметр: 26 см, материал: алюминий, антипригарное покрытие, крышка]</t>
  </si>
  <si>
    <t>Сковорода-гриль Tefal H1184074 Supreme Gusto [диаметр: 26 см, литой алюминий, антипригарное покрытие]</t>
  </si>
  <si>
    <t>Соковыжималка Moulinex JU385H30 [универсальная, 300 Вт, 1 скорости, резервуар для мякоти_]</t>
  </si>
  <si>
    <t>Соковыжималка механическая Moulinex PC302B10 черный [25 Вт, для цитрусовых, скоростей - 1, резервуар для сока - 1000 мл, корпус - пластик]</t>
  </si>
  <si>
    <t>Соковыжималка электрическая Moulinex JU420D10 [400 Вт, центробежная, скоростей - 2, корпус - металл, пластик, серебристый, черный]</t>
  </si>
  <si>
    <t>Соковыжималка электрическая Moulinex JU550 [800 Вт, центробежная, скоростей - 2, резервуар для сока - 1500 мл, корпус - металл, серебристый, черный]</t>
  </si>
  <si>
    <t>Соковыжималка электрическая Moulinex JU610D10 [800 Вт, центробежная, скоростей - 2, резервуар для сока - 1250 мл, корпус - нержавеющая сталь, серебрис</t>
  </si>
  <si>
    <t>Соковыжималка электрическая Moulinex PC120870 [25 Вт, для цитрусовых, скоростей - 1, резервуар для сока - 450 мл, корпус - пластик, черный]</t>
  </si>
  <si>
    <t>Соковыжималка электрическая Moulinex PC300B10 белый [25 Вт, для цитрусовых, скоростей - 1, резервуар для сока - 600 мл,</t>
  </si>
  <si>
    <t>Соковыжималка электрическая Moulinex ZU255B10 [200 Вт, шнековая, скоростей - 1, корпус - пластик, серебристый, черный]</t>
  </si>
  <si>
    <t>Сотейник Tefal 04166224 Cook Right [диаметр: 24 см, штампованный алюминий, антипригарное покрытие]</t>
  </si>
  <si>
    <t>Сотейник Tefal 4170224 Only Cook [диаметр: 24 см, алюминий, антипригарное покрытие, крышка]</t>
  </si>
  <si>
    <t>Сотейник Tefal Daily Chef G2733272 (диаметр: 24 см, алюм., антипригарное покрытие, индукция)</t>
  </si>
  <si>
    <t>Сотейник Tefal Performa 04190224 (диаметр: 24 см, материал: алюминий, антипригарное покрытие, индукция, крышка]</t>
  </si>
  <si>
    <t>Сушилка для овощей и фруктов Tefal Fruit Air DF 1008 черный [525 Вт, 7 л, до 7 кг, макс 75 ºС, секций - 5, материал - пластик, регулировка температуры</t>
  </si>
  <si>
    <t>Съемная ручка TEFAL L9933015 [для посуды Ingenio 5]</t>
  </si>
  <si>
    <t>Сэндвичница Moulinex SM154135 серебристый [700 Вт]</t>
  </si>
  <si>
    <t>SM159530</t>
  </si>
  <si>
    <t>Сэндвичница Moulinex SM159530 [700 Вт, красный, белый]</t>
  </si>
  <si>
    <t>SM159830</t>
  </si>
  <si>
    <t>Сэндвичница Tefal SM159830 черный [700 Вт, видов панелей - 1 шт.]</t>
  </si>
  <si>
    <t>K3120174</t>
  </si>
  <si>
    <t>Термокружка Tefal City Mug K3120174 [0,36 л, материал металл]</t>
  </si>
  <si>
    <t>K3121014</t>
  </si>
  <si>
    <t>Термокружка Tefal Coffe To Go K3121014 серая [0,3 л, материал металл]</t>
  </si>
  <si>
    <t>K3121114</t>
  </si>
  <si>
    <t>Термокружка Tefal Coffe To Go K3121114 салатовая [0,3 л, материал металл]</t>
  </si>
  <si>
    <t>K3121214</t>
  </si>
  <si>
    <t>Термокружка Tefal Coffe To Go K3121214 розовая [0,3 л, материал металл]</t>
  </si>
  <si>
    <t>K3062514</t>
  </si>
  <si>
    <t>Термос Tefal Captain K3062514 [0,5 л, узкая горловина, материал металл]</t>
  </si>
  <si>
    <t>K3063514</t>
  </si>
  <si>
    <t>Термос Tefal Captain K3063514 [0,7 л, узкая горловина, материал металл]</t>
  </si>
  <si>
    <t>K3064514</t>
  </si>
  <si>
    <t>Термос Tefal Captain K3064514 [1 л, узкая горловина, материал металл]</t>
  </si>
  <si>
    <t>LT160830</t>
  </si>
  <si>
    <t>Тостер Moulinex LT160830 черный [720 Вт, тостов - 2]</t>
  </si>
  <si>
    <t>LT300A30</t>
  </si>
  <si>
    <t>Тостер Moulinex LT300A30 Soleil бежевый [850 Вт, тостов - 2]</t>
  </si>
  <si>
    <t>Тостер Moulinex TT110232 черный [850 Вт, тостов - 2, поддон для крошек]</t>
  </si>
  <si>
    <t>Тостер Tefal TT520D10 [870 Вт, тостов - 2, подогрев, размораживание, серебристый, черный]</t>
  </si>
  <si>
    <t>Триммер Rowenta TN2300 белый/черный [длина от 1 мм до 7 мм, установок длины-7, насадок-1,  с помощью регулятора, питание от сети/автономное, нержавеющ</t>
  </si>
  <si>
    <t>TN2305F1</t>
  </si>
  <si>
    <t>Триммер Rowenta TN2305 белый/синий [длина от 0,9 мм до 7 мм,  5 настоек длины,  питание от сети/автономное, нержавеюая сталь, чехол)</t>
  </si>
  <si>
    <t>Триммер Rowenta TN2850 серебристый/черный [длина 0.5-10 мм, с помощью регулятора, насадок-1, от сети/автономное, нерж.сталь, титан]</t>
  </si>
  <si>
    <t>Триммер Rowenta TN3600 черный [длина 3-6 мм, смена насадок, насадок-2, автономное, титан]</t>
  </si>
  <si>
    <t>TN6010F5</t>
  </si>
  <si>
    <t>Триммер Rowenta TN6010 белый/черный [длина 0.4-5 мм, смена насадок, насадок-3 шт, от сети/аккумулятора, нерж.сталь]</t>
  </si>
  <si>
    <t>Триммер Rowenta TN8940F1 черный/желтый [длина стрижки до 12 мм, установок длины - 11, насадок - 7 шт, влагозащита, питание - от сети, от аккумулятора]</t>
  </si>
  <si>
    <t>TN9100F1</t>
  </si>
  <si>
    <t>Триммер Rowenta TN9100 оранжевый/черный [длина 3-7 мм, смена насадок и регулировка, насадок-3, автономное, нерж.сталь, титан]</t>
  </si>
  <si>
    <t>TN9155F1</t>
  </si>
  <si>
    <t>Триммер Rowenta TN9155 белый/синий [стрижка 3-12 мм, триммер 0,5-7мм,Wet&amp;Dry, насадка для бритья, аккум. до 60 мин.]</t>
  </si>
  <si>
    <t>TN3500F0</t>
  </si>
  <si>
    <t>Триммер для носа и ушей Rowenta TN3500  черный/серый [для носа и ушей, батарейка АА]</t>
  </si>
  <si>
    <t>Тряпки-накладки Tefal ZR690202 [для влажной уборки]</t>
  </si>
  <si>
    <t>Тряпки-накладки Tefal ZR740001 [для роботов-пылесосов]</t>
  </si>
  <si>
    <t>ZR902201</t>
  </si>
  <si>
    <t>Турбощетка Tefal ZR902201[Для моделей пылесосовTefal TW69, 68  ,64 ,83,76]</t>
  </si>
  <si>
    <t>Увлажнитель воздуха Tefal Aqua Perfect HD5230F0 [110 Вт, 19 м², объем 5.9 л, 380 мл/ч, ультразвуковой, гигростат, пульт ДУ, черный]</t>
  </si>
  <si>
    <t>Увлажнитель воздуха TEFAL HD4020F0 [115 Вт, 50 м², объем 2.5 л, 380 мл/ч, ультразвуковой, гигростат, белый]</t>
  </si>
  <si>
    <t>Увлажнитель воздуха Tefal HD4045F0 [50 м², объем 4 л, 380 мл/ч, ультразвуковой, белый]</t>
  </si>
  <si>
    <t>Увлажнитель воздуха Tefal HD5235F0  [110 Вт, объем 5.9 л, 400 мл/ч, ультразвуковой, гигростат, ароматизация, пульт ДУ, черный]</t>
  </si>
  <si>
    <t>Утюг Rowenta DA1511F1 [1000 Вт, подошва - MICROSTEAM 200 (Inox) нержавеющая сталь, пар: 10 г/мин, пар.удар: 45 г/мин, 70 мл, 2 м]</t>
  </si>
  <si>
    <t>FV1548E0</t>
  </si>
  <si>
    <t>Утюг Tefal FV1548 [2100 Вт, подошва - Easy Gliding керамика, пар: 25 г/мин, пар.удар: 110 г/мин, AutoOff, 250 мл, 1.9 м, синий]</t>
  </si>
  <si>
    <t>Утюг Tefal FV1711E0 Virtuo [1800 Вт, подошва - антипригарное покрытие, паровой удар - 80 г/мин, 1.9 м]</t>
  </si>
  <si>
    <t>FV1844E0</t>
  </si>
  <si>
    <t>Утюг Tefal FV1844  [2300Вт, Easy Gliding,  пар 35г/мин, пар. удар 110г/м, 270 мл]</t>
  </si>
  <si>
    <t>Утюг Tefal FV2684E0 [2500 Вт, подошва - Durilium металлокерамика, пар: 40 г/мин, пар.удар: 150 г/мин, AutoOff, 270 мл, 1.9 м, чёрный/синий]</t>
  </si>
  <si>
    <t>Утюг Tefal FV2868E0 [2500 Вт, подошва - Cerilium, пар: 45 г/мин, пар.удар: 210 г/мин, 270 мл]</t>
  </si>
  <si>
    <t>FV4998E0</t>
  </si>
  <si>
    <t>Утюг Tefal FV4998 [2600Вт, подошва - Durilium Airglide металлокерамика, пар 45г/мин, пар. удар 230г/м, 270мл,  коллектор для сбора накипи]</t>
  </si>
  <si>
    <t>Утюг Tefal FV5696 [3000 Вт, подошва - Durilium Airglide металлокерамика, пар: 50 г/мин, пар.удар: 270 г/мин, AutoOff, 300 мл, 2 м]</t>
  </si>
  <si>
    <t>Утюг Tefal FV5720 [2500 Вт, подошва - Durilium Airglide, пар: 45 г/мин, пар.удар: 195 г/мин, 270 мл, 2 м]</t>
  </si>
  <si>
    <t>Утюг Tefal FV5736 [2500 Вт, подошва - Durilium Airglide, пар: 45 г/мин, пар.удар: 220 г/мин, AutoOff, 270 мл]</t>
  </si>
  <si>
    <t>FV6824E0</t>
  </si>
  <si>
    <t>Утюг Tefal FV6824E0 [2800 Вт, подошва - Durilium Airglide, пар: 50 г/мин, пар.удар: 260 г/мин, 270 мл]</t>
  </si>
  <si>
    <t>Утюг Tefal FV6842E0 [2800 Вт, подошва - Durilium Airglide металлокерамика, эмалированное покрытие, пар: 50 г/мин, пар.удар: 260 г/мин, AutoOff, 270 мл</t>
  </si>
  <si>
    <t>Утюг Tefal Ultimate Pure FV9865E0 [3000 Вт, подошва - Durilium Airglide Autoclean, пар: 60 г/мин, пар.удар: 250 г/мин, AutoOff, 350 мл]</t>
  </si>
  <si>
    <t>Утюг TURBO PRO ANTI-CALC 3000W PROTECSTYLE, 3000 Вт, Durilium Airglide  Autoclean, регулируемый пар 0-50 г/мин, паровой удар 270 г/м, белый</t>
  </si>
  <si>
    <t>Утюг TURBO PRO ANTI-CALC 3000W PROTECSTYLE, 3000 Вт, Durilium Airglide  Autoclean, регулируемый пар 0-50 г/мин, паровой удар 270 г/м, черный</t>
  </si>
  <si>
    <t>Фен PRO AC MOTOR AC мотор, Мощность 2300W,  3 температурных режима/ 2 скоростных, холодный воздух, концентратор, диффузор, керамическое покрытие решет</t>
  </si>
  <si>
    <t>CV3320F0</t>
  </si>
  <si>
    <t>Фен Rowenta CV 3320 белый [компактный, 1600 Вт, без ионизации]</t>
  </si>
  <si>
    <t>Фен Rowenta CV 3620 белый/золотистый [компактный, 1700 Вт, генератор ионов]</t>
  </si>
  <si>
    <t>Фен Rowenta CV 5460 коричневый/черный [полноразмерный, 2400 Вт, генератор ионов]</t>
  </si>
  <si>
    <t>CV5610F0</t>
  </si>
  <si>
    <t>Фен Rowenta CV 5610 синий/серебристый [полноразмерный, 2200 Вт, без ионизации]</t>
  </si>
  <si>
    <t>CV5912F0</t>
  </si>
  <si>
    <t>Фен Rowenta CV 5912 черный [полноразмерный, 2300 Вт, генератор ионов]</t>
  </si>
  <si>
    <t>CV7810F0</t>
  </si>
  <si>
    <t>Фен Rowenta CV 7810 черный [полноразмерный, 2200 Вт, генератор ионов]</t>
  </si>
  <si>
    <t>Фен Rowenta CV 7930 белый [полноразмерный, 2300 Вт, генератор ионов]</t>
  </si>
  <si>
    <t>CV1622F0</t>
  </si>
  <si>
    <t>Фен Rowenta CV1622FO черный/розовый [полноразмерный, 2000 Вт, режимов- 2, скоростей-2, coolshot]</t>
  </si>
  <si>
    <t>Фен Rowenta CV5512F0 черный/розовый [полноразмерный, 2100 Вт]</t>
  </si>
  <si>
    <t>CF7825F0</t>
  </si>
  <si>
    <t>Фен Rowenta CV7825F0 Mozaic белый [полноразмерный, 2100 Вт, генератор ионов]</t>
  </si>
  <si>
    <t>CV8340F0</t>
  </si>
  <si>
    <t>Фен Rowenta CV8340F0 коричневый/черный [полноразмерный, 2100 Вт, генератор ионов]</t>
  </si>
  <si>
    <t>Фен Rowenta DC мотор, Мощность 2200W,  3 температурных режима/ 2 скоростных, ионизация, холодный воздух, концентратор, съемная решетка]</t>
  </si>
  <si>
    <t>Фен-щетка Rowenta CF 7819F0 черный/золотистый [без вращения, 1200 Вт, 3 насадки]</t>
  </si>
  <si>
    <t>Фен-щетка Rowenta CF 8242 черный/розовый [без вращения, 1200 Вт, 3 насадки]</t>
  </si>
  <si>
    <t>Фен-щетка Rowenta CF 8252 [без вращения, 1200Вт, 5 насадок]</t>
  </si>
  <si>
    <t>Фен-щетка Rowenta CF3910F0 белый/золотистый [без вращения, 300 Вт, 2 насадки]</t>
  </si>
  <si>
    <t>Фен-щетка Rowenta CF7825F0 Mozaic белый [без вращения, 1200 Вт, 3 насадки]</t>
  </si>
  <si>
    <t>Фен-щетка Rowenta CF9522F0 черный/розовый [вращение, 1000 Вт, 2 насадки]</t>
  </si>
  <si>
    <t>Фен-щетка Rowenta CF9530 фиолетовый/белый [ вращение, 1000 Вт, 2 насадки]</t>
  </si>
  <si>
    <t>Фильтр Tefal ZR005201[ Для моделей пылесосов: Tefal TY65]</t>
  </si>
  <si>
    <t>Фильтр Tefal ZR005202 из микроволокна X-PERT 160 для пылесосов TY72</t>
  </si>
  <si>
    <t>Фильтр Tefal ZR005203 для беспроводных пылесосов TY67</t>
  </si>
  <si>
    <t>Фильтр Tefal ZR009003 для вертикальных пылесосов TY95**</t>
  </si>
  <si>
    <t>Фильтр Tefal ZR009005 для беспроводных пылесосов XForce 8.60 TY96, 2 шт</t>
  </si>
  <si>
    <t>Фильтр Tefal ZR009006 для пылесосов X-Force 8.60 TY68**</t>
  </si>
  <si>
    <t>Фильтр Tefal ZR009007  для беспроводных пылесосов XForce 11.60 TY98</t>
  </si>
  <si>
    <t>Фильтр Tefal ZR009008 для беспроводных пылесосов XForce 11.60 TY98</t>
  </si>
  <si>
    <t>ZR009009</t>
  </si>
  <si>
    <t>Фильтр Tefal ZR009009 для ручных пылесосов X-Touch TX97/AC97</t>
  </si>
  <si>
    <t>ZR903501</t>
  </si>
  <si>
    <t>Фильтр Tefal ZR903501 для беспроводных пылесосов COMPACT POWER XXL TW48</t>
  </si>
  <si>
    <t>Фильтр Tefal ZR904301  для пылесосов City space TW29**</t>
  </si>
  <si>
    <t>ZR904401</t>
  </si>
  <si>
    <t>Фильтр Tefal ZR904401 для вертикальных пылесосов Air Force Serenity TY91</t>
  </si>
  <si>
    <t>ZR904501</t>
  </si>
  <si>
    <t>Фильтр Tefal ZR904501 для вертикальных пылесосов Air Force Serenity TY91</t>
  </si>
  <si>
    <t>Фильтр для воды KRUPS Claris F08801 [для кофеварок, материал - пластик, в комплекте - 1 шт]</t>
  </si>
  <si>
    <t>XD6230F0</t>
  </si>
  <si>
    <t>Фильтр для очистителя воздуха Tefal  XD6230F0 [Для: PT3030F0 и PT3040F0] Угольный фильтр HEPA13</t>
  </si>
  <si>
    <t>Фильтр для очистителя воздуха Tefal XD6060F0 [Для: PU-4015] Угольный</t>
  </si>
  <si>
    <t>Фильтр для очистителя воздуха Tefal XD6074F0 [Для: PU-4015] HEPA</t>
  </si>
  <si>
    <t>Фильтр-картридж Rowenta XD6050F0 [для Rowenta Humidifier HU5120]</t>
  </si>
  <si>
    <t>Фильтр-картридж для ультразвукового увлажнителя Tefal XD6050F0 [Для: HD5230F0 и HD5222F0]</t>
  </si>
  <si>
    <t>J1641174</t>
  </si>
  <si>
    <t>Форма для выпекания Tefal Delibake J1641174 [Круглая, углеродистая сталь, 19 см]</t>
  </si>
  <si>
    <t>Форма для выпекания Tefal Easy Grip J1625314 [Прямоугольная, углеродистая сталь, антипригарное покрытие, 25 х 12 см]</t>
  </si>
  <si>
    <t>J1626115</t>
  </si>
  <si>
    <t>Форма для выпекания Tefal Easy Grip J1626115 [Круглая, разъемная, углеродистая сталь, антипригарное покрытие, 23 см]</t>
  </si>
  <si>
    <t>J1627314</t>
  </si>
  <si>
    <t>Форма для выпекания Tefal Easy Grip J1627314 [Прямоугольная, углеродистая сталь, антипригарное покрытие, 35 х 24 см]</t>
  </si>
  <si>
    <t>Форма для выпекания Tefal Easy Grip J1629614 [Круглая, углеродистая сталь, антипригарное покрытие, 23 см]</t>
  </si>
  <si>
    <t>J5549702</t>
  </si>
  <si>
    <t>Форма для выпекания Tefal Perfect Bake J5549702 [Круглая, алюминий, антипригарное покрытие, 26 см]</t>
  </si>
  <si>
    <t>J5547202</t>
  </si>
  <si>
    <t>Форма для выпекания TEFAL Perfectbake J5547202 [Прямоугольная, алюминий, 25,4*11,2*6 см]</t>
  </si>
  <si>
    <t>J5548502</t>
  </si>
  <si>
    <t>Форма для выпекания TEFAL Perfectbake J5548502 [Круглая, алюминий, 26 см]</t>
  </si>
  <si>
    <t>Фритюрница Tefal FF220015 Minifrye [1000Вт, объем масла: 1 л, вместимость картофеля: 0.6 кг]</t>
  </si>
  <si>
    <t>Хлебопечь Moulinex OW210 белый [650 Вт, программ - 12, вес выпечки - 1 кг, таймер - 15 ч]</t>
  </si>
  <si>
    <t>Хлебопечь Moulinex OW240 серебристый [720 Вт, программ - 20, вес выпечки - 1 кг, таймер - 15 ч]</t>
  </si>
  <si>
    <t>OW250132</t>
  </si>
  <si>
    <t>Хлебопечь Moulinex OW250132 белый [650 Вт, программ - 20, вес выпечки - 1 кг, таймер - 15 ч]</t>
  </si>
  <si>
    <t>Чайник Tefal C7921024 [2,5л, для газовых, электро и керамических плит, нерж. сталь, свисток]</t>
  </si>
  <si>
    <t>Чистящее средство KRUPS F054001B [порошок для удаления накипи, предметов в комплекте - 2 шт, 40 г]</t>
  </si>
  <si>
    <t>Чистящее средство KRUPS XS300010 [таблетки для удаления остатков кофе, для удаления накипи, предметов в комплекте - 10 шт, 30 г]</t>
  </si>
  <si>
    <t>XS900031</t>
  </si>
  <si>
    <t>Чистящее средство KRUPS XS900031 [жидкость для очистки капучинатора, 100 мл]</t>
  </si>
  <si>
    <t>Шумовка Tefal Ingenio K2060314</t>
  </si>
  <si>
    <t>K0260614</t>
  </si>
  <si>
    <t>Щипцы Tefal K0260614 Enjoy [для салата, термостойкий пластик]</t>
  </si>
  <si>
    <t>Щипцы для завивки волос Rowenta CF 2132 черный [обычные, диаметр-16 мм, фиксатор, режимов-1, до 180°С, керамическое]</t>
  </si>
  <si>
    <t>Щипцы для завивки волос Rowenta CF3112F0 черный [обычные, диаметр-10 мм, режимов-1, до 180°, турмалиновое, кератиновое]</t>
  </si>
  <si>
    <t>CF3200D8</t>
  </si>
  <si>
    <t>Щипцы для завивки волос Rowenta CF3200D8 красный, черный [обычные, диаметр-25 мм, фиксатор, режимов-1, до 200°, керамическое]</t>
  </si>
  <si>
    <t>Щипцы для завивки волос Rowenta CF3212F0 розовый, черный [обычные, диаметр-25 мм, фиксатор, режимов-1, до 200°С, кератиновое, турмалиновое]</t>
  </si>
  <si>
    <t>CF3225F0</t>
  </si>
  <si>
    <t>Щипцы для завивки волос Rowenta CF3225F0 Mozaic белый [обычные, диаметр-25 мм, фиксатор, режимов-1, до 200°С, керамическое]</t>
  </si>
  <si>
    <t>Щипцы для завивки волос Rowenta CF3242F0 черный [конические, до 200°, кератино-турмалиновое]</t>
  </si>
  <si>
    <t>Электропечь Moulinex Optimo OX464810 черный [без конфорок, 33 л, 1600 Вт, гриль]</t>
  </si>
  <si>
    <t>Электропечь Moulinex OX444832 [19 л, 1380 Вт, гриль, черный, серебристый]</t>
  </si>
  <si>
    <t>Электропечь Moulinex OX464E32 [33 л, 1600 Вт, гриль, серебристый, черный]</t>
  </si>
  <si>
    <t>Электропечь Moulinex OX485832 [39 л, гриль, черный, серебристый]</t>
  </si>
  <si>
    <t>Электропечь Tefal OF463830 [32 л, 1500 Вт, гриль, черный]</t>
  </si>
  <si>
    <t>Электротёрка Moulinex DJ755G32 [200 Вт, 5 ножей, корпус - пластик, 2 мин, отсек для хранения]</t>
  </si>
  <si>
    <t>BY320A30</t>
  </si>
  <si>
    <t>Электрочайник Moulinex BY320A30 Soleil бежевый [пластик, скрытый нагревательный элемент]</t>
  </si>
  <si>
    <t>BY530F30</t>
  </si>
  <si>
    <t>Электрочайник Moulinex BY530F30 [пластик, нержавеющая сталь, 1.7 л, 2400 Вт, фильтр, скрытый нагревательный элемент, серебристый, черный]</t>
  </si>
  <si>
    <t>BY540D30</t>
  </si>
  <si>
    <t>Электрочайник Moulinex SUBITO III BY540D30 серебристый [нержавеющая сталь, 1.7 л, 2400 Вт, фильтр, скрытый нагревательный элемент]</t>
  </si>
  <si>
    <t>Электрочайник Tefal BF925132 белый [пластик, 1.7 л, 2400 Вт, фильтр, скрытый нагревательный элемент]</t>
  </si>
  <si>
    <t>Электрочайник Tefal BF925232 бежевый [пластик, 1.7 л, 2400 Вт, фильтр, скрытый нагревательный элемент]</t>
  </si>
  <si>
    <t>Электрочайник Tefal BI520D10 [пластик, нержавеющая сталь, 1.7 л, 2200 Вт, фильтр, скрытый нагревательный элемент, серебристый, черный]</t>
  </si>
  <si>
    <t>Электрочайник Tefal KI 240D серебристый [пластик, нержавеющая сталь, 1.7 л, 2400 Вт, фильтр, скрытый нагревательный элемент, терморегулятор]</t>
  </si>
  <si>
    <t>Электрочайник Tefal KI280D30 [металл, 1.7 л, 2400 Вт, фильтр, скрытый нагревательный элемент, серебристый, черный]</t>
  </si>
  <si>
    <t>KI720830</t>
  </si>
  <si>
    <t>Электрочайник Tefal KI720830 прозрачный [пластик, термостойкое стекло, 1.7 л, 2400 Вт, фильтр, скрытый нагревательный элемент]</t>
  </si>
  <si>
    <t>KI730132</t>
  </si>
  <si>
    <t>Электрочайник Tefal KI730132 [термостойкое стекло, 1.7 л, 2200 Вт, фильтр, скрытый нагревательный элемент, белый, серебристый]</t>
  </si>
  <si>
    <t>Электрочайник Tefal KI750D30 серебристый [нержавеющая сталь, термостойкое стекло, 1.7 л, 2400 Вт, фильтр, скрытый нагревательный элемент]</t>
  </si>
  <si>
    <t>Электрочайник Tefal KI760D30 [пластик, нержавеющая сталь, термостойкое стекло, 1.7 л, 2400 Вт, фильтр, скрытый нагревательный элемент, серебристый, бе</t>
  </si>
  <si>
    <t>Электрочайник Tefal KO120B30 [пластик, 0.5 л, 650 Вт, фильтр, скрытый нагревательный элемент, серый]</t>
  </si>
  <si>
    <t>KO172130</t>
  </si>
  <si>
    <t>Электрочайник Tefal KO172130 [пластик, 1.8 л, 2400 Вт, фильтр, скрытый нагревательный элемент, белый, серый]</t>
  </si>
  <si>
    <t>Электрочайник Tefal KO200830 [пластик, 1.7 л, 2400 Вт, фильтр, скрытый нагревательный элемент, черный]</t>
  </si>
  <si>
    <t>Электрочайник Tefal KO260130 белый [пластик, нержавеющая сталь, 1.7 л, 2150 Вт, фильтр, скрытый нагревательный элемент, двойные стенки]</t>
  </si>
  <si>
    <t>Электрочайник Tefal KO270130 белый [пластик, 1.7 л, 2400 Вт, фильтр, скрытый нагревательный элемент]</t>
  </si>
  <si>
    <t>Электрочайник Tefal KO450132 [пластик, термостойкое стекло, 1.7 л, 2200 Вт, фильтр, скрытый нагревательный элемент, белый]</t>
  </si>
  <si>
    <t>Электрочайник Tefal KO851830 [пластик, 1.7 л, 1800 Вт, фильтр, скрытый нагревательный элемент, двойные стенки, терморегулятор, черный, серебристый]</t>
  </si>
  <si>
    <t>Электрочайник Tefal Subito KI270D30 серебристый [пластик, нержавеющая сталь, 1.7 л, 2400 Вт, фильтр, скрытый нагревательный элемент]</t>
  </si>
  <si>
    <t>EP1110F1</t>
  </si>
  <si>
    <t>Эпилятор Rowenta Easy Touch EP1110F0 розовый, белый [скорости-2, пинцетов-24, питание-от сети]</t>
  </si>
  <si>
    <t>EP1115F1</t>
  </si>
  <si>
    <t>Эпилятор Rowenta Easy Touch EP1115F1 серебристый, белый [скорости-2, пинцетов-24, съемные насадки/головки-1 шт, питание-от сети]</t>
  </si>
  <si>
    <t>Эпилятор Rowenta EP 2851 белый,голубой+триммер [скорости - 2, пинцетов/дисков - 24, насадки - 2, питание - от сети]</t>
  </si>
  <si>
    <t>Эпилятор Rowenta EP 5700 белый, оранжевый [скорости-2, пинцетов-24, съемные насадки/головки-3, питание-от сети]</t>
  </si>
  <si>
    <t>EP8020F0</t>
  </si>
  <si>
    <t>Эпилятор Rowenta EP 8020 F0 белый, фиолетовый [скорости-2, пинцетов-24, насадки-4, влажное бритье, питание-от аккумулятора]</t>
  </si>
  <si>
    <t>Эпилятор Rowenta EP 8050 фиолетовый [скорости-2, пинцетов-24, съемные насадки/головки-4, влажное бритье, питание-от аккумулятора]</t>
  </si>
  <si>
    <t>Эпилятор Rowenta EP2900F0 розовый, белый [скорости-2, пинцетов-24, съемные насадки/головки-1, питание-от сети]</t>
  </si>
  <si>
    <t>EP2902F1</t>
  </si>
  <si>
    <t>Эпилятор Rowenta EP2902F0 розовый, черный [скорости-2, пинцетов-24, съемные насадки/головки-1, питание-от сети]</t>
  </si>
  <si>
    <t>EP4920F0</t>
  </si>
  <si>
    <t>Эпилятор Rowenta EP4920F0 оранжевый [скорости-2, пинцетов-24, съемные насадки/головки-4 шт, влажное бритье, питание-от аккумулятора, от сети]</t>
  </si>
  <si>
    <t>EP1038F1</t>
  </si>
  <si>
    <t>Эпилятор Rowenta Lipstick EP1038 черный, красный [скорости-2, пинцетов-24, питание-от сети]</t>
  </si>
  <si>
    <t>SULPAK</t>
  </si>
  <si>
    <t>A7031904</t>
  </si>
  <si>
    <t>WOK 28 Intuiton SS2 Tefal / A7031904</t>
  </si>
  <si>
    <t>Пароварка Tefal Mini Compact / VC139810</t>
  </si>
  <si>
    <t>Мультиварка-скороварка Tefal Turbo Cuisine / CY753832</t>
  </si>
  <si>
    <t>Погружной блендер QUICKCHEF DD65J / DD65J810</t>
  </si>
  <si>
    <t>technodom</t>
  </si>
  <si>
    <t>Масленка KNACKIG WMF 609216030</t>
  </si>
  <si>
    <t>ZR720003</t>
  </si>
  <si>
    <t>Tefal турбощетка ZR-720003 для роботов S40/S50</t>
  </si>
  <si>
    <t>Чайник Tefal KI-772D32</t>
  </si>
  <si>
    <t>Прибор для распрямления волос ROWENTA SF 467 LF0</t>
  </si>
  <si>
    <t>КОФЕМАШИНА KRUPS EA890110 WHITE, Восстановленный</t>
  </si>
  <si>
    <t>Alser</t>
  </si>
  <si>
    <t>Кухонные весы Tefal BC1000V1 белые</t>
  </si>
  <si>
    <t>Кухонные весы Tefal Optiss (red) BC5003V2 красные</t>
  </si>
  <si>
    <t>Электрогриль TEFAL Optigrill GC706D34</t>
  </si>
  <si>
    <t>Электрогриль Tefal Optigrill GC712834</t>
  </si>
  <si>
    <t>Гриль TEFAL GC722D34</t>
  </si>
  <si>
    <t>Электрогриль TEFAL Optigrill  XL GC724D12</t>
  </si>
  <si>
    <t>Электрогриль TEFAL Optigrill  ELITE GC750D30</t>
  </si>
  <si>
    <t>Стеклянная крышка TEFAL 20 см 04090120</t>
  </si>
  <si>
    <t>04090118</t>
  </si>
  <si>
    <t>Стеклянная крышка TEFAL 18 см 04090118</t>
  </si>
  <si>
    <t>Стеклянная крышка TEFAL 22 см 04090122</t>
  </si>
  <si>
    <t>Стеклянная крышка TEFAL 24 см 04090124</t>
  </si>
  <si>
    <t>Стеклянная крышка TEFAL 26 см 04090126</t>
  </si>
  <si>
    <t>Стеклянная крышка TEFAL 28 см 04090128</t>
  </si>
  <si>
    <t>04182120</t>
  </si>
  <si>
    <t>Сковорода Tefal Tendance Brownie 20 см 04182120</t>
  </si>
  <si>
    <t>04182122</t>
  </si>
  <si>
    <t>Сковорода Tefal Tendance Brownie 22 см 04182122</t>
  </si>
  <si>
    <t>04182124</t>
  </si>
  <si>
    <t>Сковорода Tefal Tendance Brownie 24 см 04182124</t>
  </si>
  <si>
    <t>04182126</t>
  </si>
  <si>
    <t>Сковорода Tefal Tendance Brownie 26 см 04182126</t>
  </si>
  <si>
    <t>04182128</t>
  </si>
  <si>
    <t>Сковорода Tefal Tendance Brownie 28 см 04182128</t>
  </si>
  <si>
    <t>04182224</t>
  </si>
  <si>
    <t>Сотейник с крышкой Tefal Tendance Brownie 24 см 04182224</t>
  </si>
  <si>
    <t>04182522</t>
  </si>
  <si>
    <t>Сковорода для блинов Tefal Tendance Brownie 22 см 04182522</t>
  </si>
  <si>
    <t>04182628</t>
  </si>
  <si>
    <t>Сковорода-вок Tefal Tendance Brownie 28 см 04182628</t>
  </si>
  <si>
    <t>B8170544</t>
  </si>
  <si>
    <t>Сковорода Tefal Intuition 24 см A7030415 (B8170444)</t>
  </si>
  <si>
    <t>Сковорода TEFAL Intuition 28 см A7030615 (В8170644)</t>
  </si>
  <si>
    <t>Сковорода-вок TEFAL Intuition 28 см A7031904</t>
  </si>
  <si>
    <t>Пылесос TEFAL TW2925EA Swift Power</t>
  </si>
  <si>
    <t>Пылесос TEFAL COMPACT POWER XXL TW4826EA</t>
  </si>
  <si>
    <t>Вертикальный пылесос TEFAL TY6547RH AIR FORCE LIGHT</t>
  </si>
  <si>
    <t>Беспроводной пылесос TEFAL X-FORCE 11.60 AQUA TY9890WO</t>
  </si>
  <si>
    <t>CQ-3030/Конвектор Tefal Black</t>
  </si>
  <si>
    <t>Утюг Tefal FV1711E0 Virtuo</t>
  </si>
  <si>
    <t>Утюг Tefal  FV2835E0</t>
  </si>
  <si>
    <t>FV2866E0</t>
  </si>
  <si>
    <t>Утюг Tefal FV2866E0</t>
  </si>
  <si>
    <t>Утюг Tefal FV5695E1</t>
  </si>
  <si>
    <t>Утюг Tefal FV5736E0</t>
  </si>
  <si>
    <t>Утюг Tefal FV6832E0</t>
  </si>
  <si>
    <t>Утюг Tefal FV6842E0</t>
  </si>
  <si>
    <t>Чайник TEFAL BF925132 SILVER ION белый</t>
  </si>
  <si>
    <t>Чайник TEFAL KO172130, 1,8л, пластик, 2400 Вт.</t>
  </si>
  <si>
    <t>Чайник TEFAL KO450132 (белый), 1,7л, стекло, 2200 Вт.</t>
  </si>
  <si>
    <t>Триммер Rowenta NOMAD TN2305F1</t>
  </si>
  <si>
    <t>Триммер Rowenta TN8940F1 (черный/золотой)</t>
  </si>
  <si>
    <t>Щипцы Rowenta CF3212F0</t>
  </si>
  <si>
    <t>Мультистайлер Rowenta 4в1 Multi Waver CF4711F0</t>
  </si>
  <si>
    <t>Фен Rowenta CV1612F0 (черный/красный)</t>
  </si>
  <si>
    <t>Фен Rowenta CV5622F0 (черный)</t>
  </si>
  <si>
    <t>Фен Rowenta CV5812F0 (черный)</t>
  </si>
  <si>
    <t>Фен Rowenta CV7816F0 (фиолетовый)</t>
  </si>
  <si>
    <t>CV8653D0</t>
  </si>
  <si>
    <t>Фен Rowenta Infini Pro CV8653D0 (черный)</t>
  </si>
  <si>
    <t>Выпрямитель Rowenta SF1012F0 (черный)</t>
  </si>
  <si>
    <t>SF3210F0</t>
  </si>
  <si>
    <t>Выпрямитель Rowenta OPTILISS II SF3210F0</t>
  </si>
  <si>
    <t>Выпрямитель Rowenta SF4112F0 (фиолетовый)</t>
  </si>
  <si>
    <t>Выпрямитель для волос Rowenta Liss Curl SF4210F0 (черный)</t>
  </si>
  <si>
    <t>Мясорубка Moulinex ME306832 (HV3)</t>
  </si>
  <si>
    <t>Блендер погружной Moulinex DD64H110</t>
  </si>
  <si>
    <t>Блендер погружной Moulinex DD65CD32</t>
  </si>
  <si>
    <t>Блендер погружной Moulinex DD833810</t>
  </si>
  <si>
    <t>Блендер погружной Moulinex DD94J110</t>
  </si>
  <si>
    <t>Cоковыжималка MOULINEX JU610D10</t>
  </si>
  <si>
    <t>Блендер стационарный Moulinex LM420110</t>
  </si>
  <si>
    <t>Стационарный блендер Moulinex LM435810</t>
  </si>
  <si>
    <t>Мясорубка Moulinex ME111032</t>
  </si>
  <si>
    <t>ME556810</t>
  </si>
  <si>
    <t>Мясорубка Moulinex ME556810 HV7 PRO</t>
  </si>
  <si>
    <t>Гладильная доска Tefal IB5100E0</t>
  </si>
  <si>
    <t>Машинка для стрижки волос Rowenta Driver TN1609F0 (черная/золотая)</t>
  </si>
  <si>
    <t>Фен-щетка Rowenta CF9520F0</t>
  </si>
  <si>
    <t>Вертикальный отпариватель Tefal IT2461E0</t>
  </si>
  <si>
    <t>Гладильная система Tefal IXEO QT1510E0</t>
  </si>
  <si>
    <t>Гладильная система Tefal IXEO POWER QT2020E0 (черная)</t>
  </si>
  <si>
    <t>Парогенератор Tefal SV8062E0</t>
  </si>
  <si>
    <t>Парогенератор Tefal SV9201E0</t>
  </si>
  <si>
    <t>GC450B32/гриль Tefal</t>
  </si>
  <si>
    <t>Беспроводной вертикальный пылесос TEFAL TY6933</t>
  </si>
  <si>
    <t>KO450832/чайник Tefal</t>
  </si>
  <si>
    <t>Чайник Tefal KO260130</t>
  </si>
  <si>
    <t>Чайник Tefal KI770D30 (стекло)</t>
  </si>
  <si>
    <t>Стеклянный чайник Tefal  KI772138 (белый)</t>
  </si>
  <si>
    <t>Мультистайлер Rowenta 9 в 1 INFINITE LOOKS CF4222F0</t>
  </si>
  <si>
    <t>Погружной блендер Moulinex QuickChef DD65L832</t>
  </si>
  <si>
    <t>Мясорубка Moulinex HV8 PLUS ME683832</t>
  </si>
  <si>
    <t>Чайник Tefal KI700830 (стекло)</t>
  </si>
  <si>
    <t>Стеклянный чайник Tefal, KI740B30, Цвет -нержавеющая сталь</t>
  </si>
  <si>
    <t>Парогенератор Tefal GV9712E0 (белый/синий)</t>
  </si>
  <si>
    <t>SV6131E0</t>
  </si>
  <si>
    <t>Парогенератор Tefal SV6131E0 (белый/голубой)</t>
  </si>
  <si>
    <t>Парогенератор Tefal SV8001E1 (белый/синий)</t>
  </si>
  <si>
    <t>SV8020E1</t>
  </si>
  <si>
    <t>Парогенератор Tefal SV8020E1 (белый/серый)</t>
  </si>
  <si>
    <t>Пылесос TEFAL TW1923RH</t>
  </si>
  <si>
    <t>Кухонная машина Moulinex Masterchef Gourmet QA519D32</t>
  </si>
  <si>
    <t>Мясорубка Moulinex Classic ME105830</t>
  </si>
  <si>
    <t>Мультиварка Tefal RK 321A32 золотистый</t>
  </si>
  <si>
    <t>Мультиварка TEFAL RK745132</t>
  </si>
  <si>
    <t>Утюг Tefal FV2867 (зеленый)</t>
  </si>
  <si>
    <t>Фен-щетка Rowenta CF8242F0/AS0  (черный)</t>
  </si>
  <si>
    <t>Фен-щетка Rowenta CF8252FO (черная)</t>
  </si>
  <si>
    <t>Фен-щетка Rowenta CF9522F0 (черный)</t>
  </si>
  <si>
    <t>Выпрямитель Rowenta SF1612 (черный)</t>
  </si>
  <si>
    <t>Выпрямитель Rowenta SF1627</t>
  </si>
  <si>
    <t>Выпрямитель Rowenta SF3232</t>
  </si>
  <si>
    <t>Выпрямитель Rowenta SF4412 (черный)</t>
  </si>
  <si>
    <t>Фен Rowenta CV1602 (черный)</t>
  </si>
  <si>
    <t>Фен Rowenta CV5512FO (черный)</t>
  </si>
  <si>
    <t>Фен Rowenta CV5820 (черный)</t>
  </si>
  <si>
    <t>Фен Rowenta CV6930FO (черный)</t>
  </si>
  <si>
    <t>Фен Rowenta CV8722D0</t>
  </si>
  <si>
    <t>Фен Rowenta CV8840F0</t>
  </si>
  <si>
    <t>Отпариватель Tefal IT3440 (черный)</t>
  </si>
  <si>
    <t>Утюг Tefal  FV2839E0 (синий/белый)</t>
  </si>
  <si>
    <t>Чайник Tefal KO260830</t>
  </si>
  <si>
    <t>Мясорубка Moulinex ME106832</t>
  </si>
  <si>
    <t>Хлебопечь Moulinex OW-210130</t>
  </si>
  <si>
    <t>Хлебопечь Moulinex OW220830</t>
  </si>
  <si>
    <t>Парогенератор Tefal SV6120E0 (белый \ бордовый)</t>
  </si>
  <si>
    <t>Парогенератор Tefal SV6140EO (черный)</t>
  </si>
  <si>
    <t>VF2310F0/Вентилятор Tefal</t>
  </si>
  <si>
    <t>Дорожный утюг Rowenta DA1510F1 (синий/белый)</t>
  </si>
  <si>
    <t>Хлебопечь Moulinex OW240E30</t>
  </si>
  <si>
    <t>Набор фильтров TEFAL ZR780000 для пылесосов TW-48. НЕРА фильтр и моющийся фильтр.</t>
  </si>
  <si>
    <t>Мультиварка Tefal RK745832</t>
  </si>
  <si>
    <t>Мультиварка Tefal RK812832</t>
  </si>
  <si>
    <t>Мультиварка Tefal c автоперемешиванием RK901832</t>
  </si>
  <si>
    <t>CQ-3031/Конвектор Tefal White</t>
  </si>
  <si>
    <t>FV5688E0</t>
  </si>
  <si>
    <t>Утюг TEFAL FV5688E0 (черный \ синий)</t>
  </si>
  <si>
    <t>FV6810E0</t>
  </si>
  <si>
    <t>Утюг Tefal FV6810E0</t>
  </si>
  <si>
    <t>Щипцы для завивки Rowenta CF3345F0</t>
  </si>
  <si>
    <t>Щипцы для завивки Rowenta CF3242F0</t>
  </si>
  <si>
    <t>Фен Rowenta CV581LF0</t>
  </si>
  <si>
    <t>Погружной блендер Moulinex DD95MD10</t>
  </si>
  <si>
    <t>Блендер стационарный Moulinex LM2C0110</t>
  </si>
  <si>
    <t>Мультиварка-скороварка  Moulinex CE22A932</t>
  </si>
  <si>
    <t>Мультиварка Moulinex MK707832</t>
  </si>
  <si>
    <t>Мясорубка Moulinex ME301132</t>
  </si>
  <si>
    <t>Ручной отпариватель Tefal DV9000E0</t>
  </si>
  <si>
    <t>Вертикальный отпариватель Tefal IT2440E0</t>
  </si>
  <si>
    <t> Капельная кофеварка Tefal CM261838</t>
  </si>
  <si>
    <t>Утюг Tefal FV5737E0</t>
  </si>
  <si>
    <t>CF311LF0</t>
  </si>
  <si>
    <t>Щипцы для завивки Rowenta CF311LF0</t>
  </si>
  <si>
    <t>Щипцы Rowenta CF3225F0 (белый \ черный)</t>
  </si>
  <si>
    <t>CF324LF0</t>
  </si>
  <si>
    <t>Электрощипцы конические Rowenta CF324LF0</t>
  </si>
  <si>
    <t>Фен-щетка Rowenta CF7819F0</t>
  </si>
  <si>
    <t>Фен-щетка Rowenta CF7825F0</t>
  </si>
  <si>
    <t>Выпрямитель Rowenta SF323LF0</t>
  </si>
  <si>
    <t>Фен Rowenta CV5623F0 (черный)</t>
  </si>
  <si>
    <t>Фен Motion Dry Rowenta CV5706F0</t>
  </si>
  <si>
    <t>Фен Rowenta CV887LF0</t>
  </si>
  <si>
    <t>FG121811</t>
  </si>
  <si>
    <t>Капельная кофеварка MOULINEX FG121811</t>
  </si>
  <si>
    <t>Мультиварка-скороварка Moulinex CE500E32</t>
  </si>
  <si>
    <t>Ручной отпариватель Tefal DT6130E0 (белый\голубой)</t>
  </si>
  <si>
    <t>Мультиварка Tefal RK816E32</t>
  </si>
  <si>
    <t>Сотейник 24 с кр. Day by Day</t>
  </si>
  <si>
    <t>B8171944</t>
  </si>
  <si>
    <t>Сковорода-вок Tefal Intuition G6 28см B8171944</t>
  </si>
  <si>
    <t>FV5716E0</t>
  </si>
  <si>
    <t>Утюг Tefal FV5716E0</t>
  </si>
  <si>
    <t>SF411LF0</t>
  </si>
  <si>
    <t>Выпрямитель для волос Rowenta SF411LF0</t>
  </si>
  <si>
    <t>Триммер Rowenta TN8931F4 (черный/белый)</t>
  </si>
  <si>
    <t>CF2133F0</t>
  </si>
  <si>
    <t>Щипцы Rowenta CF2133F0</t>
  </si>
  <si>
    <t>Выпрямитель Rowenta SF4621F0 (белый-черный)</t>
  </si>
  <si>
    <t>Ручной отпариватель Tefal DT7000E0 (голубой \ серый)</t>
  </si>
  <si>
    <t>Выпрямитель Rowenta SF161LF0</t>
  </si>
  <si>
    <t>Выпрямитель Rowenta SF4620F0</t>
  </si>
  <si>
    <t>Электрогриль Tefal Optigrill  GC712D34 (серебристый)</t>
  </si>
  <si>
    <t>ZR720004</t>
  </si>
  <si>
    <t>D2C</t>
  </si>
  <si>
    <t>TN1410F1</t>
  </si>
  <si>
    <t>DT8270E1</t>
  </si>
  <si>
    <t>K2071014</t>
  </si>
  <si>
    <t>K2070714</t>
  </si>
  <si>
    <t>K2071814</t>
  </si>
  <si>
    <t>K2071714</t>
  </si>
  <si>
    <t>K2071314</t>
  </si>
  <si>
    <t>K2320114</t>
  </si>
  <si>
    <t>K2321114</t>
  </si>
  <si>
    <t>K2321014</t>
  </si>
  <si>
    <t>G2730272</t>
  </si>
  <si>
    <t>G7122345</t>
  </si>
  <si>
    <t>G7314055</t>
  </si>
  <si>
    <t>G7313855</t>
  </si>
  <si>
    <t>ZR791000</t>
  </si>
  <si>
    <t>ZR905001</t>
  </si>
  <si>
    <t xml:space="preserve">CE500E32          </t>
  </si>
  <si>
    <t>ZR763000</t>
  </si>
  <si>
    <t>Tefal набор из 2 боковых щёток, 3 тряпок и 2 фильтров ZR-763000 для RG77**</t>
  </si>
  <si>
    <t>ZR792000</t>
  </si>
  <si>
    <t>Tefal набор из 2 боковых щёток, 2 тряпок и 2 фильтров ZR-792000 для RG79**</t>
  </si>
  <si>
    <t>Овощерезка MOULINEX DJ 905832</t>
  </si>
  <si>
    <t>SF4216F0</t>
  </si>
  <si>
    <t>Прибор для распрямления волос ROWENTA SF 4216 F0</t>
  </si>
  <si>
    <t>CV1804F0</t>
  </si>
  <si>
    <t>Фен ROWENTA CV 1804 F0</t>
  </si>
  <si>
    <t>Фен ROWENTA CV 5610 F0</t>
  </si>
  <si>
    <t>Фен плойка ROWENTA CF 634 LF0</t>
  </si>
  <si>
    <t>Фен плойка ROWENTA CF 952 LF0</t>
  </si>
  <si>
    <t>Фен плойка ROWENTA CF 961 LF0</t>
  </si>
  <si>
    <t>Термокружка EMSA Cup 514514 черная [0,2 л, материал металл]</t>
  </si>
  <si>
    <t>Термокружка EMSA Cup 514515 синяя [0,2 л, материал металл]</t>
  </si>
  <si>
    <t>Термокружка EMSA Cup 514516 салатовая [0,2 л, материал металл]</t>
  </si>
  <si>
    <t>Термокружка EMSA Cup 514517 розовая [0,2 л, материал металл]</t>
  </si>
  <si>
    <t>Термокружка EMSA Travel Mug 513356 красная [0,36 л, материал металл]</t>
  </si>
  <si>
    <t>Термокружка EMSA Travel Mug 513357 синяя [0,36 л, материал металл]</t>
  </si>
  <si>
    <t>Термокружка EMSA Travel Mug 513359 фиолетовая [0,36 л, материал металл]</t>
  </si>
  <si>
    <t>Термокружка EMSA Travel Mug 513360 коричневая [0,36 л, материал металл]</t>
  </si>
  <si>
    <t>Термокружка EMSA Travel Mug 513361 черная [0,36 л, материал металл]</t>
  </si>
  <si>
    <t>Термокружка EMSA Travel Mug 513548 салатовая [0,36 л, материал металл]</t>
  </si>
  <si>
    <t>Термокружка EMSA Travel Mug 513550 розовая [0,36 л, материал металл]</t>
  </si>
  <si>
    <t>Термокружка EMSA Travel Mug 513552 голубая [0,36 л, материал металл]</t>
  </si>
  <si>
    <t>Термокружка EMSA Travel Mug 515108 белая [0,36 л, материал металл]</t>
  </si>
  <si>
    <t>Термокружка EMSA Travel Mug Grande 515615 черная [0,5 л, материал металл]</t>
  </si>
  <si>
    <t>Термокружка EMSA Travel Mug Grande 515616 коричневая [0,5 л, материал металл]</t>
  </si>
  <si>
    <t>Термокружка EMSA Travel Mug Grande 515617 красная [0,5 л, материал металл]</t>
  </si>
  <si>
    <t>Термокружка EMSA Travel Mug Grande 515618 синяя [0,5 л, материал металл]</t>
  </si>
  <si>
    <t>Термокружка EMSA Travel Mug Grande 515682 белая [0,5 л, материал металл]</t>
  </si>
  <si>
    <t>Утюг Tefal FV2837E0 [2400 Вт, подошва - Cellirium керамика, пар: 35 г/мин, пар.удар: 165 г/мин, 270 мл, 1.9 м]</t>
  </si>
  <si>
    <t>Электрочайник Tefal KI740B30 [пластик, термостойкое стекло, 1.7 л, 2200 Вт, фильтр, скрытый нагревательный элемент, серый, прозрачный]</t>
  </si>
  <si>
    <t>Фен щетка ROWENTA / CF7819FO</t>
  </si>
  <si>
    <t>Мультиварка-скороварка Moulinex / CE22A932</t>
  </si>
  <si>
    <t>СП-00031953</t>
  </si>
  <si>
    <t>СП-00032027</t>
  </si>
  <si>
    <t>CBD00000996</t>
  </si>
  <si>
    <t>СП-00037402</t>
  </si>
  <si>
    <t>СП-00028763</t>
  </si>
  <si>
    <t>СП-00037336</t>
  </si>
  <si>
    <t>СП-00033944</t>
  </si>
  <si>
    <t>СП-00033942</t>
  </si>
  <si>
    <t>СП-00037073</t>
  </si>
  <si>
    <t>СП-00040994</t>
  </si>
  <si>
    <t>СП-00039819</t>
  </si>
  <si>
    <t>СП-00043068</t>
  </si>
  <si>
    <t>СП-00040852</t>
  </si>
  <si>
    <t>СП-00044486</t>
  </si>
  <si>
    <t>СП-00032218</t>
  </si>
  <si>
    <t>СП-00034259</t>
  </si>
  <si>
    <t>СП-00039881</t>
  </si>
  <si>
    <t>СП-00037754</t>
  </si>
  <si>
    <t>СП-00032488</t>
  </si>
  <si>
    <t>СП-00031916</t>
  </si>
  <si>
    <t>СП-00033376</t>
  </si>
  <si>
    <t>СП-00037674</t>
  </si>
  <si>
    <t>СП-00037722</t>
  </si>
  <si>
    <t>СП-00032219</t>
  </si>
  <si>
    <t>СП-00032044</t>
  </si>
  <si>
    <t>СП-00037624</t>
  </si>
  <si>
    <t>СП-00037719</t>
  </si>
  <si>
    <t>СП-00037729</t>
  </si>
  <si>
    <t>СП-00037675</t>
  </si>
  <si>
    <t>СП-00037716</t>
  </si>
  <si>
    <t>СП-00037702</t>
  </si>
  <si>
    <t>СП-00036729</t>
  </si>
  <si>
    <t>СП-00031422</t>
  </si>
  <si>
    <t>СП-00037652</t>
  </si>
  <si>
    <t>СП-00037724</t>
  </si>
  <si>
    <t>СП-00033952</t>
  </si>
  <si>
    <t>СП-00037632</t>
  </si>
  <si>
    <t>СП-00037696</t>
  </si>
  <si>
    <t>СП-00039859</t>
  </si>
  <si>
    <t>СП-00037685</t>
  </si>
  <si>
    <t>СП-00034248</t>
  </si>
  <si>
    <t>СП-00037694</t>
  </si>
  <si>
    <t>СП-00037640</t>
  </si>
  <si>
    <t>СП-00037711</t>
  </si>
  <si>
    <t>СП-00037708</t>
  </si>
  <si>
    <t>СП-00037706</t>
  </si>
  <si>
    <t>СП-00040993</t>
  </si>
  <si>
    <t>СП-00037787</t>
  </si>
  <si>
    <t>СП-00037773</t>
  </si>
  <si>
    <t>СП-00042311</t>
  </si>
  <si>
    <t>СП-00043729</t>
  </si>
  <si>
    <t>СП-00039882</t>
  </si>
  <si>
    <t>СП-00042312</t>
  </si>
  <si>
    <t>СП-00044490</t>
  </si>
  <si>
    <t>СП-00042506</t>
  </si>
  <si>
    <t>СП-00041917</t>
  </si>
  <si>
    <t>СП-00042738</t>
  </si>
  <si>
    <t>СП-00043730</t>
  </si>
  <si>
    <t>СП-00042824</t>
  </si>
  <si>
    <t>СП-00042935</t>
  </si>
  <si>
    <t>СП-00045478</t>
  </si>
  <si>
    <t>СП-00042829</t>
  </si>
  <si>
    <t>СП-00044374</t>
  </si>
  <si>
    <t>СП-00042313</t>
  </si>
  <si>
    <t>СП-00043067</t>
  </si>
  <si>
    <t>СП-00044636</t>
  </si>
  <si>
    <t>СП-00045898</t>
  </si>
  <si>
    <t>СП-00045839</t>
  </si>
  <si>
    <t>СП-00045045</t>
  </si>
  <si>
    <t>СП-00048697</t>
  </si>
  <si>
    <t>СП-00048321</t>
  </si>
  <si>
    <t>СП-00048632</t>
  </si>
  <si>
    <t>СП-00047527</t>
  </si>
  <si>
    <t>СП-00047528</t>
  </si>
  <si>
    <t>СП-00048322</t>
  </si>
  <si>
    <t>СП-00048696</t>
  </si>
  <si>
    <t>СП-00048627</t>
  </si>
  <si>
    <t>СП-00048626</t>
  </si>
  <si>
    <t>СП-00048323</t>
  </si>
  <si>
    <t>СП-00030834</t>
  </si>
  <si>
    <t>СП-00037532</t>
  </si>
  <si>
    <t>СП-00037527</t>
  </si>
  <si>
    <t>СП-00037529</t>
  </si>
  <si>
    <t>СП-00037525</t>
  </si>
  <si>
    <t>СП-00037526</t>
  </si>
  <si>
    <t>СП-00037536</t>
  </si>
  <si>
    <t>СП-00037538</t>
  </si>
  <si>
    <t>СП-00037539</t>
  </si>
  <si>
    <t>СП-00037537</t>
  </si>
  <si>
    <t>СП-00037540</t>
  </si>
  <si>
    <t>СП-00037528</t>
  </si>
  <si>
    <t>СП-00037542</t>
  </si>
  <si>
    <t>СП-00037545</t>
  </si>
  <si>
    <t>СП-00037492</t>
  </si>
  <si>
    <t>СП-00037502</t>
  </si>
  <si>
    <t>СП-00037503</t>
  </si>
  <si>
    <t>СП-00037504</t>
  </si>
  <si>
    <t>СП-00037500</t>
  </si>
  <si>
    <t>СП-00041779</t>
  </si>
  <si>
    <t>СП-00037255</t>
  </si>
  <si>
    <t>СП-00037252</t>
  </si>
  <si>
    <t>СП-00037260</t>
  </si>
  <si>
    <t>СП-00039830</t>
  </si>
  <si>
    <t>СП-00038113</t>
  </si>
  <si>
    <t>СП-00037261</t>
  </si>
  <si>
    <t>СП-00037262</t>
  </si>
  <si>
    <t>СП-00041212</t>
  </si>
  <si>
    <t>СП-00039173</t>
  </si>
  <si>
    <t>СП-00039175</t>
  </si>
  <si>
    <t>СП-00039172</t>
  </si>
  <si>
    <t>СП-00039166</t>
  </si>
  <si>
    <t>СП-00039167</t>
  </si>
  <si>
    <t>СП-00039168</t>
  </si>
  <si>
    <t>СП-00039169</t>
  </si>
  <si>
    <t>СП-00039170</t>
  </si>
  <si>
    <t>СП-00039165</t>
  </si>
  <si>
    <t>СП-00037129</t>
  </si>
  <si>
    <t>СП-00037127</t>
  </si>
  <si>
    <t>СП-00037126</t>
  </si>
  <si>
    <t>СП-00037122</t>
  </si>
  <si>
    <t>СП-00037123</t>
  </si>
  <si>
    <t>СП-00037124</t>
  </si>
  <si>
    <t>СП-00037121</t>
  </si>
  <si>
    <t>СП-00039171</t>
  </si>
  <si>
    <t>СП-00039826</t>
  </si>
  <si>
    <t>СП-00039828</t>
  </si>
  <si>
    <t>СП-00037128</t>
  </si>
  <si>
    <t>СП-00039852</t>
  </si>
  <si>
    <t>СП-00042731</t>
  </si>
  <si>
    <t>СП-00043595</t>
  </si>
  <si>
    <t>СП-00042596</t>
  </si>
  <si>
    <t>СП-00043572</t>
  </si>
  <si>
    <t>СП-00042597</t>
  </si>
  <si>
    <t>СП-00043575</t>
  </si>
  <si>
    <t>СП-00043725</t>
  </si>
  <si>
    <t>СП-00042936</t>
  </si>
  <si>
    <t>СП-00043722</t>
  </si>
  <si>
    <t>СП-00042598</t>
  </si>
  <si>
    <t>СП-00042599</t>
  </si>
  <si>
    <t>СП-00042600</t>
  </si>
  <si>
    <t>СП-00042601</t>
  </si>
  <si>
    <t>СП-00042602</t>
  </si>
  <si>
    <t>СП-00042603</t>
  </si>
  <si>
    <t>СП-00043801</t>
  </si>
  <si>
    <t>СП-00030555</t>
  </si>
  <si>
    <t>СП-00037466</t>
  </si>
  <si>
    <t>СП-00037468</t>
  </si>
  <si>
    <t>СП-00037469</t>
  </si>
  <si>
    <t>СП-00037416</t>
  </si>
  <si>
    <t>СП-00039834</t>
  </si>
  <si>
    <t>СП-00039832</t>
  </si>
  <si>
    <t>СП-00041213</t>
  </si>
  <si>
    <t>СП-00037423</t>
  </si>
  <si>
    <t>СП-00037422</t>
  </si>
  <si>
    <t>СП-00039840</t>
  </si>
  <si>
    <t>СП-00039837</t>
  </si>
  <si>
    <t>СП-00037450</t>
  </si>
  <si>
    <t>СП-00039841</t>
  </si>
  <si>
    <t>СП-00039844</t>
  </si>
  <si>
    <t>СП-00045231</t>
  </si>
  <si>
    <t>СП-00045897</t>
  </si>
  <si>
    <t>СП-00045876</t>
  </si>
  <si>
    <t>СП-00044786</t>
  </si>
  <si>
    <t>СП-00045925</t>
  </si>
  <si>
    <t>СП-00045927</t>
  </si>
  <si>
    <t>CBD00001464</t>
  </si>
  <si>
    <t>CBD00002615</t>
  </si>
  <si>
    <t>СП-00030844</t>
  </si>
  <si>
    <t>СПБ00000860</t>
  </si>
  <si>
    <t>СП-00030845</t>
  </si>
  <si>
    <t>СП-00029969</t>
  </si>
  <si>
    <t>СП-00032900</t>
  </si>
  <si>
    <t>СП-00037293</t>
  </si>
  <si>
    <t>СП-00032021</t>
  </si>
  <si>
    <t>СП-00030856</t>
  </si>
  <si>
    <t>СП-00036219</t>
  </si>
  <si>
    <t>СП-00035915</t>
  </si>
  <si>
    <t>СП-00030835</t>
  </si>
  <si>
    <t>СП-00032198</t>
  </si>
  <si>
    <t>СП-00030541</t>
  </si>
  <si>
    <t>СП-00050376</t>
  </si>
  <si>
    <t>СП-00033946</t>
  </si>
  <si>
    <t>СП-00037034</t>
  </si>
  <si>
    <t>СП-00037299</t>
  </si>
  <si>
    <t>СП-00037044</t>
  </si>
  <si>
    <t>СП-00037367</t>
  </si>
  <si>
    <t>СП-00037399</t>
  </si>
  <si>
    <t>СП-00037369</t>
  </si>
  <si>
    <t>СП-00030565</t>
  </si>
  <si>
    <t>СП-00037348</t>
  </si>
  <si>
    <t>СП-00037300</t>
  </si>
  <si>
    <t>СП-00032014</t>
  </si>
  <si>
    <t>СП-00037398</t>
  </si>
  <si>
    <t>СП-00037359</t>
  </si>
  <si>
    <t>СП-00038238</t>
  </si>
  <si>
    <t>СП-00037385</t>
  </si>
  <si>
    <t>СП-00037346</t>
  </si>
  <si>
    <t>СП-00039901</t>
  </si>
  <si>
    <t>СП-00037349</t>
  </si>
  <si>
    <t>СП-00040860</t>
  </si>
  <si>
    <t>СП-00046733</t>
  </si>
  <si>
    <t>СП-00037379</t>
  </si>
  <si>
    <t>СП-00037372</t>
  </si>
  <si>
    <t>СП-00042268</t>
  </si>
  <si>
    <t>СП-00030846</t>
  </si>
  <si>
    <t>СП-00032532</t>
  </si>
  <si>
    <t>СП-00037353</t>
  </si>
  <si>
    <t>СП-00037388</t>
  </si>
  <si>
    <t>СП-00037059</t>
  </si>
  <si>
    <t>СП-00037342</t>
  </si>
  <si>
    <t>СП-00037392</t>
  </si>
  <si>
    <t>СП-00032522</t>
  </si>
  <si>
    <t>СП-00031933</t>
  </si>
  <si>
    <t>СП-00037052</t>
  </si>
  <si>
    <t>СП-00042331</t>
  </si>
  <si>
    <t>СП-00043733</t>
  </si>
  <si>
    <t>СП-00048957</t>
  </si>
  <si>
    <t>CBD00001397</t>
  </si>
  <si>
    <t>СПБ00000808</t>
  </si>
  <si>
    <t>CBD00004021</t>
  </si>
  <si>
    <t>CBD00004022</t>
  </si>
  <si>
    <t>CBD00001399</t>
  </si>
  <si>
    <t>СП-00030132</t>
  </si>
  <si>
    <t>СП-00032272</t>
  </si>
  <si>
    <t>СП-00032273</t>
  </si>
  <si>
    <t>СП-00032274</t>
  </si>
  <si>
    <t>СП-00032519</t>
  </si>
  <si>
    <t>СП-00032275</t>
  </si>
  <si>
    <t>СП-00045875</t>
  </si>
  <si>
    <t>СП-00045544</t>
  </si>
  <si>
    <t>СП-00045545</t>
  </si>
  <si>
    <t>СП-00045937</t>
  </si>
  <si>
    <t>СП-00046506</t>
  </si>
  <si>
    <t>СП-00037022</t>
  </si>
  <si>
    <t>СП-00047554</t>
  </si>
  <si>
    <t>СП-00041914</t>
  </si>
  <si>
    <t>СП-00045999</t>
  </si>
  <si>
    <t>СП-00040855</t>
  </si>
  <si>
    <t>TY6838WO</t>
  </si>
  <si>
    <t>Вертикальный пылесос TEFAL TY 6838WO</t>
  </si>
  <si>
    <t>evrika</t>
  </si>
  <si>
    <t>fora</t>
  </si>
  <si>
    <t>КУХОННЫЙ КОМБАЙН MOULINEX DOUBLE FORCE FP827E10</t>
  </si>
  <si>
    <t>МЯСОРУБКА MOULINEX ME106832 BLACK/STEEL</t>
  </si>
  <si>
    <t>ОТПАРИВАТЕЛЬ ВЕРТИКАЛЬНЫЙ TEFAL PROSTYLE ONE IT2461E0 BLACK</t>
  </si>
  <si>
    <t>ОТПАРИВАТЕЛЬ РУЧНОЙ TEFAL ACCESS STEAM FIRST DT6131E0 WHITE/TURQUOISE</t>
  </si>
  <si>
    <t>ОТПАРИВАТЕЛЬ РУЧНОЙ ПАРОВОЙ TEFAL DT7000E0 WHITE/GREY</t>
  </si>
  <si>
    <t>УТЮГ ПАРОВОЙ TEFAL FV2837E0 WHITE/BLUE</t>
  </si>
  <si>
    <t>УТЮГ ПАРОВОЙ TEFAL FV2838E0 WHITE/BLUE</t>
  </si>
  <si>
    <t>УТЮГ ПАРОВОЙ TEFAL FV2839E0 WHITE/TURQUOISE</t>
  </si>
  <si>
    <t>УТЮГ ПАРОВОЙ ДОРОЖНЫЙ ROWENTA DA1511F1 WHITE/VIOLET</t>
  </si>
  <si>
    <t>ЭЛЕКТРОЧАЙНИК TEFAL BF925132 WHITE</t>
  </si>
  <si>
    <t>Фен-щетка Rowenta CF-634L</t>
  </si>
  <si>
    <t>Выпрямитель Rowenta SF-4216</t>
  </si>
  <si>
    <t>Вертикальный пылесос Tefal TY-6838</t>
  </si>
  <si>
    <t>Вертикальный пылесос Tefal TY-99C0</t>
  </si>
  <si>
    <t>alser</t>
  </si>
  <si>
    <t>Чайник Tefal KO260830 черный</t>
  </si>
  <si>
    <t>Погружной блендер DD533132</t>
  </si>
  <si>
    <t>Погружной блендер DD653832</t>
  </si>
  <si>
    <t>Погружной блендер DD95HD10 POWELIX LIFE</t>
  </si>
  <si>
    <t>Фен Rowenta CV5703F0</t>
  </si>
  <si>
    <t>Мультиварка Moulinex CE 430832 черный</t>
  </si>
  <si>
    <t>Мультиварка Moulinex MK 622832 черный</t>
  </si>
  <si>
    <t>Moulinex Хлебопечь Moulinex OW-210130</t>
  </si>
  <si>
    <t>Миксер QUICKMIX HM3108</t>
  </si>
  <si>
    <t>Миксер стационарный Moulinex QuickMix HM3128B1</t>
  </si>
  <si>
    <t>mechta</t>
  </si>
  <si>
    <t>Набор кухонных аксессуаров TEFAL K210S514 Масленица</t>
  </si>
  <si>
    <t>СП-00037396</t>
  </si>
  <si>
    <t>СП-00032013</t>
  </si>
  <si>
    <t>СП-00037749</t>
  </si>
  <si>
    <t>СП-00037751</t>
  </si>
  <si>
    <t>СП-00037725</t>
  </si>
  <si>
    <t>СП-00037695</t>
  </si>
  <si>
    <t>СП-00037728</t>
  </si>
  <si>
    <t>СП-00043858</t>
  </si>
  <si>
    <t>СП-00046985</t>
  </si>
  <si>
    <t>СП-00048841</t>
  </si>
  <si>
    <t>СП-00032019</t>
  </si>
  <si>
    <t>СП-00038111</t>
  </si>
  <si>
    <t>СП-00038110</t>
  </si>
  <si>
    <t>СП-00043807</t>
  </si>
  <si>
    <t>СП-00042609</t>
  </si>
  <si>
    <t>СП-00044431</t>
  </si>
  <si>
    <t>СП-00046563</t>
  </si>
  <si>
    <t>СП-00030544</t>
  </si>
  <si>
    <t>СП-00037414</t>
  </si>
  <si>
    <t>СП-00048510</t>
  </si>
  <si>
    <t>СП-00045543</t>
  </si>
  <si>
    <t>СП-00045547</t>
  </si>
  <si>
    <t>СП-00045896</t>
  </si>
  <si>
    <t>СП-00039829</t>
  </si>
  <si>
    <t>СП-00048953</t>
  </si>
  <si>
    <t>СП-00037407</t>
  </si>
  <si>
    <t>СП-00037281</t>
  </si>
  <si>
    <t>СП-00037037</t>
  </si>
  <si>
    <t>СП-00036755</t>
  </si>
  <si>
    <t>СП-00037365</t>
  </si>
  <si>
    <t>СП-00033355</t>
  </si>
  <si>
    <t>СП-00043070</t>
  </si>
  <si>
    <t>СП-00034256</t>
  </si>
  <si>
    <t>СП-00037304</t>
  </si>
  <si>
    <t>СП-00037567</t>
  </si>
  <si>
    <t>СП-00048348</t>
  </si>
  <si>
    <t>СП-00044690</t>
  </si>
  <si>
    <t>СП-00030560</t>
  </si>
  <si>
    <t>СП-00032206</t>
  </si>
  <si>
    <t>СП-00048509</t>
  </si>
  <si>
    <t>СП-00047468</t>
  </si>
  <si>
    <t>СП-00039839</t>
  </si>
  <si>
    <t>Плойка ROWENTA CF 324 LF0</t>
  </si>
  <si>
    <t>RG9077WH</t>
  </si>
  <si>
    <t>Робот-пылесос TEFAL RG 9077 WH</t>
  </si>
  <si>
    <t>СП-00043573</t>
  </si>
  <si>
    <t>СП-00030559</t>
  </si>
  <si>
    <t>СП-00030847</t>
  </si>
  <si>
    <t>СП-00037232</t>
  </si>
  <si>
    <t>d2c</t>
  </si>
  <si>
    <t>СП-00048954</t>
  </si>
  <si>
    <t>sulpak</t>
  </si>
  <si>
    <t>Фен Rowenta / CV8642</t>
  </si>
  <si>
    <t>Мультирезка Moulinex / DJ9058</t>
  </si>
  <si>
    <t>Весы кухонные Tefal / BC5000 Optiss</t>
  </si>
  <si>
    <t>Мясорубка Moulinex / MЕ740Н30</t>
  </si>
  <si>
    <t>Соковыжималка центробежная Moulinex  /  JU385</t>
  </si>
  <si>
    <t>CF3610D0</t>
  </si>
  <si>
    <t>Стайлер Rowenta / CF3610</t>
  </si>
  <si>
    <t>Нож для мясорубок Moulinex /  ADR 901</t>
  </si>
  <si>
    <t>Весы   Tefal / PP5150V1(0)</t>
  </si>
  <si>
    <t>Мясорубка Moulinex / ME442139</t>
  </si>
  <si>
    <t>Мясорубка Moulinex / ME640832</t>
  </si>
  <si>
    <t>Мясорубка Moulinex / ME456139</t>
  </si>
  <si>
    <t>Мясорубка Moulinex / ME105830</t>
  </si>
  <si>
    <t>Мультирезка Moulinex / DJ755G32</t>
  </si>
  <si>
    <t>Хлебопечь Moulinex / OW210130</t>
  </si>
  <si>
    <t>Погружной блендер Moulinex / DD655832</t>
  </si>
  <si>
    <t>Весы Tefal / PP1061</t>
  </si>
  <si>
    <t>Весы Tefal / PP1063</t>
  </si>
  <si>
    <t>Мясорубка Moulinex / ME452839</t>
  </si>
  <si>
    <t>Фен Rowenta / CV7812</t>
  </si>
  <si>
    <t>Весы кухонные Tefal/BC5102</t>
  </si>
  <si>
    <t>Весы   Tefal / PP1146</t>
  </si>
  <si>
    <t>Фен Rowenta / CV3812</t>
  </si>
  <si>
    <t>Погружной блендер Moulinex / DD643132</t>
  </si>
  <si>
    <t>Мясорубка Moulinex / ME684832</t>
  </si>
  <si>
    <t>Мясорубка Moulinex / ME687832</t>
  </si>
  <si>
    <t>Мясорубка Moulinex / ME858D32</t>
  </si>
  <si>
    <t>Мясорубка Moulinex / ME108832</t>
  </si>
  <si>
    <t>Кухонная машина Moulinex / QA613</t>
  </si>
  <si>
    <t>Мясорубка Moulinex / ME306832</t>
  </si>
  <si>
    <t>Кухонная машина Moulinex / QA3001B1</t>
  </si>
  <si>
    <t>Соковыжималка для цитрусовых Moulinex /  PC 300B10</t>
  </si>
  <si>
    <t>Насадка для OptiGrill Tefal / XA723812 (вафли)</t>
  </si>
  <si>
    <t>Кухонная машина Moulinex / QA51AD10</t>
  </si>
  <si>
    <t>Cтационарный блендер Moulinex / Blendforce LM435810</t>
  </si>
  <si>
    <t>Кухонная машина Moulinex  /  QA310110</t>
  </si>
  <si>
    <t>Соковыжималка шнековая Moulinex  /  ZU420E</t>
  </si>
  <si>
    <t>Хлебопечь Moulinex / OW240E30</t>
  </si>
  <si>
    <t>Cтационарный блендер Moulinex / LM355</t>
  </si>
  <si>
    <t>Утюг Tefal / FV2684E0</t>
  </si>
  <si>
    <t>Погружной блендер Moulinex / Infiny Force Pro DD95HD10</t>
  </si>
  <si>
    <t>Погружной блендер Moulinex / Optichef DD641132</t>
  </si>
  <si>
    <t>Насадка для OptiGrill Tefal / XA725870 (противень)</t>
  </si>
  <si>
    <t>Соковыжималка центробежная Moulinex  /  JU610D10</t>
  </si>
  <si>
    <t>Соковыжималка шнековая Moulinex  /  ZU600</t>
  </si>
  <si>
    <t>Мини-печь Moulinex / OX464E32</t>
  </si>
  <si>
    <t>Погружной блендер Moulinex / Infiny Force Pro DD95MD10</t>
  </si>
  <si>
    <t>Весы кухонные INGENIO BC5400V1</t>
  </si>
  <si>
    <t>Весы кухонные OPTISS BC5004V2</t>
  </si>
  <si>
    <t>Весы кухонные Compliss  BC1000V1</t>
  </si>
  <si>
    <t>Погружной блендер Moulinex / Daily mix DD533132</t>
  </si>
  <si>
    <t>Миксер стационарный Moulinex / QuickMix HM3128B1</t>
  </si>
  <si>
    <t>Мясорубка Moulinex  /  ME111032</t>
  </si>
  <si>
    <t>Мясорубка Moulinex / ME542810</t>
  </si>
  <si>
    <t>Мясорубка Moulinex / ME209139</t>
  </si>
  <si>
    <t>Соковыжималка шнековая Moulinex  /  ZU255B10</t>
  </si>
  <si>
    <t>Соковыжималка центробежная Moulinex  /  JU655H30</t>
  </si>
  <si>
    <t>Соковыжималка центробежная Moulinex  /  JU550D10</t>
  </si>
  <si>
    <t>Cтационарный блендер Moulinex / Infinymix+ LM91HD32</t>
  </si>
  <si>
    <t>Cтационарный блендер Moulinex / BLENDFORCE 2 LM439D10</t>
  </si>
  <si>
    <t>Cтационарный блендер Moulinex / BLENDFORCE POWELIX LM42Q110</t>
  </si>
  <si>
    <t>Кухонный комбайн Moulinex  /  FP542111 DoubleForce compact</t>
  </si>
  <si>
    <t>Кухонный робот Moulinex  /  Companion XL HF80B832 с функцией нагрева</t>
  </si>
  <si>
    <t>Cтационарный блендер Moulinex / Blendeo+ LM2C0110</t>
  </si>
  <si>
    <t>Мясорубка Moulinex  /  ME301132</t>
  </si>
  <si>
    <t>Мясорубка MOULINEX  /  ME552810</t>
  </si>
  <si>
    <t>Мясорубка Moulinex  /  ME476132</t>
  </si>
  <si>
    <t>Щипцы Rowenta / CF2119F0.</t>
  </si>
  <si>
    <t>Чайник Tefal / Bouilloire KI583E10</t>
  </si>
  <si>
    <t>Кухонная машина Moulinex  /  QA151810</t>
  </si>
  <si>
    <t>Насадка овощерезка Moulinex / XF383110</t>
  </si>
  <si>
    <t>Мясорубка Moulinex  /  ME106832</t>
  </si>
  <si>
    <t>Мясорубка Moulinex  /  ME472832</t>
  </si>
  <si>
    <t>Миксер стационарный Moulinex / Prep Mix HM464110</t>
  </si>
  <si>
    <t>Мясорубка Moulinex  /  HV10 ME856D32</t>
  </si>
  <si>
    <t>Робот-пылесос Tefal EXPLORER SERIE 75+ / RG8595WH.</t>
  </si>
  <si>
    <t>Робот-пылесос Tefal EXPLORER SERIE 75+ RG8577WH.</t>
  </si>
  <si>
    <t>Кухонная машина Moulinex  /  Masterchef Gourmet QA519D32</t>
  </si>
  <si>
    <t>Кухонная машина Moulinex  /  Wizzo QA317510</t>
  </si>
  <si>
    <t>Миксер погружной Moulinex / Prepmix HM450B10</t>
  </si>
  <si>
    <t>Вертикальный  пылесос Tefal / TY99A8WO.</t>
  </si>
  <si>
    <t>Вертикальный  пылесос Tefal / TY99C0WO.</t>
  </si>
  <si>
    <t>Мясорубка Moulinex / ME460132</t>
  </si>
  <si>
    <t>Мясорубка Moulinex  /  HV8 Pro ME688832</t>
  </si>
  <si>
    <t>Соковыжималка для цитрусовых Moulinex /  Ultra Compact PC120870</t>
  </si>
  <si>
    <t>Весы кухонные Tefal / BC5125V1</t>
  </si>
  <si>
    <t>Гриль Tefal / GC714834.</t>
  </si>
  <si>
    <t>Погружной блендер / DD642132.</t>
  </si>
  <si>
    <t>Фен-щетка Rowenta x KARL LAGERFELD / Express Style CF634LF0</t>
  </si>
  <si>
    <t>BE 362040 /чайник Tefal</t>
  </si>
  <si>
    <t>Чайник Tefal / KO260130</t>
  </si>
  <si>
    <t>Вертикальный отпариватель Tefal /IT3460</t>
  </si>
  <si>
    <t>Робот-пылесос Tefal / RG7767WH Explorer Serie 80</t>
  </si>
  <si>
    <t>Робот-пылесос Tefal / RG9077WH</t>
  </si>
  <si>
    <t>Кофемашина KRUPS / EA875E10  Intuition Preference+</t>
  </si>
  <si>
    <t>Мультитриммер Rowenta / TN9155F1 TRIM &amp; STYLE 9в1</t>
  </si>
  <si>
    <t>Выпрямитель Rowenta / SF4216F0 LISS&amp;CURL</t>
  </si>
  <si>
    <t xml:space="preserve">Блинная сковорода TEFAL G2553872 25 см Unlimited </t>
  </si>
  <si>
    <t xml:space="preserve">Картридж для отпаривателя Tefal IXEO XD5100E0 </t>
  </si>
  <si>
    <t xml:space="preserve">Набор кухонных аксессуаров TEFAL K210S514 "Масленица" </t>
  </si>
  <si>
    <t xml:space="preserve">Набор ножей TEFAL K221S375  Comfort 3 пр. </t>
  </si>
  <si>
    <t>SF7510FO</t>
  </si>
  <si>
    <t xml:space="preserve">Прибор для распрямления волос ROWENTA SF 7510 F0 </t>
  </si>
  <si>
    <t xml:space="preserve">Сковорода  гриль  TEFAL E 2294074 26 Unlimited  круглая </t>
  </si>
  <si>
    <t xml:space="preserve">Фен ROWENTA CV 1720 F0 </t>
  </si>
  <si>
    <t>CV184LFO</t>
  </si>
  <si>
    <t>Фен ROWENTA CV 184L F0</t>
  </si>
  <si>
    <t>Электрочайник MOULINEX BY 320A30</t>
  </si>
  <si>
    <t>K3070114</t>
  </si>
  <si>
    <t>Фен-щетка Rowenta CF-635L</t>
  </si>
  <si>
    <t>Фен Rowenta CV-184L</t>
  </si>
  <si>
    <t>Робот пылесос Tefal RG-9077WH</t>
  </si>
  <si>
    <t>СП-00039836</t>
  </si>
  <si>
    <t>СП-00037476</t>
  </si>
  <si>
    <t>СП-00044489</t>
  </si>
  <si>
    <t>СП-00037288</t>
  </si>
  <si>
    <t>СП-00045561</t>
  </si>
  <si>
    <t>СП-00037471</t>
  </si>
  <si>
    <t>СП-00043298</t>
  </si>
  <si>
    <t>СП-00046438</t>
  </si>
  <si>
    <t>СП-00046437</t>
  </si>
  <si>
    <t>СП-00043721</t>
  </si>
  <si>
    <t>СП-00038112</t>
  </si>
  <si>
    <t>СП-00037130</t>
  </si>
  <si>
    <t>СП-00042604</t>
  </si>
  <si>
    <t>СП-00031912</t>
  </si>
  <si>
    <t>СП-00037331</t>
  </si>
  <si>
    <t>СП-00037460</t>
  </si>
  <si>
    <t>СП-00048956</t>
  </si>
  <si>
    <t>СП-00048955</t>
  </si>
  <si>
    <t>СП-00037383</t>
  </si>
  <si>
    <t>СП-00040859</t>
  </si>
  <si>
    <t>СП-00037373</t>
  </si>
  <si>
    <t>СП-00037401</t>
  </si>
  <si>
    <t>СП-00030028</t>
  </si>
  <si>
    <t>СП-00037531</t>
  </si>
  <si>
    <t>СП-00034249</t>
  </si>
  <si>
    <t>СП-00043728</t>
  </si>
  <si>
    <t>СП-00039888</t>
  </si>
  <si>
    <t>СП-00043727</t>
  </si>
  <si>
    <t>СП-00044487</t>
  </si>
  <si>
    <t>СП-00041904</t>
  </si>
  <si>
    <t>СП-00044488</t>
  </si>
  <si>
    <t>СП-00042516</t>
  </si>
  <si>
    <t>СП-00044682</t>
  </si>
  <si>
    <t>СП-00037825</t>
  </si>
  <si>
    <t>СП-00037822</t>
  </si>
  <si>
    <t>СП-00037821</t>
  </si>
  <si>
    <t>СП-00037819</t>
  </si>
  <si>
    <t>СП-00045234</t>
  </si>
  <si>
    <t>СП-00050280</t>
  </si>
  <si>
    <t>СП-00050281</t>
  </si>
  <si>
    <t>СП-00037406</t>
  </si>
  <si>
    <t>BM9660S1</t>
  </si>
  <si>
    <t>BM9640S1</t>
  </si>
  <si>
    <t>BM9620S1</t>
  </si>
  <si>
    <t>BM9600S1</t>
  </si>
  <si>
    <t>СП-00044806</t>
  </si>
  <si>
    <t>СП-00049654</t>
  </si>
  <si>
    <t>СП-00050430</t>
  </si>
  <si>
    <t>СП-00050093</t>
  </si>
  <si>
    <t>СП-00047553</t>
  </si>
  <si>
    <t>СП-00051009</t>
  </si>
  <si>
    <t>RG9075WH</t>
  </si>
  <si>
    <t>XA727810</t>
  </si>
  <si>
    <t>СП-00046600</t>
  </si>
  <si>
    <t>СП-00051027</t>
  </si>
  <si>
    <t>CV1810F0</t>
  </si>
  <si>
    <t>СП-00051028</t>
  </si>
  <si>
    <t>СП-00050276</t>
  </si>
  <si>
    <t>CV184LF0</t>
  </si>
  <si>
    <t>Фен Rowenta x KARL LAGERFELD / CV184LF0</t>
  </si>
  <si>
    <t>CF7826F0</t>
  </si>
  <si>
    <t>CV1801F0</t>
  </si>
  <si>
    <t>N4011000</t>
  </si>
  <si>
    <t>Сковорода Tefal Day by Day 26 см (4216126)</t>
  </si>
  <si>
    <t>Сковорода блинная Tefal 22 Day by Day (9100048047)</t>
  </si>
  <si>
    <t>Электрический чайникTefal  BI520D10</t>
  </si>
  <si>
    <t>Электрический чайник Tefal KO250130</t>
  </si>
  <si>
    <t>Электрический чайникTefal  KO693110</t>
  </si>
  <si>
    <t>Электрический чайник Tefal с двойными стенками KO851830</t>
  </si>
  <si>
    <t>Фен-щетка Rowenta / KARL LAGERFELD CF634LF0</t>
  </si>
  <si>
    <t>Фен-щетка Rowenta CF952LF0</t>
  </si>
  <si>
    <t>Cтационарный блендер Moulinex LM811D10</t>
  </si>
  <si>
    <t>Ручной отпариватель Tefal DT3030E0</t>
  </si>
  <si>
    <t>Фен Rowenta Express Style CV1801F0</t>
  </si>
  <si>
    <t>CV1803F0</t>
  </si>
  <si>
    <t>Фен Rowenta Express Style CV1803F0</t>
  </si>
  <si>
    <t>Робот пылесос Tefal RG-9075WH</t>
  </si>
  <si>
    <t>AM314010</t>
  </si>
  <si>
    <t>Фритюрница Moulinex AM-314010</t>
  </si>
  <si>
    <t>Весы кухонные Tefal / BC5122V1</t>
  </si>
  <si>
    <t>Фен-щетка Rowenta / CF7826F0</t>
  </si>
  <si>
    <t>Умные весы Tefal / Goodvibes LIFE BM9600S1</t>
  </si>
  <si>
    <t>Фен ROWENTA CV 887 LF0</t>
  </si>
  <si>
    <t>dns</t>
  </si>
  <si>
    <t>FV2846E0</t>
  </si>
  <si>
    <t>Утюг Tefal FV2846E0 [2400 Вт, подошва - Cellirium керамика, пар: 40 г/мин, пар.удар: 180 г/мин, 270 мл, 1.9 м]</t>
  </si>
  <si>
    <t>Вертикальный пылесос Tefal TY-99A8</t>
  </si>
  <si>
    <t>Вентилятор напольный Tefal VF-4440</t>
  </si>
  <si>
    <t>Фен Rowenta CV-1804</t>
  </si>
  <si>
    <t>Фен Rowenta CV-1810</t>
  </si>
  <si>
    <t>Весы диагностические Tefal BM-9600</t>
  </si>
  <si>
    <t>Весы диагностические Tefal BM-9620</t>
  </si>
  <si>
    <t>Весы диагностические Tefal BM-9640</t>
  </si>
  <si>
    <t>Весы диагностические Tefal BM-9660</t>
  </si>
  <si>
    <t>Нож для мясорубки MOULINEX ADR-901</t>
  </si>
  <si>
    <t>Фильтр для очистки воды в кофемашинах KRUPS F08801</t>
  </si>
  <si>
    <t>SV8151E0</t>
  </si>
  <si>
    <t>Парогенератор Tefal / SV8151E0</t>
  </si>
  <si>
    <t>SV8130E0</t>
  </si>
  <si>
    <t>Парогенератор Tefal / SV8130E0</t>
  </si>
  <si>
    <t>FV8066E0</t>
  </si>
  <si>
    <t>Утюг Tefal / FV8066E0</t>
  </si>
  <si>
    <t>FV8043E0</t>
  </si>
  <si>
    <t>Утюг Tefal / FV8043E0</t>
  </si>
  <si>
    <t>FV8042E0</t>
  </si>
  <si>
    <t>Утюг TEFAL FV8042E0 (Белый)</t>
  </si>
  <si>
    <t>Выпрямитель Rowenta Liss   Curl SF4216F0</t>
  </si>
  <si>
    <t>SV8110E0</t>
  </si>
  <si>
    <t>Парогенератор Tefal SV8110E0 (TERRACOTTA / WHITE)</t>
  </si>
  <si>
    <t>Кастрюля TEFAL E3014624 24 + крышка</t>
  </si>
  <si>
    <t>СП-00037415</t>
  </si>
  <si>
    <t>СП-00044573</t>
  </si>
  <si>
    <t>Вертикальный пылесос Tefal X-Pert 3.60 TY6933WO, Black</t>
  </si>
  <si>
    <t>СП-00048698</t>
  </si>
  <si>
    <t>СП-00049381</t>
  </si>
  <si>
    <t>Утюг Tefal / FV9776</t>
  </si>
  <si>
    <t>XF384B10</t>
  </si>
  <si>
    <t>Пароварка MOULINEX XF 384B10</t>
  </si>
  <si>
    <t>Средство для чистки KRUPS XS-300010 таблетки для удаления накипи 10 шт.</t>
  </si>
  <si>
    <t>FV8064E0</t>
  </si>
  <si>
    <t>Утюг TEFAL FV 8064 E0</t>
  </si>
  <si>
    <t>Утюг TEFAL FV 8066 E0</t>
  </si>
  <si>
    <t>СП-00051791</t>
  </si>
  <si>
    <t>Ручной отпариватель Tefal / DT6131E0</t>
  </si>
  <si>
    <t>Погружной блендер Moulinex/ QUICKCHEF DD653832</t>
  </si>
  <si>
    <t>Погружной блендер Moulinex/ QUICKCHEF DD652832</t>
  </si>
  <si>
    <t>Робот пылесос Tefal / RG7987WH</t>
  </si>
  <si>
    <t>Фен Rowenta / CV1810F0</t>
  </si>
  <si>
    <t>CF6330F0</t>
  </si>
  <si>
    <t>Фен-щетка Rowenta / CF6330F0</t>
  </si>
  <si>
    <t>CF6320F0</t>
  </si>
  <si>
    <t>Фен-щетка Rowenta / Express Style CF6320F0</t>
  </si>
  <si>
    <t>Погружной блендер Moulinex / DD656832</t>
  </si>
  <si>
    <t>Насадка XF384B10</t>
  </si>
  <si>
    <t>Насадка противень для запекания Tefal XA-727810 на Optigrill XL</t>
  </si>
  <si>
    <t>Насадка пароварка Moulinex XF-384B10 для Companion HF-80B832</t>
  </si>
  <si>
    <t>Фен-щетка Rowenta CF-6320</t>
  </si>
  <si>
    <t>Фен-щетка Rowenta CF-6330</t>
  </si>
  <si>
    <t>Пылесос Tefal TW2971EA</t>
  </si>
  <si>
    <t>Пылесос Tefal TW4881EA</t>
  </si>
  <si>
    <t>Пылесос Tefal Silence Force TW7233EA</t>
  </si>
  <si>
    <t>Пылесос Tefal Silence Force Cyclonic TW7272EA</t>
  </si>
  <si>
    <t>FV8062E0</t>
  </si>
  <si>
    <t>Утюг TEFAL FV8062E0 (черный)</t>
  </si>
  <si>
    <t>Выпрямитель для волос Rowenta Karl Lagerfeld SF411LF0</t>
  </si>
  <si>
    <t>Фен-Щетка Rowenta CF6330F0 (черный/ золотистый)</t>
  </si>
  <si>
    <t>Фен-щетка Rowenta CF7830F0</t>
  </si>
  <si>
    <t>Вертикальный пылесос Tefal Air Force Light TY6545RH, Black</t>
  </si>
  <si>
    <t>Робот-пылесос Tefal X-plorer Serie 50 RG7375WH, Black</t>
  </si>
  <si>
    <t>Робот-пылесос TEFAL X-plorer Serie 60 RG7455WH, White</t>
  </si>
  <si>
    <t>Робот-пылесос Tefal X-plorer Serie 75 S RG8575WH, Black</t>
  </si>
  <si>
    <t>Робот-пылесос TEFAL X-plorer Serie 60 RG7447WH, White</t>
  </si>
  <si>
    <t>Набор кухонных предметов Tefal K001A504 Bienvenue [5 предметов, пластик]</t>
  </si>
  <si>
    <t xml:space="preserve">	СП-00048321</t>
  </si>
  <si>
    <t>СП-00037016</t>
  </si>
  <si>
    <t>СП-00044725</t>
  </si>
  <si>
    <t>СП-00052073</t>
  </si>
  <si>
    <t>СП-00044805</t>
  </si>
  <si>
    <t>Отпариватель электрический TEFAL DT 2020E1</t>
  </si>
  <si>
    <t>DT3053E1</t>
  </si>
  <si>
    <t>Отпариватель электрический TEFAL DT 3053E1</t>
  </si>
  <si>
    <t>Пылесос TEFAL TW 3786 RA</t>
  </si>
  <si>
    <t>Утюг TEFAL FV 8043 E0</t>
  </si>
  <si>
    <t>Робот-пылесос TEFAL X-plorer Serie 60 RG7455WH, Black</t>
  </si>
  <si>
    <t xml:space="preserve">	СП-00046437</t>
  </si>
  <si>
    <t xml:space="preserve">
СП-00037640</t>
  </si>
  <si>
    <t xml:space="preserve">
СП-00042609</t>
  </si>
  <si>
    <t>СП-00050431</t>
  </si>
  <si>
    <t>Погружной блендер / Steelforce DD885D39</t>
  </si>
  <si>
    <t>XA724810</t>
  </si>
  <si>
    <t>ZR009703</t>
  </si>
  <si>
    <t>ZR720001</t>
  </si>
  <si>
    <t>Tefal набор фильтров и боковых щёток ZR-720001 для роботов S20/S40/S50</t>
  </si>
  <si>
    <t>Пылесос Tefal TW-3786</t>
  </si>
  <si>
    <t>DT2020E0</t>
  </si>
  <si>
    <t>Ручной отпариватель Tefal DT-2020</t>
  </si>
  <si>
    <t>Ручной отпариватель Tefal DT-3053</t>
  </si>
  <si>
    <t>Гладильная система Tefal SV-8151</t>
  </si>
  <si>
    <t>Утюг Tefal FV-8066</t>
  </si>
  <si>
    <t>Отпариватель напольный Tefal IT3460E0 [1800 Вт, поток пара: 30 г/мин, объем: 1.5 л, до 50 мин]</t>
  </si>
  <si>
    <t>Противень для запекания Tefal OptiGrill XA725870, панелей - 1 шт</t>
  </si>
  <si>
    <t>Утюг TEFAL FV5771E0 [2700 Вт, подошва - Durilium Airglide керамика, пар: 50 г/мин, пар.удар: 240 г/мин, AutoOff]</t>
  </si>
  <si>
    <t>SF321LF0</t>
  </si>
  <si>
    <t>Выпрямитель для волос Rowenta SF321LF0 черный [режимов 11, покрытие-кератиновое, турмалиновое, турмалиновая ионизация]</t>
  </si>
  <si>
    <t>Выпрямитель для волос Rowenta SF4620F0 черный/розове золото [режимов-8, покрытие-керамическое, ионизация]</t>
  </si>
  <si>
    <t>SF4650F0</t>
  </si>
  <si>
    <t>Выпрямитель для волос Rowenta SF4650F0 белый [покрытие-керамическое]</t>
  </si>
  <si>
    <t>CV591LF0</t>
  </si>
  <si>
    <t>Фен Rowenta CV591LF0 черный [полноразмерный, 2300 Вт]</t>
  </si>
  <si>
    <t>Фен Rowenta CV6135F0 белый [полноразмерный, 2400 Вт, генератор ионов, без ионизации]</t>
  </si>
  <si>
    <t>Фен-щетка Rowenta CF9525F0 черный/фиолетовый [1000 Вт, диаметр-40 мм, 50 мм, вращение, режимов-3, генератор ионов]</t>
  </si>
  <si>
    <t>Щипцы для завивки волос Rowenta CF2119 черный [обычные, диаметр-16 мм, фиксатор, режимов-1, до 150°С, керамическое]</t>
  </si>
  <si>
    <t>СП-00037740</t>
  </si>
  <si>
    <t>CBD00001990</t>
  </si>
  <si>
    <t>СП-00030030</t>
  </si>
  <si>
    <t>СП-00037411</t>
  </si>
  <si>
    <t>СП-00037622</t>
  </si>
  <si>
    <t>СП-00044571</t>
  </si>
  <si>
    <t>СП-00051792</t>
  </si>
  <si>
    <t>EVRIKA</t>
  </si>
  <si>
    <t>Вертикальный пылесос TEFAL TY 2079WO</t>
  </si>
  <si>
    <t>Вертикальный пылесос TEFAL TY 9639WO</t>
  </si>
  <si>
    <t>СП-00037417</t>
  </si>
  <si>
    <t>СП-00037566</t>
  </si>
  <si>
    <t>СП-00043614</t>
  </si>
  <si>
    <t>DT2026E0</t>
  </si>
  <si>
    <t>Отпариватель электрический TEFAL DT 2026E1</t>
  </si>
  <si>
    <t>Отпариватель электрический TEFAL DT 8270E1</t>
  </si>
  <si>
    <t>Ручной блендер MOULINEX DD643132</t>
  </si>
  <si>
    <t>Насадка Tefal ZR009500 [Для пылесоса TY94, 95, 92, 73]</t>
  </si>
  <si>
    <t>Турбощетка Tefal ZR902201[Для моделей пылесосов Tefal TW69, 68  ,64 ,83,76]</t>
  </si>
  <si>
    <t>Картриджи + фильтр Tefal ZR850001[Для пылесосов VP8561RH, картридж 4шт., фильтр 1шт. ]</t>
  </si>
  <si>
    <t>Набор сменных аксессуаров Tefal XD5100E0 [для гладильной системы, 1 шт]</t>
  </si>
  <si>
    <t>Парогенератор Tefal PRO EXPRESS Ultimate GV9570E0 [2600 Вт, подошва: керамика, пар: 160 г/мин, удар: 550 г/мин, 7.8 бар, 1900 мл AutoOff, синий]</t>
  </si>
  <si>
    <t>СП-00041016</t>
  </si>
  <si>
    <t>E313S674</t>
  </si>
  <si>
    <t>СП-00047467</t>
  </si>
  <si>
    <t>СП-00048640</t>
  </si>
  <si>
    <t>Сковорода 24см Brut Tefal 4220124</t>
  </si>
  <si>
    <t>Сковорода 26см Brut Tefal 4220126</t>
  </si>
  <si>
    <t>Сковорода 28см Brut Tefal 4220128</t>
  </si>
  <si>
    <t>Сковорода ВОК 28см Brut Tefal 4220628</t>
  </si>
  <si>
    <t>Вертикальный пылесос Tefal TY-2079WO</t>
  </si>
  <si>
    <t>Ручной блендер MOULINEX DD 643132</t>
  </si>
  <si>
    <t>СП-00043590</t>
  </si>
  <si>
    <t>СП-00045161</t>
  </si>
  <si>
    <t>СП-00045650</t>
  </si>
  <si>
    <t>СП-00048319</t>
  </si>
  <si>
    <t>SV8152E0</t>
  </si>
  <si>
    <t>СП-00051758</t>
  </si>
  <si>
    <t>CF451LF0</t>
  </si>
  <si>
    <t>CV4753F0</t>
  </si>
  <si>
    <t>DW4308D1</t>
  </si>
  <si>
    <t>HB65KD38</t>
  </si>
  <si>
    <t>TN152LF0</t>
  </si>
  <si>
    <t>TN602LF0</t>
  </si>
  <si>
    <t>TN8905F0</t>
  </si>
  <si>
    <t>DT2022E0</t>
  </si>
  <si>
    <t>Ручной отпариватель Tefal DT-2022</t>
  </si>
  <si>
    <t>Ручной отпариватель Tefal DT-2026</t>
  </si>
  <si>
    <t>Ручной отпариватель Tefal DT-8270</t>
  </si>
  <si>
    <t>Сковорода для блинов 25см Brut Tefal 4220525</t>
  </si>
  <si>
    <t>TN8930F0</t>
  </si>
  <si>
    <t>Мультитриммер Rowenta TN-8930F0</t>
  </si>
  <si>
    <t>Пылесос вертикальный Tefal TY6753WO [аккумулятор Li-Ion, до 45 мин, сухая, контейнер, 0.6 л, красный]</t>
  </si>
  <si>
    <t>Пылесос вертикальный Tefal TY9179WO [аккумулятор Li-Ion, до 70 мин, сухая, контейнер, 0.5 л, рег. мощности на рукоятке, HEPA, фиолетовый]</t>
  </si>
  <si>
    <t>Пылесос вертикальный Tefal TY9472WO [аккумулятор Li-Ion, до 35 мин, сухая, циклонный фильтр, 0.4 л, бело-зеленый]</t>
  </si>
  <si>
    <t>DT2022E1</t>
  </si>
  <si>
    <t>Ручной отпариватель TEFAL Pure Pop DT2022E1 (красный)</t>
  </si>
  <si>
    <t>Парогенератор Tefal Express Vision SV8151E0</t>
  </si>
  <si>
    <t>Гладильная система Tefal SV-8130</t>
  </si>
  <si>
    <t>FV9848E0</t>
  </si>
  <si>
    <t>Утюг Tefal FV-9848</t>
  </si>
  <si>
    <t>BM9661S1</t>
  </si>
  <si>
    <t>DT3041E1</t>
  </si>
  <si>
    <t>Аксессуар для вафель TEFAL XA 724810</t>
  </si>
  <si>
    <t>Вертикальный пылесос TEFAL GF 3039WO</t>
  </si>
  <si>
    <t>Ручной блендер MOULINEX DD 55W110</t>
  </si>
  <si>
    <t>CF471LF0</t>
  </si>
  <si>
    <t>DT2024E0</t>
  </si>
  <si>
    <t>DT7170E1</t>
  </si>
  <si>
    <t>DW4345D1</t>
  </si>
  <si>
    <t>E2324074</t>
  </si>
  <si>
    <t>TN9400F4</t>
  </si>
  <si>
    <t>Мультитриммер ROWENTA TN 9400F4</t>
  </si>
  <si>
    <t>SF1628F0</t>
  </si>
  <si>
    <t>Прибор для распрямления волос ROWENTA SF 1628 F0</t>
  </si>
  <si>
    <t>DD55W110</t>
  </si>
  <si>
    <t>Ручной блендер MOULINEX HB 65KD38</t>
  </si>
  <si>
    <t>Средство для чистки KRUPS F-054001B (для удаления накипи)</t>
  </si>
  <si>
    <t>Утюг TEFAL FV 2839 E0</t>
  </si>
  <si>
    <t>Беспроводной вертикальный моющий пылесос Tefal X-Combo GF-3039</t>
  </si>
  <si>
    <t>Утюг Tefal FV-8043</t>
  </si>
  <si>
    <t>Набор десертные нож и вилка NUOVA WMF 1291606040</t>
  </si>
  <si>
    <t>Утюг Rowenta Express Steam DW4308D1</t>
  </si>
  <si>
    <t>Стайлер для волос Rowenta Karl Lagerfeld CF471LF0</t>
  </si>
  <si>
    <t>Погружной блендер Moulinex DD55W110 Yummy Gourmet</t>
  </si>
  <si>
    <t>Погружной блендер Tefal HB65KD38 Quickchef</t>
  </si>
  <si>
    <t>CV4753F1</t>
  </si>
  <si>
    <t>Фен Rowenta Nomad CV4753F1</t>
  </si>
  <si>
    <t>EA829810</t>
  </si>
  <si>
    <t>GC774D30</t>
  </si>
  <si>
    <t>GC716D12</t>
  </si>
  <si>
    <t>TY99G1WO</t>
  </si>
  <si>
    <t>YT4050E1</t>
  </si>
  <si>
    <t>Паровая система для ухода за одеждой Tefal CARE FOR YOU / YT4050E1</t>
  </si>
  <si>
    <t>Вертикальный пылесос Tefa X-FORCE FLEX 9.60 AQUA / TY20C4WO</t>
  </si>
  <si>
    <t>Беспроводной пылесос  Tefal / X-FORCE FLEX 9.60 ANIMAL AUTO TY2079WO</t>
  </si>
  <si>
    <t>Вертикальный пылесос Tefal X-Force Flex 15.60 / TY99G1WO</t>
  </si>
  <si>
    <t>Гриль Tefal / Optigrill 4in1 GC774D30</t>
  </si>
  <si>
    <t>Гриль Tefal / Optigrill+ GC716D12</t>
  </si>
  <si>
    <t>Мультиварка-скороварка Ultimate Pressure Cooker Tefal / CY625D32</t>
  </si>
  <si>
    <t>Кофемашина Krups Evidene / EA894810</t>
  </si>
  <si>
    <t>Кофемашина Krups Evidence / EA891810</t>
  </si>
  <si>
    <t>Кофемашина Krups Espresseria / EA829810</t>
  </si>
  <si>
    <t>Вертикальный пылесос TEFAL TY 20C4WO</t>
  </si>
  <si>
    <t>Вертикальный пылесос TEFAL TY 99G1WO</t>
  </si>
  <si>
    <t>Настольный гриль TEFAL GC 774D30</t>
  </si>
  <si>
    <t>Настольный гриль TEFAL GC 716D12</t>
  </si>
  <si>
    <t>Набор посуды TEFAL E313S674 Jamie Oliver Kitchen essentials (6 пр)</t>
  </si>
  <si>
    <t>Набор посуды TEFAL C973SB34 Comfort max (11 пр)</t>
  </si>
  <si>
    <t>Вертикальный моющий пылесос Tefal TY-20C4WO</t>
  </si>
  <si>
    <t>Вертикальный моющий пылесос Tefal TY-99G1WO</t>
  </si>
  <si>
    <t>Гриль Tefal GC-774D30</t>
  </si>
  <si>
    <t>Гриль Tefal GC-716D12</t>
  </si>
  <si>
    <t>TW7976EA</t>
  </si>
  <si>
    <t>EA877D10</t>
  </si>
  <si>
    <t>G712SA55</t>
  </si>
  <si>
    <t>Новинка!</t>
  </si>
  <si>
    <t>TW7941EA</t>
  </si>
  <si>
    <t>EA910810</t>
  </si>
  <si>
    <t xml:space="preserve">Category </t>
  </si>
  <si>
    <t>Category 2</t>
  </si>
  <si>
    <t>Артикул</t>
  </si>
  <si>
    <t>Название</t>
  </si>
  <si>
    <t>% При не выполнении</t>
  </si>
  <si>
    <t>%При выполнении</t>
  </si>
  <si>
    <t>Бонус при выполнении</t>
  </si>
  <si>
    <t>Knives</t>
  </si>
  <si>
    <t>Cookware</t>
  </si>
  <si>
    <t>Cookware (pots)</t>
  </si>
  <si>
    <t>Набор кастрюль FT Functional T 4-пр. (Черный)</t>
  </si>
  <si>
    <t>SDA</t>
  </si>
  <si>
    <t>Кухонная машина PROFI PLUS (серый)</t>
  </si>
  <si>
    <t>Набор кастрюль 4 пр Rose Quartz FUSIONTEC</t>
  </si>
  <si>
    <t>Набор кастрюль 4 пр. FUNCTION 4</t>
  </si>
  <si>
    <t>Кухонная машина KITCHENminis (серый)</t>
  </si>
  <si>
    <t xml:space="preserve">Высокоскоростной блендер KULT Pro </t>
  </si>
  <si>
    <t xml:space="preserve">Блок с ножами 5 пр GRAND GOURMET </t>
  </si>
  <si>
    <t>Гриль Profi Plus Perfection</t>
  </si>
  <si>
    <t>Мясорубка Profi Plus</t>
  </si>
  <si>
    <t>Пароварка LONO Sous-vide</t>
  </si>
  <si>
    <t>Cutlery</t>
  </si>
  <si>
    <t>Cutlery + Nuova</t>
  </si>
  <si>
    <t>Набор столовых приборов Kineo 30 пр.</t>
  </si>
  <si>
    <t>Набор ножей 6 пр. SPITZENKLASSE</t>
  </si>
  <si>
    <t>Эспрессо машина LUMERO</t>
  </si>
  <si>
    <t>Столовые приборы 30 пр. KENT</t>
  </si>
  <si>
    <t>Тостер со стеклянными стенками LONO</t>
  </si>
  <si>
    <t>Блок с ножами Sequence 6пр.</t>
  </si>
  <si>
    <t>Набор кастрюль 5 пр. PROVENCE PLUS</t>
  </si>
  <si>
    <t>Кастрюля 24 см Functional Platinum FUSIONTEC</t>
  </si>
  <si>
    <t>Блок с ножами Kineo 6пр.</t>
  </si>
  <si>
    <t>Мультифункциональная станция 3в1 - Гриль, Раклет и Фондю</t>
  </si>
  <si>
    <t xml:space="preserve">Электрический заварочный чайник LUMERO 1,7 л. </t>
  </si>
  <si>
    <t>Кастрюля FT Functional T 20см (Черная)</t>
  </si>
  <si>
    <t>Хлебопечка KULT X</t>
  </si>
  <si>
    <t>Низкая кастрюля FT Functional T 20см (Черная)</t>
  </si>
  <si>
    <t>Кастрюля 24 см FUNCTION 4</t>
  </si>
  <si>
    <t xml:space="preserve">Тостер Long Slot Lumero
</t>
  </si>
  <si>
    <t>Кастрюля 24 см Rose Quartz FUSIONTEC</t>
  </si>
  <si>
    <t>Чайник WMF 413160711 (Glass Lono)</t>
  </si>
  <si>
    <t xml:space="preserve">Вакуумный упаковщик LONO </t>
  </si>
  <si>
    <t>Столовые приборы 30 пр.  BOSTON</t>
  </si>
  <si>
    <t>Набор кухонных ножей 3 пр. SPITZENKLASSE</t>
  </si>
  <si>
    <t>Соковыжималка для цитрусовых Profi Plus</t>
  </si>
  <si>
    <t>Электрический блендер KULT PRO</t>
  </si>
  <si>
    <t>Кофеварка со стеклянной колбой LUMERO Glass Coffee</t>
  </si>
  <si>
    <t>Фритюрница KITCHENminis</t>
  </si>
  <si>
    <t>Электрическая пароварка KITCHENminis</t>
  </si>
  <si>
    <t xml:space="preserve">Кастрюля 24 см WMF Function 4 </t>
  </si>
  <si>
    <t>Электрический чайник LUMERO 1,7л</t>
  </si>
  <si>
    <t>Кастрюля  20 см Rose Quartz FUSIONTEC</t>
  </si>
  <si>
    <t xml:space="preserve">Кастрюля 20 см Function 4 </t>
  </si>
  <si>
    <t>Ковш FT Functional T 16см (Черный)</t>
  </si>
  <si>
    <t>Низкая кастрюля 20 см Rose Quartz FUSIONTEC</t>
  </si>
  <si>
    <t xml:space="preserve">Электрическая сушилка для овощей и фруктов KITCHENminis </t>
  </si>
  <si>
    <t xml:space="preserve">Электрический чайник 1,7л LONO </t>
  </si>
  <si>
    <t>Электрический чайник (заварочный чайник)  1л  KITCHENminis</t>
  </si>
  <si>
    <t>Электрический погружной блендер LINEO</t>
  </si>
  <si>
    <t>Электрический капучинатор LUMERO</t>
  </si>
  <si>
    <t>Набор ножей Kineo 3пр.</t>
  </si>
  <si>
    <t xml:space="preserve">Китайский нож 15 см GRAND GOURMET </t>
  </si>
  <si>
    <t>Насадка для пасты (таглиателли) для кухонной машины PROFI PLUS</t>
  </si>
  <si>
    <t>Насадка для пасты (спагетти) для кухонной машины PROFI PLUS</t>
  </si>
  <si>
    <t>Электрический заварочный чайник Kineo 1,6 л.</t>
  </si>
  <si>
    <t>Кастрюля низкая 20 см Function 4</t>
  </si>
  <si>
    <t>Насадка для приготовления пасты</t>
  </si>
  <si>
    <t>WMF KULT X Mono Induction hob</t>
  </si>
  <si>
    <t>Поварской нож 20 см GRAND GOURMET</t>
  </si>
  <si>
    <t>Frying pans</t>
  </si>
  <si>
    <t>Высокая сковорода 28 см  Profi Resist</t>
  </si>
  <si>
    <t>Сотейник 28см HEXAGON PROFI RESIST</t>
  </si>
  <si>
    <t>Столовые приборы 30 пр. PALMA</t>
  </si>
  <si>
    <t>Нож Сантоку 18см GRAND GOURMET</t>
  </si>
  <si>
    <t>Сковорода 28см Hexagon PROFI RESIST</t>
  </si>
  <si>
    <t>Овощерезка KITCHENminis salad-to-go</t>
  </si>
  <si>
    <t>Accessories</t>
  </si>
  <si>
    <t>Kitchen helpers (accessories)</t>
  </si>
  <si>
    <t>Набор аксессуаров 7пр.PROFI PLUS</t>
  </si>
  <si>
    <t>Ковш  16 см Rose Quartz FUSIONTEC</t>
  </si>
  <si>
    <t xml:space="preserve">Чайник стеклянный 1л KITCHENminis 
</t>
  </si>
  <si>
    <t>Drinking</t>
  </si>
  <si>
    <t>Кофейник для эспрессо на 6 чашек KULT</t>
  </si>
  <si>
    <t>Сковорода гриль 28х28 см PERMADUR PREMIUM</t>
  </si>
  <si>
    <t>Сковорода с высокими бортами 28 см PERMADUR PREMIUM</t>
  </si>
  <si>
    <t>Набор сомелье 5 предмета. BARIC</t>
  </si>
  <si>
    <t>Сотейник-стимер с крышкой 28 см VITALIS</t>
  </si>
  <si>
    <t>Электрический блендер 0.8 л KITCHENminis</t>
  </si>
  <si>
    <t>Набор столовых приборов 24 пр. PALERMO</t>
  </si>
  <si>
    <t>Охладитель для вина и шампанского AMBIENT</t>
  </si>
  <si>
    <t>Ковш 16 см с крышкой FUNCTION 4</t>
  </si>
  <si>
    <t>Разделочный нож 20см GRAND GOURMET</t>
  </si>
  <si>
    <t>Нож для хлеба с двойными зубчиками GRAND GOURMET</t>
  </si>
  <si>
    <t>Чайник заварочный SENSITEA</t>
  </si>
  <si>
    <t>Шеф нож 15 см GRAND GOURMET</t>
  </si>
  <si>
    <t xml:space="preserve">Электрический чайник 1,6л LONO </t>
  </si>
  <si>
    <t>Блок для ножей</t>
  </si>
  <si>
    <t>Сковорода 24см Hexagon PROFI RESIST</t>
  </si>
  <si>
    <t>Сковорода 28 см PERMADUR PREMIUM</t>
  </si>
  <si>
    <t>Электрическая мороженица KITCHENminis</t>
  </si>
  <si>
    <t>Чайник заварочный с подставкой для подогрева SmarTea</t>
  </si>
  <si>
    <t>Насадка-овощерезка для кухонной машины PROFI PLUS</t>
  </si>
  <si>
    <t>Насадка-мясорубка для кухонной машины PROFI PLUS</t>
  </si>
  <si>
    <t>Сковорода 24 см PERMADUR PREMIUM</t>
  </si>
  <si>
    <t>Нож для филе 16 см GRAND GOURMET</t>
  </si>
  <si>
    <t>Мусат 23 см GRAND GOURMET</t>
  </si>
  <si>
    <t>Аппарат для приготовления попкорна</t>
  </si>
  <si>
    <t>Электрический тостер LONO</t>
  </si>
  <si>
    <t xml:space="preserve">Сковорода 28см PERMADUR EXCELL </t>
  </si>
  <si>
    <t>Кофейник KULT</t>
  </si>
  <si>
    <t>Контейнер 3 пр TOP SERVE</t>
  </si>
  <si>
    <t>Нож поварской 20 см SPITZENKLASSE</t>
  </si>
  <si>
    <t>Блендер KITCHENminis smoothie-to-go</t>
  </si>
  <si>
    <t>Нож для хлеба SPITZENKLASSE P</t>
  </si>
  <si>
    <t>Универсальный нож 12 см GRAND GOURMET</t>
  </si>
  <si>
    <t>Сковорода 24см PERMADUR EXCELL</t>
  </si>
  <si>
    <t>Портативный блендер Mix on the go KITCHENminis</t>
  </si>
  <si>
    <t>Электрический ручной миксер KULT X</t>
  </si>
  <si>
    <t>Нож для овощей 9 см GRAND GOURMET</t>
  </si>
  <si>
    <t>Разделочный нож 16 см WMF SPITZENKLASSE</t>
  </si>
  <si>
    <t xml:space="preserve">Универсальный нож 14 см SPITZENKLASSE </t>
  </si>
  <si>
    <t>Сковорода для блинов 27см DEVIL</t>
  </si>
  <si>
    <t xml:space="preserve">Чайник-термос Kineo 1 л. </t>
  </si>
  <si>
    <t>Нож для филе 17 см SPITZENKLASSE</t>
  </si>
  <si>
    <t>Разделочная доска из акации 40х32х4 см ACACIA</t>
  </si>
  <si>
    <t>Графин для воды 1.5 л с ручкой BASIC</t>
  </si>
  <si>
    <t>Ведро для вина MANHATTAN</t>
  </si>
  <si>
    <t>Кофейник френч-пресс COFFEE TIME</t>
  </si>
  <si>
    <t>Декантер на подставке JETTE</t>
  </si>
  <si>
    <t>Мельница д/специй на бат. CERAMILL</t>
  </si>
  <si>
    <t>Набор столовых приборов с собой My2go</t>
  </si>
  <si>
    <t xml:space="preserve">Универсальный нож 12 см SPITZENKLASSE </t>
  </si>
  <si>
    <t>Чайник со свистков 1,5 л ORBIT</t>
  </si>
  <si>
    <t>Электрическая яйцеварка KITCHENminis (на 2 яйца)</t>
  </si>
  <si>
    <t>Терка Top Tools</t>
  </si>
  <si>
    <t>Children series</t>
  </si>
  <si>
    <t>Детский набор 6 пр. CARS</t>
  </si>
  <si>
    <t>Набор мисок 4 пр GOURMET KUECHE</t>
  </si>
  <si>
    <t xml:space="preserve">Детский набор 6 пр. PRINCESS </t>
  </si>
  <si>
    <t>Набор графин для воды 1л, 2 стакана для воды 0,25 л BASIC</t>
  </si>
  <si>
    <t>Детский набор 6 пр. FROZEN</t>
  </si>
  <si>
    <t>Детский набор 6 пр.  MICKEY MOUSE</t>
  </si>
  <si>
    <t>Детский набор столовых приборов 6 пр. MINIONS</t>
  </si>
  <si>
    <t>Нож сомелье VINO</t>
  </si>
  <si>
    <t>Детский набор 6 пр.  JUNGLE BOOK</t>
  </si>
  <si>
    <t>Детский набор 6 пр. UNICORN</t>
  </si>
  <si>
    <t>Детский набор 6 пр. The Lion King</t>
  </si>
  <si>
    <t>Детский набор 6 пр. PRINZESSIN ANNELI</t>
  </si>
  <si>
    <t>Нож для овощей SPITZENKLASSE</t>
  </si>
  <si>
    <t>Графин для воды 1.5 л BASIC</t>
  </si>
  <si>
    <t>Мельница электрическая черная CERAMILL</t>
  </si>
  <si>
    <t>Мусат 23 см SPITZENKLASSE</t>
  </si>
  <si>
    <t>Крышка для сковороды  28см</t>
  </si>
  <si>
    <t>Набор для салата 3пр. большой TAVERNO</t>
  </si>
  <si>
    <t>Графин 1.25 l, Motion</t>
  </si>
  <si>
    <t>Штопор VINO</t>
  </si>
  <si>
    <t>Набор для торта 13 пр. NUOVA</t>
  </si>
  <si>
    <t>Крышка для сковороды 24см</t>
  </si>
  <si>
    <t>Набор ножей для стейка 6 шт. NUOVA</t>
  </si>
  <si>
    <t>Детский набор столовых приборов 4 пр. MINIONS</t>
  </si>
  <si>
    <t>Детские приборы 4 пр. WINNIE THE POOH</t>
  </si>
  <si>
    <t>Подставка для горячих блюд</t>
  </si>
  <si>
    <t>Помпа для вина VINO</t>
  </si>
  <si>
    <t>Детские приборы 4 пр. SAFARI</t>
  </si>
  <si>
    <t>Молоток для мяса 25см PROFI PLUS</t>
  </si>
  <si>
    <t>Пресс д/чеснока 17,5см PROFI PLUS</t>
  </si>
  <si>
    <t>Нож консервный 23см PROFI PLUS</t>
  </si>
  <si>
    <t>Разделочная доска со сливом 38х25 см</t>
  </si>
  <si>
    <t>Шумовка 30 см PROFI PLUS</t>
  </si>
  <si>
    <t>Кухонные ножницы с открывалкой</t>
  </si>
  <si>
    <t>Пресс для картофеля 28см PROFI PLUS</t>
  </si>
  <si>
    <t>Набор для сыра 2пр. NUOVA</t>
  </si>
  <si>
    <t>Стаканы для 2 шт. ICE TEA</t>
  </si>
  <si>
    <t>Термокружка 0.35 л (цвет медный) IMPULSE</t>
  </si>
  <si>
    <t>Термокружка 0.35 л нержавеющая сталь IMPULSE</t>
  </si>
  <si>
    <t>Кухонные весы черные</t>
  </si>
  <si>
    <t>Венчик 27см  PROFI PLUS</t>
  </si>
  <si>
    <t>Половник д/супа 30 см PROFI PLUS</t>
  </si>
  <si>
    <t>Половник для соуса 27см PROFI PLUS</t>
  </si>
  <si>
    <t>Лопатка пластиковая 32см PROFI PLUS</t>
  </si>
  <si>
    <t>Ложка для мороженого</t>
  </si>
  <si>
    <t>Набор для соли/перца BASIC</t>
  </si>
  <si>
    <t>Стакан для латте 0,23л 4пр. COFFEE TIME</t>
  </si>
  <si>
    <t>Нож для пиццы 21см PROFI PLUS</t>
  </si>
  <si>
    <t>Ложки Long Drink набор 6 пр. NUOVA</t>
  </si>
  <si>
    <t>Набор 2 чашки, 2 ложки S Mickey Mouse</t>
  </si>
  <si>
    <t>Нож для срезания фольги с бутылки VINO</t>
  </si>
  <si>
    <t>Венчик 30см PROFI PLUS</t>
  </si>
  <si>
    <t>Ложка для спагетти 32см PROFI PLUS</t>
  </si>
  <si>
    <t>Пробка для вина VINO</t>
  </si>
  <si>
    <t>Ложка сервировочная 32см PROFI PLUS</t>
  </si>
  <si>
    <t>Нож для сыра PROFI PLUS</t>
  </si>
  <si>
    <t>Вилка для мяса PROFI PLUS</t>
  </si>
  <si>
    <t>Масленка KNACKIG</t>
  </si>
  <si>
    <t>Штопор CLEVER &amp; MORE</t>
  </si>
  <si>
    <t>Щипцы для пасты 25см NUOVA</t>
  </si>
  <si>
    <t>Сервировочные щипцы NUOVA</t>
  </si>
  <si>
    <t>Набор ложек д/латте 6шт. NUOVA</t>
  </si>
  <si>
    <t>Солонка/перечница 2шт.</t>
  </si>
  <si>
    <t>Набор вилок для торта 6шт. NUOVA</t>
  </si>
  <si>
    <t>Сито для чая погружное размер S 4см TEA TIME</t>
  </si>
  <si>
    <t>Салатная пара 25 см NUOVA</t>
  </si>
  <si>
    <t>Детская ложка WINNIE THE POOH DISNEY</t>
  </si>
  <si>
    <t>Нож для сердцевины яблок PROFI PLUS</t>
  </si>
  <si>
    <t>Нож сомелье</t>
  </si>
  <si>
    <t>Кисточка силиконовая PROFI PLUS</t>
  </si>
  <si>
    <t>Щипцы для пасты NEUTRALE AKTIONEN</t>
  </si>
  <si>
    <t>Нож для чистки 19см PROFI PLUS</t>
  </si>
  <si>
    <t>Мыло против запаха GOURMET KUECHE</t>
  </si>
  <si>
    <t>Чистящая щетка BASIC</t>
  </si>
  <si>
    <t>Сервировочная ложка 25см NUOVA</t>
  </si>
  <si>
    <t>Пробка для шампанского CLEVER &amp; MORE</t>
  </si>
  <si>
    <t>Спираль для фруктов 2шт BASIC</t>
  </si>
  <si>
    <t>Ложка для подачи овощей NUOVA</t>
  </si>
  <si>
    <t>Сервировочная вилка NUOVA</t>
  </si>
  <si>
    <t>Термометр для вина CLEVER&amp;MORE</t>
  </si>
  <si>
    <t>Пробка универсальная VINO</t>
  </si>
  <si>
    <t>Набор десертные ложка и вилка NUOVA</t>
  </si>
  <si>
    <t>Пробка Clever&amp;More</t>
  </si>
  <si>
    <t xml:space="preserve">Подставка для яйца с ложкой розовая MCEGG </t>
  </si>
  <si>
    <t xml:space="preserve">Подставка для яйца с ложкой лимонная MCEGG </t>
  </si>
  <si>
    <t>ФОКУСЫ WMF ПРИВЯЗАНЫ К ВЫПОЛНЕНИЮ ПЛАНА ПО ОБЩЕЙ ДОЛЕ</t>
  </si>
  <si>
    <t>FV8082E0</t>
  </si>
  <si>
    <t>EY145810</t>
  </si>
  <si>
    <t>НОВИНКА!</t>
  </si>
  <si>
    <t>TW7B11EA</t>
  </si>
  <si>
    <t>TW7B33EA</t>
  </si>
  <si>
    <t>TW7C71EA</t>
  </si>
  <si>
    <t>TW7C89EA</t>
  </si>
  <si>
    <t>C4251913</t>
  </si>
  <si>
    <t>C4250613</t>
  </si>
  <si>
    <t>C4250513</t>
  </si>
  <si>
    <t>C4250413</t>
  </si>
  <si>
    <t>DD67G810</t>
  </si>
  <si>
    <t>DD673B10</t>
  </si>
  <si>
    <t>YT2020E0</t>
  </si>
  <si>
    <t>EY505D15</t>
  </si>
  <si>
    <t>QB951DF0</t>
  </si>
  <si>
    <t>EY801D15</t>
  </si>
  <si>
    <t>GC782D30</t>
  </si>
  <si>
    <t>CY912832</t>
  </si>
  <si>
    <t>TY9L42WO</t>
  </si>
  <si>
    <t>TY9LC1WO</t>
  </si>
  <si>
    <t>RG9475WH</t>
  </si>
  <si>
    <t>RG9695WH</t>
  </si>
  <si>
    <t>L7638942</t>
  </si>
  <si>
    <t>L3969202</t>
  </si>
  <si>
    <t>TW7B70EA</t>
  </si>
  <si>
    <t>EY905D10</t>
  </si>
  <si>
    <t>GF5035F0</t>
  </si>
  <si>
    <t>EY855D10</t>
  </si>
  <si>
    <t>RG9177WH</t>
  </si>
  <si>
    <t>RG9197WH</t>
  </si>
  <si>
    <t>Аэрогрили</t>
  </si>
  <si>
    <t>Фокусы привязанные к выполнению плана "Общая доля магазина"</t>
  </si>
  <si>
    <t>Фокусы привязанные к выполнению штучного  плана "Кофемашины"</t>
  </si>
  <si>
    <t>Фокусы привязанные к выполнению плана "Парогенераторы/Утюги"</t>
  </si>
  <si>
    <t>Блендера погружные</t>
  </si>
  <si>
    <t>Фокусы привязанные к выполнению плана "Посуда"</t>
  </si>
  <si>
    <t>Фокусы привязанные к выполнению плана "Холодная Кухня"</t>
  </si>
  <si>
    <t>DD94L810</t>
  </si>
  <si>
    <t>QB161H38</t>
  </si>
  <si>
    <t>EA912B10</t>
  </si>
  <si>
    <t>LM190AF0</t>
  </si>
  <si>
    <t>HY8310F0</t>
  </si>
  <si>
    <t xml:space="preserve">CF9840F0 </t>
  </si>
  <si>
    <t>EY9428E0</t>
  </si>
  <si>
    <t>Фокусы привязанные к выполнению плана "Вертикальные , вошеры, контейнерные пылесосы"</t>
  </si>
  <si>
    <t>RPP NEW</t>
  </si>
  <si>
    <t>QT2028F0</t>
  </si>
  <si>
    <t>GC520DE0</t>
  </si>
  <si>
    <t>EA898GF0</t>
  </si>
  <si>
    <t>Фокусы привязанные к выполнению плана "Аэрогрили"</t>
  </si>
  <si>
    <t>MY741CF2</t>
  </si>
  <si>
    <t>DD94G8F0</t>
  </si>
  <si>
    <t>QT1811E0</t>
  </si>
  <si>
    <t>EY5728E1</t>
  </si>
  <si>
    <t>EY5568E0</t>
  </si>
  <si>
    <t xml:space="preserve">UB9720E0 </t>
  </si>
  <si>
    <t>% Выполнение ниже плана</t>
  </si>
  <si>
    <t xml:space="preserve"> Выполнение  выше плана</t>
  </si>
  <si>
    <t>EY8218F0</t>
  </si>
  <si>
    <t>IT3480E1</t>
  </si>
  <si>
    <t>GF7540FO</t>
  </si>
  <si>
    <t>TW4B75EA</t>
  </si>
  <si>
    <t>ИТОГ Фокусы привязанные к выполнению плана "Общая доля магазина"</t>
  </si>
  <si>
    <t>Итог все фокусы (ТОТАЛ )</t>
  </si>
  <si>
    <t>ИТОГ Фокусы привязанные к выполнению плана "Посуда"</t>
  </si>
  <si>
    <t>ИТОГ Фокусы привязанные к выполнению плана "Холодная Кухня"</t>
  </si>
  <si>
    <t>ИТОГ Фокусы привязанные к выполнению плана "Аэрогрили"</t>
  </si>
  <si>
    <t>ИТОГ Фокусы привязанные к выполнению плана "Парогенераторы/Утюги"</t>
  </si>
  <si>
    <t>ИТОГ Фокусы привязанные к выполнению плана "Вертикальные , вошеры, контейнерные пылесосы"</t>
  </si>
  <si>
    <t>ИТОГ Фокусы привязанные к выполнению штучного  плана "Кофемашины"</t>
  </si>
  <si>
    <t xml:space="preserve">LM871D10 </t>
  </si>
  <si>
    <t xml:space="preserve">LM87G810 </t>
  </si>
  <si>
    <t xml:space="preserve">LM871A10 </t>
  </si>
  <si>
    <t>QB525838</t>
  </si>
  <si>
    <t>QB522838</t>
  </si>
  <si>
    <t>QB521B38</t>
  </si>
  <si>
    <t>G1808604</t>
  </si>
  <si>
    <t>G1672504</t>
  </si>
  <si>
    <t>G1662504</t>
  </si>
  <si>
    <t>G1668704</t>
  </si>
  <si>
    <t>G1748704</t>
  </si>
  <si>
    <t>G1678704</t>
  </si>
  <si>
    <t>G719S655</t>
  </si>
  <si>
    <t>L7629242</t>
  </si>
  <si>
    <t>L896SD04</t>
  </si>
  <si>
    <t>Не заполнять, Считается автоматически</t>
  </si>
  <si>
    <t>GF5555F0</t>
  </si>
  <si>
    <t>GV9823E1</t>
  </si>
  <si>
    <t>TY9AC1WO</t>
  </si>
  <si>
    <t>DT8720E0</t>
  </si>
  <si>
    <t>DT9810F1</t>
  </si>
  <si>
    <t>HY8120F0</t>
  </si>
  <si>
    <t>HY8140F0</t>
  </si>
  <si>
    <t>EY8328E0</t>
  </si>
  <si>
    <t>Мотивация!</t>
  </si>
  <si>
    <t>CF8C20E0</t>
  </si>
  <si>
    <t>IZ5020F0</t>
  </si>
  <si>
    <t>GV9920E0</t>
  </si>
  <si>
    <t>RG8L65WH</t>
  </si>
  <si>
    <t>RG8L85WH</t>
  </si>
  <si>
    <t>CV613LF0</t>
  </si>
  <si>
    <t>HY7120E0</t>
  </si>
  <si>
    <t>IT8480E1</t>
  </si>
  <si>
    <t xml:space="preserve">GF5736F4 </t>
  </si>
  <si>
    <t>FV9E50E0</t>
  </si>
  <si>
    <t>IZ5011F0</t>
  </si>
  <si>
    <t>FV9852E0</t>
  </si>
  <si>
    <t>EY552DE0</t>
  </si>
  <si>
    <t>EY5728E0</t>
  </si>
  <si>
    <t>UB9530F0</t>
  </si>
  <si>
    <t>UB9540F0</t>
  </si>
  <si>
    <t>UB9820E0</t>
  </si>
  <si>
    <t>HY5N10E0​</t>
  </si>
  <si>
    <t>HY5N11E0</t>
  </si>
  <si>
    <t>HY5N12E0​</t>
  </si>
  <si>
    <t>SF7120E0</t>
  </si>
  <si>
    <t>SF8120F0</t>
  </si>
  <si>
    <t>Посуда</t>
  </si>
  <si>
    <t>EA201BE0</t>
  </si>
  <si>
    <t>EY8618E0</t>
  </si>
  <si>
    <t>Мотивация</t>
  </si>
  <si>
    <t>QT1214E0</t>
  </si>
  <si>
    <t>IT3280E1</t>
  </si>
  <si>
    <t>IZ7010F0</t>
  </si>
  <si>
    <t>IZ7021F0</t>
  </si>
  <si>
    <t>GF5426F4</t>
  </si>
  <si>
    <t>TY7AD5E0</t>
  </si>
  <si>
    <t>TY7A73E0</t>
  </si>
  <si>
    <t>K297S644</t>
  </si>
  <si>
    <t xml:space="preserve">K297S744 </t>
  </si>
  <si>
    <t>EA879EE0</t>
  </si>
  <si>
    <t>SA403BE0</t>
  </si>
  <si>
    <t>UB9810F1</t>
  </si>
  <si>
    <t>UB9830E0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</si>
</sst>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4" x14ac:knownFonts="1">
    <font>
      <sz val="11"/>
      <color theme="1"/>
      <name val="Calibri"/>
      <family val="2"/>
      <scheme val="minor"/>
    </font>
    <font>
      <sz val="11"/>
      <color theme="1"/>
      <name val="Calibri"/>
      <family val="2"/>
      <charset val="204"/>
      <scheme val="minor"/>
    </font>
    <font>
      <sz val="11"/>
      <color theme="1"/>
      <name val="Calibri"/>
      <family val="2"/>
      <scheme val="minor"/>
    </font>
    <font>
      <b/>
      <sz val="11"/>
      <color theme="1"/>
      <name val="Calibri"/>
      <family val="2"/>
      <charset val="204"/>
      <scheme val="minor"/>
    </font>
    <font>
      <b/>
      <sz val="10"/>
      <color theme="1"/>
      <name val="Calibri"/>
      <family val="2"/>
      <scheme val="minor"/>
    </font>
    <font>
      <sz val="10"/>
      <color theme="1"/>
      <name val="Calibri"/>
      <family val="2"/>
      <scheme val="minor"/>
    </font>
    <font>
      <b/>
      <sz val="10"/>
      <name val="Calibri"/>
      <family val="2"/>
      <scheme val="minor"/>
    </font>
    <font>
      <b/>
      <i/>
      <sz val="10"/>
      <color theme="1"/>
      <name val="Calibri"/>
      <family val="2"/>
      <scheme val="minor"/>
    </font>
    <font>
      <b/>
      <i/>
      <sz val="10"/>
      <name val="Calibri"/>
      <family val="2"/>
      <scheme val="minor"/>
    </font>
    <font>
      <b/>
      <sz val="10"/>
      <color rgb="FF000000"/>
      <name val="Calibri"/>
      <family val="2"/>
    </font>
    <font>
      <b/>
      <sz val="10"/>
      <color theme="1"/>
      <name val="Calibri"/>
      <family val="2"/>
      <charset val="204"/>
      <scheme val="minor"/>
    </font>
    <font>
      <sz val="14"/>
      <color theme="1"/>
      <name val="Calibri"/>
      <family val="2"/>
      <scheme val="minor"/>
    </font>
    <font>
      <b/>
      <sz val="14"/>
      <color theme="1"/>
      <name val="Calibri"/>
      <family val="2"/>
      <scheme val="minor"/>
    </font>
    <font>
      <b/>
      <sz val="10"/>
      <color rgb="FFFF00FF"/>
      <name val="Calibri"/>
      <family val="2"/>
      <scheme val="minor"/>
    </font>
    <font>
      <b/>
      <sz val="10"/>
      <color rgb="FFC00000"/>
      <name val="Calibri"/>
      <family val="2"/>
      <scheme val="minor"/>
    </font>
    <font>
      <sz val="10"/>
      <color rgb="FFC00000"/>
      <name val="Calibri"/>
      <family val="2"/>
      <scheme val="minor"/>
    </font>
    <font>
      <b/>
      <sz val="10"/>
      <name val="Calibri"/>
      <family val="2"/>
    </font>
    <font>
      <sz val="10"/>
      <color rgb="FFFF00FF"/>
      <name val="Calibri"/>
      <family val="2"/>
      <scheme val="minor"/>
    </font>
    <font>
      <b/>
      <i/>
      <sz val="10"/>
      <color rgb="FFC00000"/>
      <name val="Calibri"/>
      <family val="2"/>
      <charset val="204"/>
      <scheme val="minor"/>
    </font>
    <font>
      <b/>
      <i/>
      <sz val="10"/>
      <color theme="1"/>
      <name val="Calibri"/>
      <family val="2"/>
      <charset val="204"/>
      <scheme val="minor"/>
    </font>
    <font>
      <b/>
      <sz val="14"/>
      <color theme="1"/>
      <name val="Calibri"/>
      <family val="2"/>
      <charset val="204"/>
      <scheme val="minor"/>
    </font>
    <font>
      <sz val="10"/>
      <color rgb="FFFF0000"/>
      <name val="Calibri"/>
      <family val="2"/>
      <charset val="204"/>
      <scheme val="minor"/>
    </font>
    <font>
      <b/>
      <i/>
      <sz val="10"/>
      <name val="Calibri"/>
      <family val="2"/>
      <charset val="204"/>
      <scheme val="minor"/>
    </font>
    <font>
      <i/>
      <sz val="10"/>
      <color theme="1"/>
      <name val="Calibri"/>
      <family val="2"/>
      <charset val="204"/>
      <scheme val="minor"/>
    </font>
  </fonts>
  <fills count="1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99FF99"/>
        <bgColor indexed="64"/>
      </patternFill>
    </fill>
    <fill>
      <patternFill patternType="solid">
        <fgColor theme="2" tint="-9.9978637043366805E-2"/>
        <bgColor indexed="64"/>
      </patternFill>
    </fill>
    <fill>
      <patternFill patternType="solid">
        <fgColor rgb="FF00FF00"/>
        <bgColor indexed="64"/>
      </patternFill>
    </fill>
    <fill>
      <patternFill patternType="solid">
        <fgColor rgb="FF00B050"/>
        <bgColor indexed="64"/>
      </patternFill>
    </fill>
    <fill>
      <patternFill patternType="solid">
        <fgColor rgb="FFFF66FF"/>
        <bgColor indexed="64"/>
      </patternFill>
    </fill>
    <fill>
      <patternFill patternType="solid">
        <fgColor rgb="FFFF00FF"/>
        <bgColor indexed="64"/>
      </patternFill>
    </fill>
    <fill>
      <patternFill patternType="solid">
        <fgColor theme="0" tint="-0.14999847407452621"/>
        <bgColor indexed="64"/>
      </patternFill>
    </fill>
    <fill>
      <patternFill patternType="solid">
        <fgColor rgb="FFFCFBD0"/>
        <bgColor indexed="64"/>
      </patternFill>
    </fill>
    <fill>
      <patternFill patternType="solid">
        <fgColor theme="0" tint="-0.249977111117893"/>
        <bgColor indexed="64"/>
      </patternFill>
    </fill>
    <fill>
      <patternFill patternType="solid">
        <fgColor theme="2" tint="-0.249977111117893"/>
        <bgColor indexed="64"/>
      </patternFill>
    </fill>
  </fills>
  <borders count="4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cellStyleXfs>
  <cellXfs count="245">
    <xf numFmtId="0" fontId="0" fillId="0" borderId="0" xfId="0"/>
    <xf numFmtId="0" fontId="0" fillId="0" borderId="2" xfId="0" applyBorder="1"/>
    <xf numFmtId="164" fontId="0" fillId="0" borderId="2" xfId="4" applyNumberFormat="1" applyFont="1" applyBorder="1"/>
    <xf numFmtId="10" fontId="0" fillId="0" borderId="2" xfId="0" applyNumberFormat="1" applyBorder="1"/>
    <xf numFmtId="164" fontId="0" fillId="0" borderId="0" xfId="4" applyNumberFormat="1" applyFont="1"/>
    <xf numFmtId="0" fontId="3" fillId="8" borderId="2" xfId="0" applyFont="1" applyFill="1" applyBorder="1" applyAlignment="1">
      <alignment horizontal="center" vertical="center"/>
    </xf>
    <xf numFmtId="164" fontId="3" fillId="8" borderId="2" xfId="4" applyNumberFormat="1" applyFont="1" applyFill="1" applyBorder="1" applyAlignment="1">
      <alignment horizontal="center" vertical="center"/>
    </xf>
    <xf numFmtId="0" fontId="3" fillId="8"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5" fillId="0" borderId="0" xfId="0" applyFont="1"/>
    <xf numFmtId="0" fontId="5" fillId="0" borderId="0" xfId="0" applyFont="1" applyAlignment="1">
      <alignment horizontal="center" wrapText="1"/>
    </xf>
    <xf numFmtId="0" fontId="5" fillId="0" borderId="0" xfId="0" applyFont="1" applyAlignment="1">
      <alignment wrapText="1"/>
    </xf>
    <xf numFmtId="0" fontId="5" fillId="0" borderId="0" xfId="0" applyFont="1" applyAlignment="1">
      <alignment horizontal="center"/>
    </xf>
    <xf numFmtId="164" fontId="6" fillId="0" borderId="2" xfId="4" applyNumberFormat="1" applyFont="1" applyFill="1" applyBorder="1" applyAlignment="1">
      <alignment horizontal="center"/>
    </xf>
    <xf numFmtId="165" fontId="6" fillId="0" borderId="2" xfId="1" applyNumberFormat="1" applyFont="1" applyBorder="1" applyAlignment="1">
      <alignment horizontal="center"/>
    </xf>
    <xf numFmtId="165" fontId="4" fillId="0" borderId="3" xfId="2" applyNumberFormat="1" applyFont="1" applyFill="1" applyBorder="1" applyAlignment="1">
      <alignment horizontal="center"/>
    </xf>
    <xf numFmtId="164" fontId="6" fillId="0" borderId="2" xfId="4" applyNumberFormat="1" applyFont="1" applyFill="1" applyBorder="1" applyAlignment="1">
      <alignment horizontal="center" wrapText="1"/>
    </xf>
    <xf numFmtId="164" fontId="6" fillId="0" borderId="13" xfId="4" applyNumberFormat="1" applyFont="1" applyFill="1" applyBorder="1" applyAlignment="1">
      <alignment horizontal="center" wrapText="1"/>
    </xf>
    <xf numFmtId="0" fontId="4" fillId="0" borderId="2" xfId="1" applyFont="1" applyBorder="1" applyAlignment="1">
      <alignment horizontal="center"/>
    </xf>
    <xf numFmtId="165" fontId="4" fillId="0" borderId="2" xfId="2" applyNumberFormat="1" applyFont="1" applyFill="1" applyBorder="1" applyAlignment="1">
      <alignment horizontal="center"/>
    </xf>
    <xf numFmtId="0" fontId="4" fillId="5" borderId="2" xfId="0" applyFont="1" applyFill="1" applyBorder="1" applyAlignment="1">
      <alignment horizontal="center"/>
    </xf>
    <xf numFmtId="0" fontId="4" fillId="0" borderId="2" xfId="0" applyFont="1" applyBorder="1" applyAlignment="1">
      <alignment horizontal="center"/>
    </xf>
    <xf numFmtId="0" fontId="4" fillId="5" borderId="0" xfId="0" applyFont="1" applyFill="1" applyAlignment="1">
      <alignment horizontal="center"/>
    </xf>
    <xf numFmtId="0" fontId="5" fillId="3" borderId="0" xfId="0" applyFont="1" applyFill="1" applyAlignment="1">
      <alignment horizontal="center"/>
    </xf>
    <xf numFmtId="165" fontId="4" fillId="0" borderId="2" xfId="6" applyNumberFormat="1" applyFont="1" applyFill="1" applyBorder="1" applyAlignment="1">
      <alignment horizontal="center"/>
    </xf>
    <xf numFmtId="0" fontId="6" fillId="0" borderId="2" xfId="1" applyFont="1" applyBorder="1" applyAlignment="1">
      <alignment horizontal="center"/>
    </xf>
    <xf numFmtId="0" fontId="6" fillId="0" borderId="2" xfId="0" applyFont="1" applyBorder="1" applyAlignment="1">
      <alignment horizontal="center" wrapText="1"/>
    </xf>
    <xf numFmtId="165" fontId="6" fillId="0" borderId="2" xfId="6" applyNumberFormat="1" applyFont="1" applyFill="1" applyBorder="1" applyAlignment="1">
      <alignment horizontal="center"/>
    </xf>
    <xf numFmtId="164" fontId="6" fillId="0" borderId="19" xfId="4" applyNumberFormat="1" applyFont="1" applyFill="1" applyBorder="1" applyAlignment="1">
      <alignment horizontal="center" wrapText="1"/>
    </xf>
    <xf numFmtId="164" fontId="6" fillId="0" borderId="20" xfId="4" applyNumberFormat="1" applyFont="1" applyFill="1" applyBorder="1" applyAlignment="1">
      <alignment horizontal="center" wrapText="1"/>
    </xf>
    <xf numFmtId="0" fontId="6" fillId="0" borderId="6" xfId="1" applyFont="1" applyBorder="1" applyAlignment="1">
      <alignment horizontal="center"/>
    </xf>
    <xf numFmtId="165" fontId="6" fillId="0" borderId="6" xfId="2" applyNumberFormat="1" applyFont="1" applyFill="1" applyBorder="1" applyAlignment="1">
      <alignment horizontal="center"/>
    </xf>
    <xf numFmtId="165" fontId="6" fillId="0" borderId="2" xfId="2" applyNumberFormat="1" applyFont="1" applyFill="1" applyBorder="1" applyAlignment="1">
      <alignment horizontal="center"/>
    </xf>
    <xf numFmtId="10" fontId="6" fillId="0" borderId="2" xfId="1" applyNumberFormat="1" applyFont="1" applyBorder="1" applyAlignment="1">
      <alignment horizontal="center"/>
    </xf>
    <xf numFmtId="0" fontId="4" fillId="0" borderId="2" xfId="1" applyFont="1" applyBorder="1" applyAlignment="1">
      <alignment horizontal="center" vertical="center"/>
    </xf>
    <xf numFmtId="165" fontId="6" fillId="0" borderId="2" xfId="1" applyNumberFormat="1" applyFont="1" applyBorder="1" applyAlignment="1">
      <alignment horizontal="center" wrapText="1"/>
    </xf>
    <xf numFmtId="0" fontId="6" fillId="0" borderId="19" xfId="1" applyFont="1" applyBorder="1" applyAlignment="1">
      <alignment horizontal="center"/>
    </xf>
    <xf numFmtId="165" fontId="6" fillId="0" borderId="19" xfId="2" applyNumberFormat="1" applyFont="1" applyFill="1" applyBorder="1" applyAlignment="1">
      <alignment horizontal="center"/>
    </xf>
    <xf numFmtId="165" fontId="6" fillId="0" borderId="2" xfId="2" applyNumberFormat="1" applyFont="1" applyFill="1" applyBorder="1" applyAlignment="1">
      <alignment horizontal="center" vertical="center"/>
    </xf>
    <xf numFmtId="0" fontId="6" fillId="0" borderId="14" xfId="1" applyFont="1" applyBorder="1" applyAlignment="1">
      <alignment horizontal="center"/>
    </xf>
    <xf numFmtId="165" fontId="4" fillId="0" borderId="2" xfId="2" applyNumberFormat="1" applyFont="1" applyFill="1" applyBorder="1" applyAlignment="1">
      <alignment horizontal="center" vertical="center"/>
    </xf>
    <xf numFmtId="0" fontId="4" fillId="0" borderId="12" xfId="1" applyFont="1" applyBorder="1" applyAlignment="1">
      <alignment horizontal="center"/>
    </xf>
    <xf numFmtId="165" fontId="6" fillId="0" borderId="1" xfId="2" applyNumberFormat="1" applyFont="1" applyFill="1" applyBorder="1" applyAlignment="1">
      <alignment horizontal="center"/>
    </xf>
    <xf numFmtId="0" fontId="6" fillId="0" borderId="12" xfId="1" applyFont="1" applyBorder="1" applyAlignment="1">
      <alignment horizontal="center"/>
    </xf>
    <xf numFmtId="0" fontId="6" fillId="0" borderId="18" xfId="1" applyFont="1" applyBorder="1" applyAlignment="1">
      <alignment horizontal="center"/>
    </xf>
    <xf numFmtId="0" fontId="10" fillId="0" borderId="0" xfId="0" applyFont="1"/>
    <xf numFmtId="0" fontId="4" fillId="0" borderId="10" xfId="0" applyFont="1" applyBorder="1" applyAlignment="1">
      <alignment horizontal="center"/>
    </xf>
    <xf numFmtId="0" fontId="5" fillId="0" borderId="10" xfId="0" applyFont="1" applyBorder="1" applyAlignment="1">
      <alignment horizontal="center"/>
    </xf>
    <xf numFmtId="0" fontId="5" fillId="6" borderId="10" xfId="0" applyFont="1" applyFill="1" applyBorder="1" applyAlignment="1">
      <alignment horizontal="center"/>
    </xf>
    <xf numFmtId="0" fontId="4" fillId="10" borderId="0" xfId="0" applyFont="1" applyFill="1" applyAlignment="1">
      <alignment horizontal="center"/>
    </xf>
    <xf numFmtId="0" fontId="5" fillId="6" borderId="0" xfId="0" applyFont="1" applyFill="1" applyAlignment="1">
      <alignment horizontal="center"/>
    </xf>
    <xf numFmtId="0" fontId="4" fillId="0" borderId="0" xfId="0" applyFont="1" applyAlignment="1">
      <alignment horizontal="center"/>
    </xf>
    <xf numFmtId="0" fontId="4" fillId="0" borderId="21" xfId="0" applyFont="1" applyBorder="1" applyAlignment="1">
      <alignment horizontal="center"/>
    </xf>
    <xf numFmtId="0" fontId="5" fillId="0" borderId="21" xfId="0" applyFont="1" applyBorder="1" applyAlignment="1">
      <alignment horizontal="center"/>
    </xf>
    <xf numFmtId="0" fontId="5" fillId="2" borderId="0" xfId="0" applyFont="1" applyFill="1" applyAlignment="1">
      <alignment horizontal="center"/>
    </xf>
    <xf numFmtId="0" fontId="5" fillId="4" borderId="0" xfId="0" applyFont="1" applyFill="1" applyAlignment="1">
      <alignment horizontal="center"/>
    </xf>
    <xf numFmtId="0" fontId="4" fillId="9" borderId="0" xfId="0" applyFont="1" applyFill="1" applyAlignment="1">
      <alignment horizontal="center"/>
    </xf>
    <xf numFmtId="0" fontId="6" fillId="6" borderId="28" xfId="1" applyFont="1" applyFill="1" applyBorder="1" applyAlignment="1">
      <alignment horizontal="center"/>
    </xf>
    <xf numFmtId="0" fontId="6" fillId="6" borderId="28" xfId="1" applyFont="1" applyFill="1" applyBorder="1" applyAlignment="1">
      <alignment horizontal="center" wrapText="1"/>
    </xf>
    <xf numFmtId="0" fontId="15" fillId="6" borderId="26" xfId="1" applyFont="1" applyFill="1" applyBorder="1" applyAlignment="1">
      <alignment horizontal="center"/>
    </xf>
    <xf numFmtId="0" fontId="15" fillId="0" borderId="0" xfId="0" applyFont="1"/>
    <xf numFmtId="0" fontId="6" fillId="0" borderId="2" xfId="0" applyFont="1" applyBorder="1" applyAlignment="1">
      <alignment horizontal="center"/>
    </xf>
    <xf numFmtId="0" fontId="5" fillId="5" borderId="0" xfId="0" applyFont="1" applyFill="1" applyAlignment="1">
      <alignment horizontal="center"/>
    </xf>
    <xf numFmtId="165" fontId="6" fillId="0" borderId="1" xfId="1" applyNumberFormat="1" applyFont="1" applyBorder="1" applyAlignment="1">
      <alignment horizontal="center"/>
    </xf>
    <xf numFmtId="164" fontId="6" fillId="0" borderId="1" xfId="4" applyNumberFormat="1" applyFont="1" applyFill="1" applyBorder="1" applyAlignment="1">
      <alignment horizontal="center" wrapText="1"/>
    </xf>
    <xf numFmtId="164" fontId="6" fillId="0" borderId="29" xfId="4" applyNumberFormat="1" applyFont="1" applyFill="1" applyBorder="1" applyAlignment="1">
      <alignment horizontal="center" wrapText="1"/>
    </xf>
    <xf numFmtId="0" fontId="4" fillId="5" borderId="10" xfId="0" applyFont="1" applyFill="1" applyBorder="1" applyAlignment="1">
      <alignment horizontal="center"/>
    </xf>
    <xf numFmtId="0" fontId="5" fillId="5" borderId="10" xfId="0" applyFont="1" applyFill="1" applyBorder="1" applyAlignment="1">
      <alignment horizontal="center"/>
    </xf>
    <xf numFmtId="0" fontId="5" fillId="6" borderId="27" xfId="0" applyFont="1" applyFill="1" applyBorder="1" applyAlignment="1">
      <alignment horizontal="center"/>
    </xf>
    <xf numFmtId="0" fontId="4" fillId="6" borderId="10" xfId="0" applyFont="1" applyFill="1" applyBorder="1" applyAlignment="1">
      <alignment horizontal="center"/>
    </xf>
    <xf numFmtId="0" fontId="5" fillId="6" borderId="10" xfId="0" applyFont="1" applyFill="1" applyBorder="1"/>
    <xf numFmtId="0" fontId="10" fillId="6" borderId="10" xfId="0" applyFont="1" applyFill="1" applyBorder="1"/>
    <xf numFmtId="0" fontId="10" fillId="6" borderId="11" xfId="0" applyFont="1" applyFill="1" applyBorder="1"/>
    <xf numFmtId="0" fontId="4" fillId="6" borderId="0" xfId="0" applyFont="1" applyFill="1" applyAlignment="1">
      <alignment horizontal="center" wrapText="1"/>
    </xf>
    <xf numFmtId="0" fontId="5" fillId="6" borderId="0" xfId="0" applyFont="1" applyFill="1" applyAlignment="1">
      <alignment horizontal="center" wrapText="1"/>
    </xf>
    <xf numFmtId="0" fontId="10" fillId="6" borderId="2" xfId="0" applyFont="1" applyFill="1" applyBorder="1" applyAlignment="1">
      <alignment horizontal="center" wrapText="1"/>
    </xf>
    <xf numFmtId="164" fontId="10" fillId="6" borderId="2" xfId="4" applyNumberFormat="1" applyFont="1" applyFill="1" applyBorder="1" applyAlignment="1">
      <alignment horizontal="center" wrapText="1"/>
    </xf>
    <xf numFmtId="164" fontId="10" fillId="6" borderId="13" xfId="4" applyNumberFormat="1" applyFont="1" applyFill="1" applyBorder="1" applyAlignment="1">
      <alignment horizontal="center" wrapText="1"/>
    </xf>
    <xf numFmtId="0" fontId="6" fillId="6" borderId="25" xfId="1" applyFont="1" applyFill="1" applyBorder="1"/>
    <xf numFmtId="0" fontId="6" fillId="6" borderId="22" xfId="1" applyFont="1" applyFill="1" applyBorder="1"/>
    <xf numFmtId="0" fontId="6" fillId="6" borderId="23" xfId="1" applyFont="1" applyFill="1" applyBorder="1"/>
    <xf numFmtId="0" fontId="4" fillId="6" borderId="25" xfId="0" applyFont="1" applyFill="1" applyBorder="1"/>
    <xf numFmtId="0" fontId="4" fillId="6" borderId="22" xfId="0" applyFont="1" applyFill="1" applyBorder="1"/>
    <xf numFmtId="0" fontId="4" fillId="6" borderId="23" xfId="0" applyFont="1" applyFill="1" applyBorder="1"/>
    <xf numFmtId="0" fontId="4" fillId="6" borderId="25" xfId="1" applyFont="1" applyFill="1" applyBorder="1"/>
    <xf numFmtId="0" fontId="4" fillId="6" borderId="22" xfId="1" applyFont="1" applyFill="1" applyBorder="1"/>
    <xf numFmtId="0" fontId="4" fillId="6" borderId="23" xfId="1" applyFont="1" applyFill="1" applyBorder="1"/>
    <xf numFmtId="0" fontId="6" fillId="6" borderId="15" xfId="1" applyFont="1" applyFill="1" applyBorder="1"/>
    <xf numFmtId="0" fontId="6" fillId="6" borderId="3" xfId="1" applyFont="1" applyFill="1" applyBorder="1"/>
    <xf numFmtId="0" fontId="6" fillId="6" borderId="16" xfId="1" applyFont="1" applyFill="1" applyBorder="1"/>
    <xf numFmtId="164" fontId="0" fillId="0" borderId="2" xfId="4" applyNumberFormat="1" applyFont="1" applyFill="1" applyBorder="1"/>
    <xf numFmtId="164" fontId="10" fillId="11" borderId="2" xfId="4" applyNumberFormat="1" applyFont="1" applyFill="1" applyBorder="1" applyAlignment="1">
      <alignment horizontal="center"/>
    </xf>
    <xf numFmtId="0" fontId="5" fillId="7" borderId="0" xfId="0" applyFont="1" applyFill="1" applyAlignment="1">
      <alignment horizontal="center"/>
    </xf>
    <xf numFmtId="0" fontId="10" fillId="7" borderId="0" xfId="0" applyFont="1" applyFill="1" applyAlignment="1">
      <alignment horizontal="center"/>
    </xf>
    <xf numFmtId="0" fontId="6" fillId="6" borderId="33" xfId="1" applyFont="1" applyFill="1" applyBorder="1" applyAlignment="1">
      <alignment horizontal="center"/>
    </xf>
    <xf numFmtId="0" fontId="6" fillId="6" borderId="34" xfId="1" applyFont="1" applyFill="1" applyBorder="1" applyAlignment="1">
      <alignment horizontal="center" wrapText="1"/>
    </xf>
    <xf numFmtId="0" fontId="4" fillId="0" borderId="14" xfId="1" applyFont="1" applyBorder="1" applyAlignment="1">
      <alignment horizontal="center"/>
    </xf>
    <xf numFmtId="0" fontId="16" fillId="0" borderId="12"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6" xfId="0" applyFont="1" applyBorder="1" applyAlignment="1">
      <alignment horizontal="center" vertical="center" wrapText="1"/>
    </xf>
    <xf numFmtId="0" fontId="6" fillId="0" borderId="15" xfId="1" applyFont="1" applyBorder="1" applyAlignment="1">
      <alignment horizontal="center"/>
    </xf>
    <xf numFmtId="0" fontId="6" fillId="0" borderId="12" xfId="1" applyFont="1" applyBorder="1" applyAlignment="1">
      <alignment horizontal="center" vertical="center"/>
    </xf>
    <xf numFmtId="0" fontId="6" fillId="0" borderId="2" xfId="1" applyFont="1" applyBorder="1" applyAlignment="1">
      <alignment horizontal="center" vertical="center"/>
    </xf>
    <xf numFmtId="0" fontId="4" fillId="0" borderId="12" xfId="1" applyFont="1" applyBorder="1" applyAlignment="1">
      <alignment horizontal="center" vertical="center"/>
    </xf>
    <xf numFmtId="0" fontId="19" fillId="12" borderId="27" xfId="0" applyFont="1" applyFill="1" applyBorder="1" applyAlignment="1">
      <alignment horizontal="center"/>
    </xf>
    <xf numFmtId="164" fontId="19" fillId="12" borderId="28" xfId="4" applyNumberFormat="1" applyFont="1" applyFill="1" applyBorder="1" applyAlignment="1">
      <alignment horizontal="center"/>
    </xf>
    <xf numFmtId="0" fontId="19" fillId="0" borderId="0" xfId="0" applyFont="1"/>
    <xf numFmtId="164" fontId="10" fillId="0" borderId="2" xfId="4" applyNumberFormat="1" applyFont="1" applyFill="1" applyBorder="1" applyAlignment="1">
      <alignment horizontal="center"/>
    </xf>
    <xf numFmtId="164" fontId="10" fillId="0" borderId="13" xfId="4" applyNumberFormat="1" applyFont="1" applyFill="1" applyBorder="1" applyAlignment="1">
      <alignment horizontal="center"/>
    </xf>
    <xf numFmtId="0" fontId="9" fillId="0" borderId="12"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6" xfId="0" applyFont="1" applyBorder="1" applyAlignment="1">
      <alignment horizontal="center" vertical="center" wrapText="1"/>
    </xf>
    <xf numFmtId="0" fontId="6" fillId="0" borderId="35" xfId="1" applyFont="1" applyBorder="1" applyAlignment="1">
      <alignment horizontal="center"/>
    </xf>
    <xf numFmtId="0" fontId="13" fillId="0" borderId="0" xfId="0" applyFont="1" applyAlignment="1">
      <alignment horizontal="center"/>
    </xf>
    <xf numFmtId="0" fontId="17" fillId="0" borderId="0" xfId="0" applyFont="1" applyAlignment="1">
      <alignment horizontal="center"/>
    </xf>
    <xf numFmtId="165" fontId="6" fillId="0" borderId="19" xfId="1" applyNumberFormat="1" applyFont="1" applyBorder="1" applyAlignment="1">
      <alignment horizontal="center"/>
    </xf>
    <xf numFmtId="0" fontId="6" fillId="0" borderId="12"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6" fillId="0" borderId="32" xfId="1" applyFont="1" applyBorder="1" applyAlignment="1">
      <alignment horizontal="center"/>
    </xf>
    <xf numFmtId="0" fontId="6" fillId="0" borderId="1" xfId="1" applyFont="1" applyBorder="1" applyAlignment="1">
      <alignment horizontal="center"/>
    </xf>
    <xf numFmtId="164" fontId="10" fillId="0" borderId="1" xfId="4" applyNumberFormat="1" applyFont="1" applyFill="1" applyBorder="1" applyAlignment="1">
      <alignment horizontal="center"/>
    </xf>
    <xf numFmtId="164" fontId="12" fillId="0" borderId="28" xfId="4" applyNumberFormat="1" applyFont="1" applyBorder="1"/>
    <xf numFmtId="164" fontId="19" fillId="12" borderId="34" xfId="4" applyNumberFormat="1" applyFont="1" applyFill="1" applyBorder="1" applyAlignment="1">
      <alignment horizontal="center"/>
    </xf>
    <xf numFmtId="164" fontId="19" fillId="12" borderId="36" xfId="4" applyNumberFormat="1" applyFont="1" applyFill="1" applyBorder="1" applyAlignment="1">
      <alignment horizontal="center"/>
    </xf>
    <xf numFmtId="164" fontId="10" fillId="13" borderId="2" xfId="4" applyNumberFormat="1" applyFont="1" applyFill="1" applyBorder="1" applyAlignment="1">
      <alignment horizontal="center"/>
    </xf>
    <xf numFmtId="0" fontId="6" fillId="11" borderId="25" xfId="1" applyFont="1" applyFill="1" applyBorder="1"/>
    <xf numFmtId="0" fontId="6" fillId="11" borderId="22" xfId="1" applyFont="1" applyFill="1" applyBorder="1"/>
    <xf numFmtId="0" fontId="6" fillId="11" borderId="23" xfId="1" applyFont="1" applyFill="1" applyBorder="1"/>
    <xf numFmtId="0" fontId="6" fillId="11" borderId="17" xfId="1" applyFont="1" applyFill="1" applyBorder="1"/>
    <xf numFmtId="0" fontId="6" fillId="11" borderId="5" xfId="1" applyFont="1" applyFill="1" applyBorder="1"/>
    <xf numFmtId="0" fontId="6" fillId="11" borderId="24" xfId="1" applyFont="1" applyFill="1" applyBorder="1"/>
    <xf numFmtId="0" fontId="4" fillId="11" borderId="0" xfId="0" applyFont="1" applyFill="1" applyAlignment="1">
      <alignment horizontal="center"/>
    </xf>
    <xf numFmtId="0" fontId="5" fillId="11" borderId="0" xfId="0" applyFont="1" applyFill="1" applyAlignment="1">
      <alignment horizontal="center"/>
    </xf>
    <xf numFmtId="0" fontId="4" fillId="11" borderId="10" xfId="0" applyFont="1" applyFill="1" applyBorder="1" applyAlignment="1">
      <alignment horizontal="center"/>
    </xf>
    <xf numFmtId="0" fontId="5" fillId="11" borderId="10" xfId="0" applyFont="1" applyFill="1" applyBorder="1" applyAlignment="1">
      <alignment horizontal="center"/>
    </xf>
    <xf numFmtId="0" fontId="6" fillId="11" borderId="25" xfId="1" applyFont="1" applyFill="1" applyBorder="1" applyAlignment="1">
      <alignment vertical="center"/>
    </xf>
    <xf numFmtId="0" fontId="6" fillId="11" borderId="22" xfId="1" applyFont="1" applyFill="1" applyBorder="1" applyAlignment="1">
      <alignment vertical="center"/>
    </xf>
    <xf numFmtId="0" fontId="6" fillId="11" borderId="23" xfId="1" applyFont="1" applyFill="1" applyBorder="1" applyAlignment="1">
      <alignment vertical="center"/>
    </xf>
    <xf numFmtId="0" fontId="4" fillId="11" borderId="9" xfId="1" applyFont="1" applyFill="1" applyBorder="1" applyAlignment="1">
      <alignment horizontal="center" vertical="center"/>
    </xf>
    <xf numFmtId="0" fontId="6" fillId="11" borderId="10" xfId="1" applyFont="1" applyFill="1" applyBorder="1" applyAlignment="1">
      <alignment horizontal="center"/>
    </xf>
    <xf numFmtId="0" fontId="6" fillId="11" borderId="11" xfId="1" applyFont="1" applyFill="1" applyBorder="1" applyAlignment="1">
      <alignment horizontal="center"/>
    </xf>
    <xf numFmtId="0" fontId="6" fillId="11" borderId="15" xfId="1" applyFont="1" applyFill="1" applyBorder="1" applyAlignment="1">
      <alignment horizontal="center" vertical="center"/>
    </xf>
    <xf numFmtId="0" fontId="6" fillId="11" borderId="5" xfId="1" applyFont="1" applyFill="1" applyBorder="1" applyAlignment="1">
      <alignment horizontal="center"/>
    </xf>
    <xf numFmtId="0" fontId="6" fillId="11" borderId="3" xfId="1" applyFont="1" applyFill="1" applyBorder="1" applyAlignment="1">
      <alignment horizontal="center"/>
    </xf>
    <xf numFmtId="0" fontId="6" fillId="11" borderId="16" xfId="1" applyFont="1" applyFill="1" applyBorder="1" applyAlignment="1">
      <alignment horizontal="center"/>
    </xf>
    <xf numFmtId="0" fontId="4" fillId="11" borderId="15" xfId="1" applyFont="1" applyFill="1" applyBorder="1" applyAlignment="1">
      <alignment horizontal="center"/>
    </xf>
    <xf numFmtId="0" fontId="6" fillId="11" borderId="17" xfId="1" applyFont="1" applyFill="1" applyBorder="1" applyAlignment="1">
      <alignment horizontal="center"/>
    </xf>
    <xf numFmtId="0" fontId="21" fillId="0" borderId="0" xfId="0" applyFont="1" applyAlignment="1">
      <alignment horizontal="center"/>
    </xf>
    <xf numFmtId="164" fontId="12" fillId="0" borderId="36" xfId="4" applyNumberFormat="1" applyFont="1" applyBorder="1"/>
    <xf numFmtId="0" fontId="11" fillId="12" borderId="36" xfId="0" applyFont="1" applyFill="1" applyBorder="1"/>
    <xf numFmtId="0" fontId="11" fillId="12" borderId="28" xfId="0" applyFont="1" applyFill="1" applyBorder="1"/>
    <xf numFmtId="164" fontId="12" fillId="12" borderId="28" xfId="4" applyNumberFormat="1" applyFont="1" applyFill="1" applyBorder="1"/>
    <xf numFmtId="164" fontId="12" fillId="12" borderId="34" xfId="4" applyNumberFormat="1" applyFont="1" applyFill="1" applyBorder="1"/>
    <xf numFmtId="0" fontId="4" fillId="0" borderId="38" xfId="1" applyFont="1" applyBorder="1" applyAlignment="1">
      <alignment horizontal="center"/>
    </xf>
    <xf numFmtId="0" fontId="4" fillId="0" borderId="6" xfId="1" applyFont="1" applyBorder="1" applyAlignment="1">
      <alignment horizontal="center"/>
    </xf>
    <xf numFmtId="165" fontId="8" fillId="0" borderId="2" xfId="2" applyNumberFormat="1" applyFont="1" applyFill="1" applyBorder="1" applyAlignment="1">
      <alignment horizontal="center" vertical="center"/>
    </xf>
    <xf numFmtId="165" fontId="8" fillId="0" borderId="2" xfId="6" applyNumberFormat="1" applyFont="1" applyFill="1" applyBorder="1" applyAlignment="1">
      <alignment horizontal="center" vertical="center"/>
    </xf>
    <xf numFmtId="165" fontId="8" fillId="0" borderId="1" xfId="2" applyNumberFormat="1" applyFont="1" applyFill="1" applyBorder="1" applyAlignment="1">
      <alignment horizontal="center" vertical="center"/>
    </xf>
    <xf numFmtId="0" fontId="6" fillId="14" borderId="32" xfId="1" applyFont="1" applyFill="1" applyBorder="1" applyAlignment="1">
      <alignment horizontal="center"/>
    </xf>
    <xf numFmtId="0" fontId="6" fillId="14" borderId="1" xfId="1" applyFont="1" applyFill="1" applyBorder="1" applyAlignment="1">
      <alignment horizontal="center"/>
    </xf>
    <xf numFmtId="164" fontId="6" fillId="14" borderId="1" xfId="4" applyNumberFormat="1" applyFont="1" applyFill="1" applyBorder="1" applyAlignment="1">
      <alignment horizontal="center"/>
    </xf>
    <xf numFmtId="165" fontId="6" fillId="0" borderId="3" xfId="1" applyNumberFormat="1" applyFont="1" applyBorder="1" applyAlignment="1">
      <alignment horizontal="center"/>
    </xf>
    <xf numFmtId="0" fontId="6" fillId="0" borderId="38" xfId="1" applyFont="1" applyBorder="1" applyAlignment="1">
      <alignment horizontal="center"/>
    </xf>
    <xf numFmtId="164" fontId="6" fillId="0" borderId="39" xfId="4" applyNumberFormat="1" applyFont="1" applyFill="1" applyBorder="1" applyAlignment="1">
      <alignment horizontal="center" wrapText="1"/>
    </xf>
    <xf numFmtId="165" fontId="6" fillId="7" borderId="2" xfId="1" applyNumberFormat="1" applyFont="1" applyFill="1" applyBorder="1" applyAlignment="1">
      <alignment horizontal="center"/>
    </xf>
    <xf numFmtId="164" fontId="6" fillId="7" borderId="2" xfId="4" applyNumberFormat="1" applyFont="1" applyFill="1" applyBorder="1" applyAlignment="1">
      <alignment horizontal="center" wrapText="1"/>
    </xf>
    <xf numFmtId="164" fontId="6" fillId="7" borderId="13" xfId="4" applyNumberFormat="1" applyFont="1" applyFill="1" applyBorder="1" applyAlignment="1">
      <alignment horizontal="center" wrapText="1"/>
    </xf>
    <xf numFmtId="0" fontId="4" fillId="7" borderId="0" xfId="0" applyFont="1" applyFill="1" applyAlignment="1">
      <alignment horizontal="center"/>
    </xf>
    <xf numFmtId="164" fontId="10" fillId="7" borderId="2" xfId="4" applyNumberFormat="1" applyFont="1" applyFill="1" applyBorder="1" applyAlignment="1">
      <alignment horizontal="center"/>
    </xf>
    <xf numFmtId="164" fontId="10" fillId="7" borderId="13" xfId="4" applyNumberFormat="1" applyFont="1" applyFill="1" applyBorder="1" applyAlignment="1">
      <alignment horizontal="center"/>
    </xf>
    <xf numFmtId="0" fontId="5" fillId="7" borderId="0" xfId="0" applyFont="1" applyFill="1" applyAlignment="1">
      <alignment horizontal="center" wrapText="1"/>
    </xf>
    <xf numFmtId="0" fontId="5" fillId="7" borderId="0" xfId="0" applyFont="1" applyFill="1"/>
    <xf numFmtId="0" fontId="6" fillId="4" borderId="12" xfId="1" applyFont="1" applyFill="1" applyBorder="1" applyAlignment="1">
      <alignment horizontal="center" vertical="center"/>
    </xf>
    <xf numFmtId="0" fontId="6" fillId="4" borderId="2" xfId="1" applyFont="1" applyFill="1" applyBorder="1" applyAlignment="1">
      <alignment horizontal="center" vertical="center"/>
    </xf>
    <xf numFmtId="164" fontId="6" fillId="4" borderId="2" xfId="4" applyNumberFormat="1" applyFont="1" applyFill="1" applyBorder="1" applyAlignment="1">
      <alignment horizontal="center"/>
    </xf>
    <xf numFmtId="165" fontId="6" fillId="4" borderId="2" xfId="1" applyNumberFormat="1" applyFont="1" applyFill="1" applyBorder="1" applyAlignment="1">
      <alignment horizontal="center"/>
    </xf>
    <xf numFmtId="164" fontId="6" fillId="4" borderId="2" xfId="4" applyNumberFormat="1" applyFont="1" applyFill="1" applyBorder="1" applyAlignment="1">
      <alignment horizontal="center" wrapText="1"/>
    </xf>
    <xf numFmtId="164" fontId="6" fillId="4" borderId="13" xfId="4" applyNumberFormat="1" applyFont="1" applyFill="1" applyBorder="1" applyAlignment="1">
      <alignment horizontal="center" wrapText="1"/>
    </xf>
    <xf numFmtId="0" fontId="4" fillId="4" borderId="0" xfId="0" applyFont="1" applyFill="1" applyAlignment="1">
      <alignment horizontal="center"/>
    </xf>
    <xf numFmtId="164" fontId="10" fillId="4" borderId="2" xfId="4" applyNumberFormat="1" applyFont="1" applyFill="1" applyBorder="1" applyAlignment="1">
      <alignment horizontal="center"/>
    </xf>
    <xf numFmtId="164" fontId="10" fillId="4" borderId="13" xfId="4" applyNumberFormat="1" applyFont="1" applyFill="1" applyBorder="1" applyAlignment="1">
      <alignment horizontal="center"/>
    </xf>
    <xf numFmtId="0" fontId="10" fillId="4" borderId="0" xfId="0" applyFont="1" applyFill="1" applyAlignment="1">
      <alignment horizontal="center"/>
    </xf>
    <xf numFmtId="0" fontId="5" fillId="4" borderId="0" xfId="0" applyFont="1" applyFill="1"/>
    <xf numFmtId="0" fontId="6" fillId="4" borderId="14" xfId="1" applyFont="1" applyFill="1" applyBorder="1" applyAlignment="1">
      <alignment horizontal="center" vertical="center"/>
    </xf>
    <xf numFmtId="0" fontId="6" fillId="4" borderId="6" xfId="1" applyFont="1" applyFill="1" applyBorder="1" applyAlignment="1">
      <alignment horizontal="center" vertical="center"/>
    </xf>
    <xf numFmtId="0" fontId="4" fillId="4" borderId="14" xfId="1" applyFont="1" applyFill="1" applyBorder="1" applyAlignment="1">
      <alignment horizontal="center" vertical="center"/>
    </xf>
    <xf numFmtId="0" fontId="4" fillId="4" borderId="12" xfId="1" applyFont="1" applyFill="1" applyBorder="1" applyAlignment="1">
      <alignment horizontal="center" vertical="center"/>
    </xf>
    <xf numFmtId="0" fontId="4" fillId="4" borderId="2" xfId="1" applyFont="1" applyFill="1" applyBorder="1" applyAlignment="1">
      <alignment horizontal="center" vertical="center"/>
    </xf>
    <xf numFmtId="0" fontId="6" fillId="4" borderId="14" xfId="1" applyFont="1" applyFill="1" applyBorder="1" applyAlignment="1">
      <alignment horizontal="center"/>
    </xf>
    <xf numFmtId="0" fontId="6" fillId="4" borderId="6" xfId="1" applyFont="1" applyFill="1" applyBorder="1" applyAlignment="1">
      <alignment horizontal="center"/>
    </xf>
    <xf numFmtId="165" fontId="6" fillId="4" borderId="6" xfId="1" applyNumberFormat="1" applyFont="1" applyFill="1" applyBorder="1" applyAlignment="1">
      <alignment horizontal="center" wrapText="1"/>
    </xf>
    <xf numFmtId="0" fontId="1" fillId="0" borderId="0" xfId="0" applyFont="1" applyAlignment="1">
      <alignment horizontal="left" vertical="center" indent="5"/>
    </xf>
    <xf numFmtId="0" fontId="3" fillId="2" borderId="4" xfId="0" applyFont="1" applyFill="1" applyBorder="1"/>
    <xf numFmtId="165" fontId="22" fillId="0" borderId="2" xfId="1" applyNumberFormat="1" applyFont="1" applyBorder="1" applyAlignment="1">
      <alignment horizontal="center"/>
    </xf>
    <xf numFmtId="164" fontId="22" fillId="0" borderId="2" xfId="4" applyNumberFormat="1" applyFont="1" applyFill="1" applyBorder="1" applyAlignment="1">
      <alignment horizontal="center" wrapText="1"/>
    </xf>
    <xf numFmtId="164" fontId="22" fillId="0" borderId="13" xfId="4" applyNumberFormat="1" applyFont="1" applyFill="1" applyBorder="1" applyAlignment="1">
      <alignment horizontal="center" wrapText="1"/>
    </xf>
    <xf numFmtId="0" fontId="19" fillId="0" borderId="0" xfId="0" applyFont="1" applyAlignment="1">
      <alignment horizontal="center"/>
    </xf>
    <xf numFmtId="0" fontId="23" fillId="0" borderId="0" xfId="0" applyFont="1" applyAlignment="1">
      <alignment horizontal="center"/>
    </xf>
    <xf numFmtId="164" fontId="19" fillId="0" borderId="2" xfId="4" applyNumberFormat="1" applyFont="1" applyFill="1" applyBorder="1" applyAlignment="1">
      <alignment horizontal="center"/>
    </xf>
    <xf numFmtId="164" fontId="19" fillId="0" borderId="13" xfId="4" applyNumberFormat="1" applyFont="1" applyFill="1" applyBorder="1" applyAlignment="1">
      <alignment horizontal="center"/>
    </xf>
    <xf numFmtId="0" fontId="22" fillId="7" borderId="12" xfId="1" applyFont="1" applyFill="1" applyBorder="1" applyAlignment="1">
      <alignment horizontal="center"/>
    </xf>
    <xf numFmtId="0" fontId="22" fillId="7" borderId="2" xfId="1" applyFont="1" applyFill="1" applyBorder="1" applyAlignment="1">
      <alignment horizontal="center"/>
    </xf>
    <xf numFmtId="165" fontId="22" fillId="7" borderId="2" xfId="1" applyNumberFormat="1" applyFont="1" applyFill="1" applyBorder="1" applyAlignment="1">
      <alignment horizontal="center"/>
    </xf>
    <xf numFmtId="164" fontId="22" fillId="7" borderId="2" xfId="4" applyNumberFormat="1" applyFont="1" applyFill="1" applyBorder="1" applyAlignment="1">
      <alignment horizontal="center" wrapText="1"/>
    </xf>
    <xf numFmtId="164" fontId="22" fillId="7" borderId="13" xfId="4" applyNumberFormat="1" applyFont="1" applyFill="1" applyBorder="1" applyAlignment="1">
      <alignment horizontal="center" wrapText="1"/>
    </xf>
    <xf numFmtId="0" fontId="19" fillId="7" borderId="0" xfId="0" applyFont="1" applyFill="1" applyAlignment="1">
      <alignment horizontal="center"/>
    </xf>
    <xf numFmtId="0" fontId="23" fillId="7" borderId="0" xfId="0" applyFont="1" applyFill="1" applyAlignment="1">
      <alignment horizontal="center"/>
    </xf>
    <xf numFmtId="164" fontId="19" fillId="7" borderId="2" xfId="4" applyNumberFormat="1" applyFont="1" applyFill="1" applyBorder="1" applyAlignment="1">
      <alignment horizontal="center"/>
    </xf>
    <xf numFmtId="164" fontId="19" fillId="7" borderId="13" xfId="4" applyNumberFormat="1" applyFont="1" applyFill="1" applyBorder="1" applyAlignment="1">
      <alignment horizontal="center"/>
    </xf>
    <xf numFmtId="164" fontId="22" fillId="7" borderId="2" xfId="4" applyNumberFormat="1" applyFont="1" applyFill="1" applyBorder="1" applyAlignment="1">
      <alignment horizontal="center"/>
    </xf>
    <xf numFmtId="0" fontId="4" fillId="7" borderId="12" xfId="1" applyFont="1" applyFill="1" applyBorder="1" applyAlignment="1">
      <alignment horizontal="center" vertical="center"/>
    </xf>
    <xf numFmtId="0" fontId="4" fillId="7" borderId="2" xfId="1" applyFont="1" applyFill="1" applyBorder="1" applyAlignment="1">
      <alignment horizontal="center" vertical="center"/>
    </xf>
    <xf numFmtId="164" fontId="6" fillId="7" borderId="2" xfId="4" applyNumberFormat="1" applyFont="1" applyFill="1" applyBorder="1" applyAlignment="1">
      <alignment horizontal="center"/>
    </xf>
    <xf numFmtId="165" fontId="4" fillId="7" borderId="2" xfId="2" applyNumberFormat="1" applyFont="1" applyFill="1" applyBorder="1" applyAlignment="1">
      <alignment horizontal="center" vertical="center"/>
    </xf>
    <xf numFmtId="0" fontId="22" fillId="0" borderId="12" xfId="1" applyFont="1" applyBorder="1" applyAlignment="1">
      <alignment horizontal="center"/>
    </xf>
    <xf numFmtId="0" fontId="22" fillId="0" borderId="2" xfId="1" applyFont="1" applyBorder="1" applyAlignment="1">
      <alignment horizontal="center"/>
    </xf>
    <xf numFmtId="164" fontId="22" fillId="0" borderId="2" xfId="4" applyNumberFormat="1" applyFont="1" applyFill="1" applyBorder="1" applyAlignment="1">
      <alignment horizontal="center"/>
    </xf>
    <xf numFmtId="0" fontId="7" fillId="0" borderId="12" xfId="1" applyFont="1" applyBorder="1" applyAlignment="1">
      <alignment horizontal="center" vertical="center"/>
    </xf>
    <xf numFmtId="0" fontId="7" fillId="0" borderId="2" xfId="1" applyFont="1" applyBorder="1" applyAlignment="1">
      <alignment horizontal="center" vertical="center"/>
    </xf>
    <xf numFmtId="0" fontId="7" fillId="0" borderId="12" xfId="1" applyFont="1" applyBorder="1" applyAlignment="1">
      <alignment horizontal="center"/>
    </xf>
    <xf numFmtId="0" fontId="7" fillId="0" borderId="2" xfId="1" applyFont="1" applyBorder="1" applyAlignment="1">
      <alignment horizontal="center"/>
    </xf>
    <xf numFmtId="0" fontId="7" fillId="0" borderId="32" xfId="1" applyFont="1" applyBorder="1" applyAlignment="1">
      <alignment horizontal="center" vertical="center"/>
    </xf>
    <xf numFmtId="0" fontId="7" fillId="0" borderId="1" xfId="1" applyFont="1" applyBorder="1" applyAlignment="1">
      <alignment horizontal="center" vertical="center"/>
    </xf>
    <xf numFmtId="0" fontId="20" fillId="12" borderId="26" xfId="0" applyFont="1" applyFill="1" applyBorder="1" applyAlignment="1">
      <alignment horizontal="center"/>
    </xf>
    <xf numFmtId="0" fontId="20" fillId="12" borderId="27" xfId="0" applyFont="1" applyFill="1" applyBorder="1" applyAlignment="1">
      <alignment horizontal="center"/>
    </xf>
    <xf numFmtId="0" fontId="20" fillId="12" borderId="37" xfId="0" applyFont="1" applyFill="1" applyBorder="1" applyAlignment="1">
      <alignment horizontal="center"/>
    </xf>
    <xf numFmtId="0" fontId="14" fillId="6" borderId="9" xfId="0" applyFont="1" applyFill="1" applyBorder="1" applyAlignment="1">
      <alignment horizontal="center" vertical="center" wrapText="1"/>
    </xf>
    <xf numFmtId="0" fontId="14" fillId="6" borderId="30" xfId="0" applyFont="1" applyFill="1" applyBorder="1" applyAlignment="1">
      <alignment horizontal="center" vertical="center" wrapText="1"/>
    </xf>
    <xf numFmtId="0" fontId="14" fillId="6" borderId="31" xfId="0" applyFont="1" applyFill="1" applyBorder="1" applyAlignment="1">
      <alignment horizontal="center" vertical="center" wrapText="1"/>
    </xf>
    <xf numFmtId="0" fontId="14" fillId="6" borderId="9" xfId="1" applyFont="1" applyFill="1" applyBorder="1" applyAlignment="1">
      <alignment horizontal="center" vertical="center" wrapText="1"/>
    </xf>
    <xf numFmtId="0" fontId="14" fillId="6" borderId="30" xfId="1" applyFont="1" applyFill="1" applyBorder="1" applyAlignment="1">
      <alignment horizontal="center" vertical="center" wrapText="1"/>
    </xf>
    <xf numFmtId="0" fontId="14" fillId="0" borderId="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9" xfId="1" applyFont="1" applyBorder="1" applyAlignment="1">
      <alignment horizontal="center" vertical="center" wrapText="1"/>
    </xf>
    <xf numFmtId="0" fontId="14" fillId="0" borderId="30" xfId="1" applyFont="1" applyBorder="1" applyAlignment="1">
      <alignment horizontal="center" vertical="center" wrapText="1"/>
    </xf>
    <xf numFmtId="0" fontId="14" fillId="0" borderId="31" xfId="1" applyFont="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8" fillId="12" borderId="26" xfId="0" applyFont="1" applyFill="1" applyBorder="1" applyAlignment="1">
      <alignment horizontal="center" vertical="center" wrapText="1"/>
    </xf>
    <xf numFmtId="0" fontId="18" fillId="12" borderId="27" xfId="0" applyFont="1" applyFill="1" applyBorder="1" applyAlignment="1">
      <alignment horizontal="center" vertical="center" wrapText="1"/>
    </xf>
  </cellXfs>
  <cellStyles count="7">
    <cellStyle name="Normal 2" xfId="5" xr:uid="{4CC3E1F4-9273-4E98-B946-C3F9D27F447D}"/>
    <cellStyle name="Обычный" xfId="0" builtinId="0"/>
    <cellStyle name="Обычный 2" xfId="1" xr:uid="{EEF95E75-1BA9-4421-A492-B858C9D00D58}"/>
    <cellStyle name="Процентный" xfId="6" builtinId="5"/>
    <cellStyle name="Процентный 2" xfId="2" xr:uid="{91BD0452-2889-4B29-AABA-C1BF48735419}"/>
    <cellStyle name="Финансовый" xfId="4" builtinId="3"/>
    <cellStyle name="Финансовый 2" xfId="3" xr:uid="{3F39678F-641F-4A61-AA6D-B009B10C0E05}"/>
  </cellStyles>
  <dxfs count="1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00"/>
      <color rgb="FF99FF99"/>
      <color rgb="FFFCFBD0"/>
      <color rgb="FFEAEAEA"/>
      <color rgb="FFFF00FF"/>
      <color rgb="FFFF5050"/>
      <color rgb="FFFF0066"/>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oupeseb-my.sharepoint.com/personal/aamangeldinova_groupeseb_com/Documents/BackUp/PM%20CW,%20KW,%20WMF/WMF/&#1072;&#1085;&#1072;&#1083;&#1080;&#1079;/2025_Sales%20by%20SKUs%20WMF.xlsx" TargetMode="External"/><Relationship Id="rId1" Type="http://schemas.openxmlformats.org/officeDocument/2006/relationships/externalLinkPath" Target="https://groupeseb-my.sharepoint.com/personal/aamangeldinova_groupeseb_com/Documents/BackUp/PM%20CW,%20KW,%20WMF/WMF/&#1072;&#1085;&#1072;&#1083;&#1080;&#1079;/2025_Sales%20by%20SKUs%20WMF.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sulaymanov/Desktop/Desktop/Product%20CW&amp;KW,%20Personal%20Care,%20WMF/RRP_SPP%20Kazakhstan%202025.xlsx" TargetMode="External"/><Relationship Id="rId2" Type="http://schemas.openxmlformats.org/officeDocument/2006/relationships/externalLinkPath" Target="file:///C:\Users\asulaymanov\Desktop\Desktop\Product%20CW&amp;KW,%20Personal%20Care,%20WMF\RRP_SPP%20Kazakhstan%202025.xlsx" TargetMode="External"/><Relationship Id="rId1" Type="http://schemas.openxmlformats.org/officeDocument/2006/relationships/externalLinkPath" Target="/Users/asulaymanov/Desktop/Desktop/Product%20CW&amp;KW,%20Personal%20Care,%20WMF/RRP_SPP%20Kazakhstan%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y weeks"/>
      <sheetName val="Sheet4"/>
      <sheetName val="Sheet2"/>
      <sheetName val="Sheet3 (2)"/>
      <sheetName val="OLAP data"/>
      <sheetName val="by month"/>
      <sheetName val="month by shops"/>
      <sheetName val="Sheet1"/>
      <sheetName val="by month 23"/>
      <sheetName val="OLAP by shops sales"/>
      <sheetName val="OLAP by shops stock"/>
      <sheetName val="Sheet3"/>
    </sheetNames>
    <sheetDataSet>
      <sheetData sheetId="0">
        <row r="3">
          <cell r="B3" t="str">
            <v>;</v>
          </cell>
        </row>
        <row r="6">
          <cell r="B6" t="str">
            <v>CMMF</v>
          </cell>
          <cell r="E6" t="str">
            <v>Comm code</v>
          </cell>
          <cell r="H6" t="str">
            <v>Description</v>
          </cell>
        </row>
        <row r="8">
          <cell r="B8">
            <v>3200001810</v>
          </cell>
          <cell r="E8">
            <v>414140711</v>
          </cell>
          <cell r="H8" t="str">
            <v>ТОСТЕР СО СТЕКЛЯННЫМИ СТЕНКАМИ LONO</v>
          </cell>
        </row>
        <row r="9">
          <cell r="B9">
            <v>3200001442</v>
          </cell>
          <cell r="E9">
            <v>414190711</v>
          </cell>
          <cell r="H9" t="str">
            <v xml:space="preserve">ТОСТЕР LONG SLOT LUMERO
</v>
          </cell>
        </row>
        <row r="10">
          <cell r="B10">
            <v>3200000592</v>
          </cell>
          <cell r="E10">
            <v>414120051</v>
          </cell>
          <cell r="H10" t="str">
            <v xml:space="preserve">ТОСТЕР KITCHENMINIS LONG SLOT
</v>
          </cell>
        </row>
        <row r="11">
          <cell r="B11">
            <v>3200000590</v>
          </cell>
          <cell r="E11">
            <v>414120041</v>
          </cell>
          <cell r="H11" t="str">
            <v xml:space="preserve">ТОСТЕР KITCHENMINIS LONG SLOT
</v>
          </cell>
        </row>
        <row r="12">
          <cell r="B12">
            <v>3200000480</v>
          </cell>
          <cell r="E12">
            <v>414120711</v>
          </cell>
          <cell r="H12" t="str">
            <v>ЭЛЕКТРИЧЕСКИЙ ТОСТЕР KITCHENMINIS (LONGSLICE)</v>
          </cell>
        </row>
        <row r="13">
          <cell r="B13">
            <v>3200000492</v>
          </cell>
          <cell r="E13">
            <v>414090711</v>
          </cell>
          <cell r="H13" t="str">
            <v>ЭЛЕКТРИЧЕСКИЙ ТОСТЕР LONO</v>
          </cell>
        </row>
        <row r="14">
          <cell r="B14">
            <v>3200000478</v>
          </cell>
          <cell r="E14">
            <v>414100711</v>
          </cell>
          <cell r="H14" t="str">
            <v>ЭЛЕКТРИЧЕСКИЙ ТОСТЕР KITCHENMINIS (НА 1 ТОСТ)</v>
          </cell>
        </row>
        <row r="15">
          <cell r="B15">
            <v>3200001159</v>
          </cell>
          <cell r="E15">
            <v>415360711</v>
          </cell>
          <cell r="H15" t="str">
            <v>ПАРОВАРКА LONO SOUS-VIDE</v>
          </cell>
        </row>
        <row r="16">
          <cell r="B16">
            <v>3200000464</v>
          </cell>
          <cell r="E16">
            <v>415360011</v>
          </cell>
          <cell r="H16" t="str">
            <v>ПАРОВАРКА LONO SOUS-VIDE</v>
          </cell>
        </row>
        <row r="17">
          <cell r="B17">
            <v>3200000436</v>
          </cell>
          <cell r="E17">
            <v>419070011</v>
          </cell>
          <cell r="H17" t="str">
            <v xml:space="preserve">ВАКУУМНЫЙ УПАКОВЩИК LONO </v>
          </cell>
        </row>
        <row r="18">
          <cell r="B18">
            <v>3200001160</v>
          </cell>
          <cell r="E18">
            <v>419070711</v>
          </cell>
          <cell r="H18" t="str">
            <v xml:space="preserve">ВАКУУМНЫЙ УПАКОВЩИК LONO </v>
          </cell>
        </row>
        <row r="19">
          <cell r="B19">
            <v>3200002116</v>
          </cell>
          <cell r="E19">
            <v>415090711</v>
          </cell>
          <cell r="H19" t="str">
            <v>ЭЛЕКТРИЧЕСКАЯ ПАРОВАРКА KITCHENMINIS</v>
          </cell>
        </row>
        <row r="20">
          <cell r="B20">
            <v>3200000463</v>
          </cell>
          <cell r="E20">
            <v>415090711</v>
          </cell>
          <cell r="H20" t="str">
            <v>ЭЛЕКТРИЧЕСКАЯ ПАРОВАРКА KITCHENMINIS</v>
          </cell>
        </row>
        <row r="21">
          <cell r="B21">
            <v>3200000470</v>
          </cell>
          <cell r="E21">
            <v>415240711</v>
          </cell>
          <cell r="H21" t="str">
            <v>ИНДУКЦИОННАЯ ПАНЕЛЬ KULT X MONO</v>
          </cell>
        </row>
        <row r="22">
          <cell r="B22">
            <v>3200000458</v>
          </cell>
          <cell r="E22">
            <v>415260711</v>
          </cell>
          <cell r="H22" t="str">
            <v xml:space="preserve">ЭЛЕКТРИЧЕСКАЯ РИСОВАРКА KITCHENMINIS </v>
          </cell>
        </row>
        <row r="23">
          <cell r="B23">
            <v>3200001446</v>
          </cell>
          <cell r="E23">
            <v>415480711</v>
          </cell>
          <cell r="H23" t="str">
            <v>МУЛЬТИФУНКЦИОНАЛЬНАЯ СТАНЦИЯ 3В1 - ГРИЛЬ, РАКЛЕТ И ФОНДЮ</v>
          </cell>
        </row>
        <row r="24">
          <cell r="B24">
            <v>3200000456</v>
          </cell>
          <cell r="E24">
            <v>415020711</v>
          </cell>
          <cell r="H24" t="str">
            <v>ЭЛЕКТРИЧЕСКАЯ ЯЙЦЕВАРКА KITCHENMINIS (НА 2 ЯЙЦА)</v>
          </cell>
        </row>
        <row r="25">
          <cell r="B25">
            <v>3200000596</v>
          </cell>
          <cell r="E25">
            <v>415230711</v>
          </cell>
          <cell r="H25" t="str">
            <v>ЭЛЕКТРИЧЕСКИЙ ПОДОГРЕВАТЕЛЬ БУТЫЛОЧЕК LONO</v>
          </cell>
        </row>
        <row r="26">
          <cell r="B26">
            <v>3200000468</v>
          </cell>
          <cell r="E26">
            <v>415220711</v>
          </cell>
          <cell r="H26" t="str">
            <v>ЭЛЕКТРИЧЕСКАЯ ЯЙЦЕВАРКА KITCHENMINIS (НА 1 ЯЙЦО)</v>
          </cell>
        </row>
        <row r="27">
          <cell r="B27">
            <v>3200000457</v>
          </cell>
          <cell r="E27">
            <v>416450711</v>
          </cell>
          <cell r="H27" t="str">
            <v>ЭЛЕКТРИЧЕСКАЯ МОРОЖЕНИЦА KITCHENMINIS</v>
          </cell>
        </row>
        <row r="28">
          <cell r="B28">
            <v>3200001210</v>
          </cell>
          <cell r="E28">
            <v>415140711</v>
          </cell>
          <cell r="H28" t="str">
            <v>ХЛЕБОПЕЧКА KULT X</v>
          </cell>
        </row>
        <row r="29">
          <cell r="B29">
            <v>3200001925</v>
          </cell>
          <cell r="E29">
            <v>415490711</v>
          </cell>
          <cell r="H29" t="str">
            <v>ФРИТЮРНИЦА KITCHENMINIS</v>
          </cell>
        </row>
        <row r="30">
          <cell r="B30">
            <v>3200001451</v>
          </cell>
          <cell r="E30">
            <v>419040711</v>
          </cell>
          <cell r="H30" t="str">
            <v>УДЛИНИТЕЛЬ AMBIENT</v>
          </cell>
        </row>
        <row r="31">
          <cell r="B31">
            <v>7211004401</v>
          </cell>
          <cell r="E31">
            <v>415560711</v>
          </cell>
          <cell r="H31" t="str">
            <v>ГРИЛЬ PROFI PLUS PERFECTION</v>
          </cell>
        </row>
        <row r="32">
          <cell r="B32">
            <v>3200001158</v>
          </cell>
          <cell r="E32">
            <v>412320711</v>
          </cell>
          <cell r="H32" t="str">
            <v>КОФЕВАРКА СО СТЕКЛЯННОЙ КОЛБОЙ LUMERO GLASS COFFEE</v>
          </cell>
        </row>
        <row r="33">
          <cell r="B33">
            <v>3200001209</v>
          </cell>
          <cell r="E33">
            <v>412360711</v>
          </cell>
          <cell r="H33" t="str">
            <v>ЭСПРЕССО МАШИНА LUMERO</v>
          </cell>
        </row>
        <row r="34">
          <cell r="B34">
            <v>3200000446</v>
          </cell>
          <cell r="E34">
            <v>412360011</v>
          </cell>
          <cell r="H34" t="str">
            <v>ЭСПРЕССО МАШИНА LUMERO</v>
          </cell>
        </row>
        <row r="35">
          <cell r="B35">
            <v>7211004764</v>
          </cell>
          <cell r="E35">
            <v>413260711</v>
          </cell>
          <cell r="H35" t="str">
            <v xml:space="preserve">ЭЛЕКТРИЧЕСКИЙ ЗАВАРОЧНЫЙ ЧАЙНИК LUMERO 1,7 Л. </v>
          </cell>
        </row>
        <row r="36">
          <cell r="B36">
            <v>3200001440</v>
          </cell>
          <cell r="E36">
            <v>413260711</v>
          </cell>
          <cell r="H36" t="str">
            <v xml:space="preserve">ЭЛЕКТРИЧЕСКИЙ ЗАВАРОЧНЫЙ ЧАЙНИК LUMERO 1,7 Л. </v>
          </cell>
        </row>
        <row r="37">
          <cell r="B37">
            <v>3200000491</v>
          </cell>
          <cell r="E37">
            <v>413160711</v>
          </cell>
          <cell r="H37" t="str">
            <v>ЭЛЕКТРИЧЕСКИЙ ЧАЙНИК (ЗАВАРОЧНЫЙ ЧАЙНИК) LONO</v>
          </cell>
        </row>
        <row r="38">
          <cell r="B38">
            <v>3200001441</v>
          </cell>
          <cell r="E38">
            <v>413290711</v>
          </cell>
          <cell r="H38" t="str">
            <v>ЭЛЕКТРИЧЕСКИЙ ЧАЙНИК LUMERO 1,7Л</v>
          </cell>
        </row>
        <row r="39">
          <cell r="B39">
            <v>3200000484</v>
          </cell>
          <cell r="E39">
            <v>413150711</v>
          </cell>
          <cell r="H39" t="str">
            <v>ЭЛЕКТРИЧЕСКИЙ ЧАЙНИК LONO 1.7 Л</v>
          </cell>
        </row>
        <row r="40">
          <cell r="B40">
            <v>7211004472</v>
          </cell>
          <cell r="E40">
            <v>413180712</v>
          </cell>
          <cell r="H40" t="str">
            <v>ЭЛЕКТРИЧЕСКИЙ ЧАЙНИК (ЗАВАРОЧНЫЙ ЧАЙНИК)  1Л  KITCHENMINIS</v>
          </cell>
        </row>
        <row r="41">
          <cell r="B41">
            <v>3200000784</v>
          </cell>
          <cell r="E41">
            <v>413180712</v>
          </cell>
          <cell r="H41" t="str">
            <v>ЭЛЕКТРИЧЕСКИЙ ЧАЙНИК (ЗАВАРОЧНЫЙ ЧАЙНИК)  1Л  KITCHENMINIS</v>
          </cell>
        </row>
        <row r="42">
          <cell r="B42">
            <v>3200001924</v>
          </cell>
          <cell r="E42">
            <v>413310711</v>
          </cell>
          <cell r="H42" t="str">
            <v>ЭЛЕКТРИЧЕСКИЙ ЗАВАРОЧНЫЙ ЧАЙНИК KINEO 1,6 Л.</v>
          </cell>
        </row>
        <row r="43">
          <cell r="B43">
            <v>3200001155</v>
          </cell>
          <cell r="E43">
            <v>413190711</v>
          </cell>
          <cell r="H43" t="str">
            <v xml:space="preserve">ЧАЙНИК СТЕКЛЯННЫЙ 1Л KITCHENMINIS 
</v>
          </cell>
        </row>
        <row r="44">
          <cell r="B44">
            <v>3200001206</v>
          </cell>
          <cell r="E44">
            <v>413210711</v>
          </cell>
          <cell r="H44" t="str">
            <v xml:space="preserve">ЧАЙНИК С ДВОЙНЫМИ СТЕНКАМИ LONO
</v>
          </cell>
        </row>
        <row r="45">
          <cell r="B45">
            <v>3200000595</v>
          </cell>
          <cell r="E45">
            <v>413060711</v>
          </cell>
          <cell r="H45" t="str">
            <v>ЭЛЕКТРИЧЕСКИЙ ЧАЙНИК LINEO 1.6 Л</v>
          </cell>
        </row>
        <row r="46">
          <cell r="B46">
            <v>3200000444</v>
          </cell>
          <cell r="E46">
            <v>413190011</v>
          </cell>
          <cell r="H46" t="str">
            <v xml:space="preserve">ЧАЙНИК СТЕКЛЯННЫЙ KITCHENMINIS 0.8
</v>
          </cell>
        </row>
        <row r="47">
          <cell r="B47">
            <v>3200000493</v>
          </cell>
          <cell r="E47">
            <v>413130711</v>
          </cell>
          <cell r="H47" t="str">
            <v>ЭЛЕКТРИЧЕСКИЙ ЧАЙНИК LONO 1.6 Л</v>
          </cell>
        </row>
        <row r="48">
          <cell r="B48">
            <v>3200000852</v>
          </cell>
          <cell r="E48">
            <v>413190051</v>
          </cell>
          <cell r="H48" t="str">
            <v xml:space="preserve">ЧАЙНИК СТЕКЛЯННЫЙ KITCHENMINIS 0.8 (ТОНИРОВАННОЕ СТЕКЛО, ЦВЕТ МЕДНЫЙ)
</v>
          </cell>
        </row>
        <row r="49">
          <cell r="B49">
            <v>3200000851</v>
          </cell>
          <cell r="E49">
            <v>413190041</v>
          </cell>
          <cell r="H49" t="str">
            <v xml:space="preserve">ЧАЙНИК СТЕКЛЯННЫЙ KITCHENMINIS 0.8 (ТОНИРОВАННОЕ СТЕКЛО, ЦВЕТ ГРАФИТ)
</v>
          </cell>
        </row>
        <row r="50">
          <cell r="B50">
            <v>3200000570</v>
          </cell>
          <cell r="E50">
            <v>413140711</v>
          </cell>
          <cell r="H50" t="str">
            <v>ЭЛЕКТРИЧЕСКИЙ ЧАЙНИК KITCHENMINIS 0.8 Л</v>
          </cell>
        </row>
        <row r="51">
          <cell r="B51">
            <v>3200000588</v>
          </cell>
          <cell r="E51">
            <v>413140051</v>
          </cell>
          <cell r="H51" t="str">
            <v xml:space="preserve">ЧАЙНИК KITCHENMINIS COLOR EDITION 0.8Л
</v>
          </cell>
        </row>
        <row r="52">
          <cell r="B52">
            <v>3200000587</v>
          </cell>
          <cell r="E52">
            <v>413140041</v>
          </cell>
          <cell r="H52" t="str">
            <v xml:space="preserve">ЧАЙНИК KITCHENMINIS COLOR EDITION 0,8Л
</v>
          </cell>
        </row>
        <row r="53">
          <cell r="B53">
            <v>3200000496</v>
          </cell>
          <cell r="E53">
            <v>413170711</v>
          </cell>
          <cell r="H53" t="str">
            <v>КАПУЧИНАТОР  LONO MILK&amp;CHOC</v>
          </cell>
        </row>
        <row r="54">
          <cell r="B54">
            <v>3200001439</v>
          </cell>
          <cell r="E54">
            <v>413300711</v>
          </cell>
          <cell r="H54" t="str">
            <v>ЭЛЕКТРИЧЕСКИЙ КАПУЧИНАТОР LUMERO</v>
          </cell>
        </row>
        <row r="55">
          <cell r="B55">
            <v>3200000497</v>
          </cell>
          <cell r="E55">
            <v>413120711</v>
          </cell>
          <cell r="H55" t="str">
            <v>ЭЛЕКТРИЧЕСКИЙ КАПУЧИНАТОР LINEO</v>
          </cell>
        </row>
        <row r="56">
          <cell r="B56">
            <v>3200001161</v>
          </cell>
          <cell r="E56">
            <v>415400711</v>
          </cell>
          <cell r="H56" t="str">
            <v>ОХЛАДИТЕЛЬ ДЛЯ ВИНА И ШАМПАНСКОГО AMBIENT</v>
          </cell>
        </row>
        <row r="57">
          <cell r="B57">
            <v>3200000452</v>
          </cell>
          <cell r="E57">
            <v>415400011</v>
          </cell>
          <cell r="H57" t="str">
            <v>ОХЛАДИТЕЛЬ ДЛЯ ВИНА И ШАМПАНСКОГО AMBIENTE</v>
          </cell>
        </row>
        <row r="58">
          <cell r="B58">
            <v>3200000462</v>
          </cell>
          <cell r="E58">
            <v>415250711</v>
          </cell>
          <cell r="H58" t="str">
            <v xml:space="preserve">ЭЛЕКТРИЧЕСКАЯ СУШИЛКА ДЛЯ ОВОЩЕЙ И ФРУКТОВ KITCHENMINIS </v>
          </cell>
        </row>
        <row r="59">
          <cell r="B59">
            <v>3200000472</v>
          </cell>
          <cell r="E59">
            <v>419010711</v>
          </cell>
          <cell r="H59" t="str">
            <v>ГОРШОК С СИСТЕМОЙ АВТОПОЛИВА  AMBIENT HERBS @HOME</v>
          </cell>
        </row>
        <row r="60">
          <cell r="B60">
            <v>3200001453</v>
          </cell>
          <cell r="E60">
            <v>419080711</v>
          </cell>
          <cell r="H60" t="str">
            <v>АРОМА-ДИФФЬЮЗОР AMBIENT</v>
          </cell>
        </row>
        <row r="61">
          <cell r="B61">
            <v>3200001772</v>
          </cell>
          <cell r="E61">
            <v>417100711</v>
          </cell>
          <cell r="H61" t="str">
            <v>МЯСОРУБКА PROFI PLUS</v>
          </cell>
        </row>
        <row r="62">
          <cell r="B62">
            <v>3200001445</v>
          </cell>
          <cell r="E62">
            <v>415470711</v>
          </cell>
          <cell r="H62" t="str">
            <v>АППАРАТ ДЛЯ ПРИГОТОВЛЕНИЯ ПОПКОРНА</v>
          </cell>
        </row>
        <row r="63">
          <cell r="B63">
            <v>3200000548</v>
          </cell>
          <cell r="E63">
            <v>416320771</v>
          </cell>
          <cell r="H63" t="str">
            <v>КУХОННАЯ МАШИНА PROFI PLUS (СЕРЫЙ)</v>
          </cell>
        </row>
        <row r="64">
          <cell r="B64">
            <v>3200001450</v>
          </cell>
          <cell r="E64">
            <v>416680771</v>
          </cell>
          <cell r="H64" t="str">
            <v>КУХОННАЯ МАШИНА KITCHENMINIS (СЕРЫЙ)</v>
          </cell>
        </row>
        <row r="65">
          <cell r="B65">
            <v>3200000623</v>
          </cell>
          <cell r="E65">
            <v>416560711</v>
          </cell>
          <cell r="H65" t="str">
            <v>ЭЛЕКТРИЧЕСКИЙ РУЧНОЙ МИКСЕР KULT X</v>
          </cell>
        </row>
        <row r="66">
          <cell r="B66">
            <v>3200000483</v>
          </cell>
          <cell r="E66">
            <v>416350711</v>
          </cell>
          <cell r="H66" t="str">
            <v>ЭЛЕКТРИЧЕСКИЙ ПОГРУЖНОЙ БЛЕНДЕР LINEO</v>
          </cell>
        </row>
        <row r="67">
          <cell r="B67">
            <v>3200000549</v>
          </cell>
          <cell r="E67">
            <v>416950721</v>
          </cell>
          <cell r="H67" t="str">
            <v>НАСАДКА ДЛЯ ПАСТЫ ДЛЯ КУХОННОЙ МАШИНЫ PROFI PLUS</v>
          </cell>
        </row>
        <row r="68">
          <cell r="B68">
            <v>3200000550</v>
          </cell>
          <cell r="E68">
            <v>416910721</v>
          </cell>
          <cell r="H68" t="str">
            <v>НАСАДКА ДЛЯ ПАСТЫ (ТАГЛИАТЕЛЛИ) ДЛЯ КУХОННОЙ МАШИНЫ PROFI PLUS</v>
          </cell>
        </row>
        <row r="69">
          <cell r="B69">
            <v>3200000551</v>
          </cell>
          <cell r="E69">
            <v>416810721</v>
          </cell>
          <cell r="H69" t="str">
            <v>НАСАДКА ДЛЯ ПАСТЫ (СПАГЕТТИ) ДЛЯ КУХОННОЙ МАШИНЫ PROFI PLUS</v>
          </cell>
        </row>
        <row r="70">
          <cell r="B70">
            <v>3200000554</v>
          </cell>
          <cell r="E70">
            <v>416960771</v>
          </cell>
          <cell r="H70" t="str">
            <v>НАСАДКА-ОВОЩЕРЕЗКА ДЛЯ КУХОННОЙ МАШИНЫ PROFI PLUS</v>
          </cell>
        </row>
        <row r="71">
          <cell r="B71">
            <v>3200000552</v>
          </cell>
          <cell r="E71">
            <v>416920711</v>
          </cell>
          <cell r="H71" t="str">
            <v>НАСАДКА-МЯСОРУБКА ДЛЯ КУХОННОЙ МАШИНЫ PROFI PLUS</v>
          </cell>
        </row>
        <row r="72">
          <cell r="B72">
            <v>3200000553</v>
          </cell>
          <cell r="E72">
            <v>416940711</v>
          </cell>
          <cell r="H72" t="str">
            <v>НАСАДКА ДЛЯ ПЕЧЕНЬЯ ДЛЯ КУХОННОЙ МАШИНЫ PROFI PLUS</v>
          </cell>
        </row>
        <row r="73">
          <cell r="B73">
            <v>3200001162</v>
          </cell>
          <cell r="E73">
            <v>416400711</v>
          </cell>
          <cell r="H73" t="str">
            <v>ОВОЩЕРЕЗКА KITCHENMINIS SALAD-TO-GO</v>
          </cell>
        </row>
        <row r="74">
          <cell r="B74">
            <v>3200000026</v>
          </cell>
          <cell r="E74">
            <v>416400011</v>
          </cell>
          <cell r="H74" t="str">
            <v>ОВОЩЕРЕЗКА KITCHENMINIS SALAD-TO-GO</v>
          </cell>
        </row>
        <row r="75">
          <cell r="B75">
            <v>3200000467</v>
          </cell>
          <cell r="E75">
            <v>416480711</v>
          </cell>
          <cell r="H75" t="str">
            <v xml:space="preserve"> СПИРАЛАЙЗЕР KULT X</v>
          </cell>
        </row>
        <row r="76">
          <cell r="B76">
            <v>3200002009</v>
          </cell>
          <cell r="E76">
            <v>416670711</v>
          </cell>
          <cell r="H76" t="str">
            <v>СОКОВЫЖИМАЛКА ДЛЯ ЦИТРУСОВЫХ PROFI PLUS</v>
          </cell>
        </row>
        <row r="77">
          <cell r="B77">
            <v>3200001154</v>
          </cell>
          <cell r="E77">
            <v>416500711</v>
          </cell>
          <cell r="H77" t="str">
            <v>БЛЕНДЕР KITCHENMINIS SMOOTHIE-TO-GO</v>
          </cell>
        </row>
        <row r="78">
          <cell r="B78">
            <v>3200000469</v>
          </cell>
          <cell r="E78">
            <v>416530711</v>
          </cell>
          <cell r="H78" t="str">
            <v>ЭЛЕКТРИЧЕСКИЙ БЛЕНДЕР KULT PRO</v>
          </cell>
        </row>
        <row r="79">
          <cell r="B79">
            <v>3200000481</v>
          </cell>
          <cell r="E79">
            <v>416490711</v>
          </cell>
          <cell r="H79" t="str">
            <v>ЭЛЕКТРИЧЕСКИЙ БЛЕНДЕР 0.8 Л KITCHENMINIS</v>
          </cell>
        </row>
        <row r="80">
          <cell r="B80">
            <v>3200001949</v>
          </cell>
          <cell r="E80">
            <v>416700711</v>
          </cell>
          <cell r="H80" t="str">
            <v>ПОРТАТИВНЫЙ БЛЕНДЕР MIX ON THE GO KITCHENMINIS</v>
          </cell>
        </row>
        <row r="81">
          <cell r="B81">
            <v>3200000092</v>
          </cell>
          <cell r="E81">
            <v>416500011</v>
          </cell>
          <cell r="H81" t="str">
            <v>БЛЕНДЕР KITCHENMINIS SMOOTHIE-TO-GO</v>
          </cell>
        </row>
        <row r="82">
          <cell r="B82">
            <v>3200001153</v>
          </cell>
          <cell r="E82">
            <v>416630711</v>
          </cell>
          <cell r="H82" t="str">
            <v xml:space="preserve">ВЫСОКОСКОРОСТНОЙ БЛЕНДЕР KULTT PRO </v>
          </cell>
        </row>
        <row r="83">
          <cell r="B83">
            <v>3201017822</v>
          </cell>
          <cell r="E83">
            <v>1268916342</v>
          </cell>
          <cell r="H83" t="str">
            <v>НАБОР СТОЛОВЫХ ПРИБОРОВ KINEO 30 ПР.</v>
          </cell>
        </row>
        <row r="84">
          <cell r="B84">
            <v>3201001678</v>
          </cell>
          <cell r="E84">
            <v>1177009990</v>
          </cell>
          <cell r="H84" t="str">
            <v>СТОЛОВЫЕ ПРИБОРЫ 60 ПР. PALERMO</v>
          </cell>
        </row>
        <row r="85">
          <cell r="B85">
            <v>3201001705</v>
          </cell>
          <cell r="E85">
            <v>1101916030</v>
          </cell>
          <cell r="H85" t="str">
            <v>СТОЛОВЫЕ ПРИБОРЫ 30 ПР. SILK</v>
          </cell>
        </row>
        <row r="86">
          <cell r="B86">
            <v>3201001850</v>
          </cell>
          <cell r="E86">
            <v>1178919990</v>
          </cell>
          <cell r="H86" t="str">
            <v>СТОЛОВЫЕ ПРИБОРЫ 30 ПР. ALTEO</v>
          </cell>
        </row>
        <row r="87">
          <cell r="B87">
            <v>3201002209</v>
          </cell>
          <cell r="E87">
            <v>1272916040</v>
          </cell>
          <cell r="H87" t="str">
            <v>СТОЛОВЫЕ ПРИБОРЫ 30 ПР. PALMA</v>
          </cell>
        </row>
        <row r="88">
          <cell r="B88">
            <v>3201002567</v>
          </cell>
          <cell r="E88">
            <v>1296309964</v>
          </cell>
          <cell r="H88" t="str">
            <v>ДЕТСКИЙ НАБОР ПРИБОРОВ, 6 ШТ, PITZELPA</v>
          </cell>
        </row>
        <row r="89">
          <cell r="B89">
            <v>3201000280</v>
          </cell>
          <cell r="E89">
            <v>1294059964</v>
          </cell>
          <cell r="H89" t="str">
            <v>ДЕТСКИЙ НАБОР ПРИБОРОВ, 6 ШТ, THE LITT</v>
          </cell>
        </row>
        <row r="90">
          <cell r="B90">
            <v>3201111490</v>
          </cell>
          <cell r="E90">
            <v>1288089964</v>
          </cell>
          <cell r="H90" t="str">
            <v>ДЕТСКИЙ НАБОР ПРИБОРОВ, 6 ШТ, PAW PATROL</v>
          </cell>
        </row>
        <row r="91">
          <cell r="B91">
            <v>3201002425</v>
          </cell>
          <cell r="E91">
            <v>1280029964</v>
          </cell>
          <cell r="H91" t="str">
            <v>ДЕТСКИЙ НАБОР ПРИБОРОВ, 6 ШТ, SAFARI</v>
          </cell>
        </row>
        <row r="92">
          <cell r="B92">
            <v>3201002562</v>
          </cell>
          <cell r="E92">
            <v>1294406040</v>
          </cell>
          <cell r="H92" t="str">
            <v>ДЕТСКИЙ НАБОР ПРИБОРОВ, 4 ШТ, BIENE MAYA</v>
          </cell>
        </row>
        <row r="93">
          <cell r="B93">
            <v>3201111489</v>
          </cell>
          <cell r="E93">
            <v>1288086040</v>
          </cell>
          <cell r="H93" t="str">
            <v>ДЕТСКИЙ НАБОР ПРИБОРОВ, 4 ШТ, PAW PATROL</v>
          </cell>
        </row>
        <row r="94">
          <cell r="B94">
            <v>3201000266</v>
          </cell>
          <cell r="E94">
            <v>1291386040</v>
          </cell>
          <cell r="H94" t="str">
            <v>НАБОР 6 ЛОЖЕК ЭСПРЕССО NUOVA</v>
          </cell>
        </row>
        <row r="95">
          <cell r="B95">
            <v>3201002270</v>
          </cell>
          <cell r="E95">
            <v>1207916342</v>
          </cell>
          <cell r="H95" t="str">
            <v>СТОЛОВЫЕ ПРИБОРЫ 30 ПР. KENT</v>
          </cell>
        </row>
        <row r="96">
          <cell r="B96">
            <v>3201001758</v>
          </cell>
          <cell r="E96">
            <v>1120916040</v>
          </cell>
          <cell r="H96" t="str">
            <v>СТОЛОВЫЕ ПРИБОРЫ 30 ПР.  BOSTON</v>
          </cell>
        </row>
        <row r="97">
          <cell r="B97">
            <v>3201000326</v>
          </cell>
          <cell r="E97">
            <v>1177006043</v>
          </cell>
          <cell r="H97" t="str">
            <v>НАБОР СТОЛОВЫХ ПРИБОРОВ 24 ПР. PALERMO</v>
          </cell>
        </row>
        <row r="98">
          <cell r="B98">
            <v>3201019442</v>
          </cell>
          <cell r="E98">
            <v>1295036040</v>
          </cell>
          <cell r="H98" t="str">
            <v>НАБОР СТОЛОВЫХ ПРИБОРОВ С СОБОЙ MY2GO</v>
          </cell>
        </row>
        <row r="99">
          <cell r="B99">
            <v>3201002488</v>
          </cell>
          <cell r="E99">
            <v>1286019964</v>
          </cell>
          <cell r="H99" t="str">
            <v>ДЕТСКИЙ НАБОР 6 ПР. CARS</v>
          </cell>
        </row>
        <row r="100">
          <cell r="B100">
            <v>3201002559</v>
          </cell>
          <cell r="E100">
            <v>1294159964</v>
          </cell>
          <cell r="H100" t="str">
            <v>ДЕТСКИЙ НАБОР 6 ПР. PRINZESSIN ANNELI</v>
          </cell>
        </row>
        <row r="101">
          <cell r="B101">
            <v>3201010289</v>
          </cell>
          <cell r="E101">
            <v>1286079964</v>
          </cell>
          <cell r="H101" t="str">
            <v>ДЕТСКИЙ НАБОР СТОЛОВЫХ ПРИБОРОВ 6 ПР. MINIONS</v>
          </cell>
        </row>
        <row r="102">
          <cell r="B102">
            <v>3201005807</v>
          </cell>
          <cell r="E102">
            <v>1286059964</v>
          </cell>
          <cell r="H102" t="str">
            <v>ДЕТСКИЙ НАБОР 6 ПР. UNICORN</v>
          </cell>
        </row>
        <row r="103">
          <cell r="B103">
            <v>3201005805</v>
          </cell>
          <cell r="E103">
            <v>1286049964</v>
          </cell>
          <cell r="H103" t="str">
            <v>ДЕТСКИЙ НАБОР 6 ПР. THE LION KING</v>
          </cell>
        </row>
        <row r="104">
          <cell r="B104">
            <v>3201000264</v>
          </cell>
          <cell r="E104">
            <v>1286009964</v>
          </cell>
          <cell r="H104" t="str">
            <v>ДЕТСКИЙ НАБОР 6 ПР. FROZEN</v>
          </cell>
        </row>
        <row r="105">
          <cell r="B105">
            <v>3201000262</v>
          </cell>
          <cell r="E105">
            <v>1283309964</v>
          </cell>
          <cell r="H105" t="str">
            <v>ДЕТСКИЙ НАБОР 6 ПР.  JUNGLE BOOK</v>
          </cell>
        </row>
        <row r="106">
          <cell r="B106">
            <v>3201002443</v>
          </cell>
          <cell r="E106">
            <v>1282959964</v>
          </cell>
          <cell r="H106" t="str">
            <v>ДЕТСКИЙ НАБОР 6 ПР.  MICKEY MOUSE</v>
          </cell>
        </row>
        <row r="107">
          <cell r="B107">
            <v>3201000260</v>
          </cell>
          <cell r="E107">
            <v>1282409964</v>
          </cell>
          <cell r="H107" t="str">
            <v xml:space="preserve">ДЕТСКИЙ НАБОР 6 ПР. PRINCESS </v>
          </cell>
        </row>
        <row r="108">
          <cell r="B108">
            <v>3201002511</v>
          </cell>
          <cell r="E108">
            <v>1291376040</v>
          </cell>
          <cell r="H108" t="str">
            <v>НАБОР ДЛЯ ТОРТА 13 ПР. NUOVA</v>
          </cell>
        </row>
        <row r="109">
          <cell r="B109">
            <v>3201010818</v>
          </cell>
          <cell r="E109">
            <v>1286076040</v>
          </cell>
          <cell r="H109" t="str">
            <v>ДЕТСКИЙ НАБОР СТОЛОВЫХ ПРИБОРОВ 4 ПР. MINIONS</v>
          </cell>
        </row>
        <row r="110">
          <cell r="B110">
            <v>3201002447</v>
          </cell>
          <cell r="E110">
            <v>1283506040</v>
          </cell>
          <cell r="H110" t="str">
            <v>ДЕТСКИЕ ПРИБОРЫ 4 ПР. WINNIE THE POOH</v>
          </cell>
        </row>
        <row r="111">
          <cell r="B111">
            <v>3201002423</v>
          </cell>
          <cell r="E111">
            <v>1280026040</v>
          </cell>
          <cell r="H111" t="str">
            <v>ДЕТСКИЕ ПРИБОРЫ 4 ПР. SAFARI</v>
          </cell>
        </row>
        <row r="112">
          <cell r="B112">
            <v>3201000277</v>
          </cell>
          <cell r="E112">
            <v>1291786040</v>
          </cell>
          <cell r="H112" t="str">
            <v>НАБОР ДЛЯ СЫРА 2ПР. NUOVA</v>
          </cell>
        </row>
        <row r="113">
          <cell r="B113">
            <v>3201002571</v>
          </cell>
          <cell r="E113">
            <v>1297356040</v>
          </cell>
          <cell r="H113" t="str">
            <v>ЩИПЦЫ ДЛЯ ПАСТЫ 25СМ NUOVA</v>
          </cell>
        </row>
        <row r="114">
          <cell r="B114">
            <v>3201000281</v>
          </cell>
          <cell r="E114">
            <v>1297336040</v>
          </cell>
          <cell r="H114" t="str">
            <v>СЕРВИРОВОЧНЫЕ ЩИПЦЫ NUOVA</v>
          </cell>
        </row>
        <row r="115">
          <cell r="B115">
            <v>3201005816</v>
          </cell>
          <cell r="E115">
            <v>1296436042</v>
          </cell>
          <cell r="H115" t="str">
            <v>НАБОР 2 ЧАШКИ, 2 ЛОЖКИ S MICKEY MOUSE</v>
          </cell>
        </row>
        <row r="116">
          <cell r="B116">
            <v>3201002539</v>
          </cell>
          <cell r="E116">
            <v>1291746046</v>
          </cell>
          <cell r="H116" t="str">
            <v>НАБОР ЛОЖЕК Д/ЛАТТЕ 6ШТ. NUOVA</v>
          </cell>
        </row>
        <row r="117">
          <cell r="B117">
            <v>3201000268</v>
          </cell>
          <cell r="E117">
            <v>1291406046</v>
          </cell>
          <cell r="H117" t="str">
            <v>ЛОЖКИ LONG DRINK НАБОР 6 ПР. NUOVA</v>
          </cell>
        </row>
        <row r="118">
          <cell r="B118">
            <v>3201010395</v>
          </cell>
          <cell r="E118">
            <v>2121294085</v>
          </cell>
          <cell r="H118" t="str">
            <v>НАБОР ДЛЯ СОЛИ И ПЕРЦА 2 ПР. MINIONS</v>
          </cell>
        </row>
        <row r="119">
          <cell r="B119">
            <v>3201000273</v>
          </cell>
          <cell r="E119">
            <v>1291666046</v>
          </cell>
          <cell r="H119" t="str">
            <v>НАБОР ВИЛОК ДЛЯ ТОРТА 6ШТ. NUOVA</v>
          </cell>
        </row>
        <row r="120">
          <cell r="B120">
            <v>3201002515</v>
          </cell>
          <cell r="E120">
            <v>1291426040</v>
          </cell>
          <cell r="H120" t="str">
            <v>САЛАТНАЯ ПАРА 25 СМ NUOVA</v>
          </cell>
        </row>
        <row r="121">
          <cell r="B121">
            <v>3201010394</v>
          </cell>
          <cell r="E121">
            <v>1286226040</v>
          </cell>
          <cell r="H121" t="str">
            <v>ПОДСТАВКА ДЛЯ ЯИЦ С ЛОЖКОЙ MINIONS</v>
          </cell>
        </row>
        <row r="122">
          <cell r="B122">
            <v>3201000272</v>
          </cell>
          <cell r="E122">
            <v>1291656046</v>
          </cell>
          <cell r="H122" t="str">
            <v>НАБОР ЧАЙНЫХ ЛОЖЕК 6ШТ. NUOVA</v>
          </cell>
        </row>
        <row r="123">
          <cell r="B123">
            <v>3201002450</v>
          </cell>
          <cell r="E123">
            <v>1283526040</v>
          </cell>
          <cell r="H123" t="str">
            <v>ДЕТСКАЯ ЛОЖКА WINNIE THE POOH DISNEY</v>
          </cell>
        </row>
        <row r="124">
          <cell r="B124">
            <v>3201002521</v>
          </cell>
          <cell r="E124">
            <v>1291476040</v>
          </cell>
          <cell r="H124" t="str">
            <v>СЕРВИРОВОЧНАЯ ЛОЖКА 25СМ NUOVA</v>
          </cell>
        </row>
        <row r="125">
          <cell r="B125">
            <v>3201002530</v>
          </cell>
          <cell r="E125">
            <v>1291606040</v>
          </cell>
          <cell r="H125" t="str">
            <v>НАБОР ДЕСЕРТНЫЕ ЛОЖКА И ВИЛКА NUOVA</v>
          </cell>
        </row>
        <row r="126">
          <cell r="B126">
            <v>3201002528</v>
          </cell>
          <cell r="E126">
            <v>1291586040</v>
          </cell>
          <cell r="H126" t="str">
            <v>ЛОЖКА ДЛЯ ПОДАЧИ ОВОЩЕЙ NUOVA</v>
          </cell>
        </row>
        <row r="127">
          <cell r="B127">
            <v>3201002523</v>
          </cell>
          <cell r="E127">
            <v>1291496042</v>
          </cell>
          <cell r="H127" t="str">
            <v>СЕРВИРОВОЧНАЯ ВИЛКА NUOVA</v>
          </cell>
        </row>
        <row r="128">
          <cell r="B128">
            <v>3201000256</v>
          </cell>
          <cell r="E128">
            <v>616687400</v>
          </cell>
          <cell r="H128" t="str">
            <v xml:space="preserve">ПОДСТАВКА ДЛЯ ЯЙЦА С ЛОЖКОЙ РОЗОВАЯ MCEGG </v>
          </cell>
        </row>
        <row r="129">
          <cell r="B129">
            <v>3201000341</v>
          </cell>
          <cell r="E129">
            <v>616687290</v>
          </cell>
          <cell r="H129" t="str">
            <v xml:space="preserve">ПОДСТАВКА ДЛЯ ЯЙЦА С ЛОЖКОЙ ЛИМОННАЯ MCEGG </v>
          </cell>
        </row>
        <row r="130">
          <cell r="B130">
            <v>3201002428</v>
          </cell>
          <cell r="E130">
            <v>1280636046</v>
          </cell>
          <cell r="H130" t="str">
            <v>НАБОР ДЛЯ СТЕЙКА 12 ПР. RANCH</v>
          </cell>
        </row>
        <row r="131">
          <cell r="B131">
            <v>3201002790</v>
          </cell>
          <cell r="E131">
            <v>1871529990</v>
          </cell>
          <cell r="H131" t="str">
            <v>НАБОР АКСЕССУАРОВ PROFI PLUS</v>
          </cell>
        </row>
        <row r="132">
          <cell r="B132">
            <v>3201010611</v>
          </cell>
          <cell r="E132">
            <v>1879984500</v>
          </cell>
          <cell r="H132" t="str">
            <v>РАЗДЕЛОЧНАЯ ДОСКА ИЗ АКАЦИИ 40Х32Х4 СМ ACACIA</v>
          </cell>
        </row>
        <row r="133">
          <cell r="B133">
            <v>3201000792</v>
          </cell>
          <cell r="E133">
            <v>646176040</v>
          </cell>
          <cell r="H133" t="str">
            <v>ДУРШЛАГ НА НОЖКАХ 24 СМ GOURMET KUECHE</v>
          </cell>
        </row>
        <row r="134">
          <cell r="B134">
            <v>3201000216</v>
          </cell>
          <cell r="E134">
            <v>667416040</v>
          </cell>
          <cell r="H134" t="str">
            <v>МЕЛЬНИЦА ЭЛЕКТРИЧЕСКАЯ ЧЕРНАЯ CERAMILL</v>
          </cell>
        </row>
        <row r="135">
          <cell r="B135">
            <v>3201000274</v>
          </cell>
          <cell r="E135">
            <v>1291716046</v>
          </cell>
          <cell r="H135" t="str">
            <v>НАБОР НОЖЕЙ ДЛЯ СТЕЙКА 6 ШТ. NUOVA</v>
          </cell>
        </row>
        <row r="136">
          <cell r="B136">
            <v>3201001651</v>
          </cell>
          <cell r="E136">
            <v>917622600</v>
          </cell>
          <cell r="H136" t="str">
            <v>НАБОР ДЛЯ САЛАТА 3ПР. МАЛЕНЬКИЙ TAVERNO</v>
          </cell>
        </row>
        <row r="137">
          <cell r="B137">
            <v>3201000795</v>
          </cell>
          <cell r="E137">
            <v>646596030</v>
          </cell>
          <cell r="H137" t="str">
            <v>МИСКА 20СМ GOURMET KUECHE</v>
          </cell>
        </row>
        <row r="138">
          <cell r="B138">
            <v>3201000130</v>
          </cell>
          <cell r="E138">
            <v>1871086030</v>
          </cell>
          <cell r="H138" t="str">
            <v>ЛОЖКА ДЛЯ СПАГЕТТИ 32СМ PROFI PLUS</v>
          </cell>
        </row>
        <row r="139">
          <cell r="B139">
            <v>3201000339</v>
          </cell>
          <cell r="E139">
            <v>608736040</v>
          </cell>
          <cell r="H139" t="str">
            <v>КУХОННЫЕ ВЕСЫ ЧЕРНЫЕ</v>
          </cell>
        </row>
        <row r="140">
          <cell r="B140">
            <v>3201000127</v>
          </cell>
          <cell r="E140">
            <v>1871036030</v>
          </cell>
          <cell r="H140" t="str">
            <v>ПОЛОВНИК ДЛЯ СОУСА 27СМ PROFI PLUS</v>
          </cell>
        </row>
        <row r="141">
          <cell r="B141">
            <v>3201002948</v>
          </cell>
          <cell r="E141">
            <v>1881746040</v>
          </cell>
          <cell r="H141" t="str">
            <v>ЛОЖКА ДЛЯ МОРОЖЕНОГО</v>
          </cell>
        </row>
        <row r="142">
          <cell r="B142">
            <v>3201000212</v>
          </cell>
          <cell r="E142">
            <v>661056030</v>
          </cell>
          <cell r="H142" t="str">
            <v>НАБОР ДЛЯ СОЛИ/ПЕРЦА BASIC</v>
          </cell>
        </row>
        <row r="143">
          <cell r="B143">
            <v>3201000118</v>
          </cell>
          <cell r="E143">
            <v>644416030</v>
          </cell>
          <cell r="H143" t="str">
            <v>ТЕРКА 4-ХГРАННАЯ</v>
          </cell>
        </row>
        <row r="144">
          <cell r="B144">
            <v>3201000184</v>
          </cell>
          <cell r="E144">
            <v>1894606030</v>
          </cell>
          <cell r="H144" t="str">
            <v>ПРЕСС ДЛЯ ЧЕСНОКА</v>
          </cell>
        </row>
        <row r="145">
          <cell r="B145">
            <v>3201000153</v>
          </cell>
          <cell r="E145">
            <v>1872466030</v>
          </cell>
          <cell r="H145" t="str">
            <v>ЛОЖКА СЕРВИРОВОЧНАЯ 32СМ PROFI PLUS</v>
          </cell>
        </row>
        <row r="146">
          <cell r="B146">
            <v>3201000136</v>
          </cell>
          <cell r="E146">
            <v>1871366030</v>
          </cell>
          <cell r="H146" t="str">
            <v>НОЖ ДЛЯ СЫРА PROFI PLUS</v>
          </cell>
        </row>
        <row r="147">
          <cell r="B147">
            <v>3201002789</v>
          </cell>
          <cell r="E147">
            <v>1871066030</v>
          </cell>
          <cell r="H147" t="str">
            <v>ВИЛКА ДЛЯ МЯСА PROFI PLUS</v>
          </cell>
        </row>
        <row r="148">
          <cell r="B148">
            <v>3201002792</v>
          </cell>
          <cell r="E148">
            <v>1871606030</v>
          </cell>
          <cell r="H148" t="str">
            <v>ЛОПАТКА 33СМ PROFI PLUS</v>
          </cell>
        </row>
        <row r="149">
          <cell r="B149">
            <v>3201002795</v>
          </cell>
          <cell r="E149">
            <v>1873086030</v>
          </cell>
          <cell r="H149" t="str">
            <v>ЛОПАТКА ДЛЯ РЫБЫ PROFI PLUS</v>
          </cell>
        </row>
        <row r="150">
          <cell r="B150">
            <v>3201000176</v>
          </cell>
          <cell r="E150">
            <v>1874986030</v>
          </cell>
          <cell r="H150" t="str">
            <v>КИСТОЧКА СИЛИКОНОВАЯ PROFI PLUS</v>
          </cell>
        </row>
        <row r="151">
          <cell r="B151">
            <v>3201000352</v>
          </cell>
          <cell r="E151">
            <v>1287949990</v>
          </cell>
          <cell r="H151" t="str">
            <v>ЩИПЦЫ ДЛЯ ПАСТЫ NEUTRALE AKTIONEN</v>
          </cell>
        </row>
        <row r="152">
          <cell r="B152">
            <v>3201002908</v>
          </cell>
          <cell r="E152">
            <v>1876709990</v>
          </cell>
          <cell r="H152" t="str">
            <v>НАБОР АКСЕССУАРОВ 7ПР.PROFI PLUS</v>
          </cell>
        </row>
        <row r="153">
          <cell r="B153">
            <v>3201000884</v>
          </cell>
          <cell r="E153">
            <v>686076040</v>
          </cell>
          <cell r="H153" t="str">
            <v>ТЕРКА TOP TOOLS</v>
          </cell>
        </row>
        <row r="154">
          <cell r="B154">
            <v>3201000872</v>
          </cell>
          <cell r="E154">
            <v>667346030</v>
          </cell>
          <cell r="H154" t="str">
            <v>МЕЛЬНИЦА Д/СПЕЦИЙ НА БАТ. CERAMILL</v>
          </cell>
        </row>
        <row r="155">
          <cell r="B155">
            <v>3201000669</v>
          </cell>
          <cell r="E155">
            <v>683969990</v>
          </cell>
          <cell r="H155" t="str">
            <v>ВЕДРО ДЛЯ ВИНА MANHATTAN</v>
          </cell>
        </row>
        <row r="156">
          <cell r="B156">
            <v>3201000121</v>
          </cell>
          <cell r="E156">
            <v>645709990</v>
          </cell>
          <cell r="H156" t="str">
            <v>НАБОР МИСОК 4 ПР GOURMET KUECHE</v>
          </cell>
        </row>
        <row r="157">
          <cell r="B157">
            <v>3201000660</v>
          </cell>
          <cell r="E157">
            <v>658277920</v>
          </cell>
          <cell r="H157" t="str">
            <v>НОЖ СОМЕЛЬЕ VINO</v>
          </cell>
        </row>
        <row r="158">
          <cell r="B158">
            <v>3201000659</v>
          </cell>
          <cell r="E158">
            <v>658257920</v>
          </cell>
          <cell r="H158" t="str">
            <v>ШТОПОР VINO</v>
          </cell>
        </row>
        <row r="159">
          <cell r="B159">
            <v>3201000157</v>
          </cell>
          <cell r="E159">
            <v>1872946030</v>
          </cell>
          <cell r="H159" t="str">
            <v>МОЛОТОК ДЛЯ МЯСА 25СМ PROFI PLUS</v>
          </cell>
        </row>
        <row r="160">
          <cell r="B160">
            <v>3201000147</v>
          </cell>
          <cell r="E160">
            <v>1871636030</v>
          </cell>
          <cell r="H160" t="str">
            <v>ПРЕСС Д/ЧЕСНОКА 17,5СМ PROFI PLUS</v>
          </cell>
        </row>
        <row r="161">
          <cell r="B161">
            <v>3201000142</v>
          </cell>
          <cell r="E161">
            <v>1871486030</v>
          </cell>
          <cell r="H161" t="str">
            <v>НОЖ КОНСЕРВНЫЙ 23СМ PROFI PLUS</v>
          </cell>
        </row>
        <row r="162">
          <cell r="B162">
            <v>3201000198</v>
          </cell>
          <cell r="E162">
            <v>640717920</v>
          </cell>
          <cell r="H162" t="str">
            <v>ПОМПА ДЛЯ ВИНА VINO</v>
          </cell>
        </row>
        <row r="163">
          <cell r="B163">
            <v>3201002793</v>
          </cell>
          <cell r="E163">
            <v>1871976030</v>
          </cell>
          <cell r="H163" t="str">
            <v>ШУМОВКА 30 СМ PROFI PLUS</v>
          </cell>
        </row>
        <row r="164">
          <cell r="B164">
            <v>3201000138</v>
          </cell>
          <cell r="E164">
            <v>1871386030</v>
          </cell>
          <cell r="H164" t="str">
            <v>ПРЕСС ДЛЯ КАРТОФЕЛЯ 28СМ PROFI PLUS</v>
          </cell>
        </row>
        <row r="165">
          <cell r="B165">
            <v>3201000125</v>
          </cell>
          <cell r="E165">
            <v>1871016030</v>
          </cell>
          <cell r="H165" t="str">
            <v>ПОЛОВНИК Д/СУПА 30 СМ PROFI PLUS</v>
          </cell>
        </row>
        <row r="166">
          <cell r="B166">
            <v>3201002819</v>
          </cell>
          <cell r="E166">
            <v>1872316030</v>
          </cell>
          <cell r="H166" t="str">
            <v>ВЕНЧИК 27СМ  PROFI PLUS</v>
          </cell>
        </row>
        <row r="167">
          <cell r="B167">
            <v>3201000146</v>
          </cell>
          <cell r="E167">
            <v>1871596030</v>
          </cell>
          <cell r="H167" t="str">
            <v>ЛОПАТКА ПЛАСТИКОВАЯ 32СМ PROFI PLUS</v>
          </cell>
        </row>
        <row r="168">
          <cell r="B168">
            <v>3201000135</v>
          </cell>
          <cell r="E168">
            <v>1871346030</v>
          </cell>
          <cell r="H168" t="str">
            <v>НОЖ ДЛЯ ПИЦЦЫ 21СМ PROFI PLUS</v>
          </cell>
        </row>
        <row r="169">
          <cell r="B169">
            <v>3201002839</v>
          </cell>
          <cell r="E169">
            <v>1871156030</v>
          </cell>
          <cell r="H169" t="str">
            <v>ВЕНЧИК 30СМ PROFI PLUS</v>
          </cell>
        </row>
        <row r="170">
          <cell r="B170">
            <v>3201000661</v>
          </cell>
          <cell r="E170">
            <v>658337920</v>
          </cell>
          <cell r="H170" t="str">
            <v>НОЖ ДЛЯ СРЕЗАНИЯ ФОЛЬГИ С БУТЫЛКИ VINO</v>
          </cell>
        </row>
        <row r="171">
          <cell r="B171">
            <v>3201000637</v>
          </cell>
          <cell r="E171">
            <v>640667920</v>
          </cell>
          <cell r="H171" t="str">
            <v>ПРОБКА ДЛЯ ВИНА VINO</v>
          </cell>
        </row>
        <row r="172">
          <cell r="B172">
            <v>3201000209</v>
          </cell>
          <cell r="E172">
            <v>658186200</v>
          </cell>
          <cell r="H172" t="str">
            <v>ШТОПОР CLEVER &amp; MORE</v>
          </cell>
        </row>
        <row r="173">
          <cell r="B173">
            <v>3201000197</v>
          </cell>
          <cell r="E173">
            <v>634546040</v>
          </cell>
          <cell r="H173" t="str">
            <v>СОЛОНКА/ПЕРЕЧНИЦА 2ШТ.  WMF</v>
          </cell>
        </row>
        <row r="174">
          <cell r="B174">
            <v>3201002815</v>
          </cell>
          <cell r="E174">
            <v>1871296030</v>
          </cell>
          <cell r="H174" t="str">
            <v>НОЖ ДЛЯ СЕРДЦЕВИНЫ ЯБЛОК PROFI PLUS</v>
          </cell>
        </row>
        <row r="175">
          <cell r="B175">
            <v>3201000208</v>
          </cell>
          <cell r="E175">
            <v>658136030</v>
          </cell>
          <cell r="H175" t="str">
            <v>НОЖ СОМЕЛЬЕ  WMF</v>
          </cell>
        </row>
        <row r="176">
          <cell r="B176">
            <v>3201000188</v>
          </cell>
          <cell r="E176">
            <v>617597390</v>
          </cell>
          <cell r="H176" t="str">
            <v>ЧИСТЯЩАЯ ЩЕТКА BASIC</v>
          </cell>
        </row>
        <row r="177">
          <cell r="B177">
            <v>3201000139</v>
          </cell>
          <cell r="E177">
            <v>1871396030</v>
          </cell>
          <cell r="H177" t="str">
            <v>НОЖ ДЛЯ ЧИСТКИ 19СМ PROFI PLUS</v>
          </cell>
        </row>
        <row r="178">
          <cell r="B178">
            <v>3201000338</v>
          </cell>
          <cell r="E178">
            <v>605796030</v>
          </cell>
          <cell r="H178" t="str">
            <v>МЫЛО ПРОТИВ ЗАПАХА GOURMET KUECHE</v>
          </cell>
        </row>
        <row r="179">
          <cell r="B179">
            <v>3201000663</v>
          </cell>
          <cell r="E179">
            <v>658516030</v>
          </cell>
          <cell r="H179" t="str">
            <v>ТЕРМОМЕТР ДЛЯ ВИНА CLEVER&amp;MORE</v>
          </cell>
        </row>
        <row r="180">
          <cell r="B180">
            <v>3201000642</v>
          </cell>
          <cell r="E180">
            <v>641036030</v>
          </cell>
          <cell r="H180" t="str">
            <v>ПРОБКА ДЛЯ ШАМПАНСКОГО CLEVER &amp; MORE</v>
          </cell>
        </row>
        <row r="181">
          <cell r="B181">
            <v>3201000639</v>
          </cell>
          <cell r="E181">
            <v>640727920</v>
          </cell>
          <cell r="H181" t="str">
            <v>ПРОБКА УНИВЕРСАЛЬНАЯ VINO</v>
          </cell>
        </row>
        <row r="182">
          <cell r="B182">
            <v>3201000200</v>
          </cell>
          <cell r="E182">
            <v>641026030</v>
          </cell>
          <cell r="H182" t="str">
            <v>ПРОБКА CLEVER&amp;MORE</v>
          </cell>
        </row>
        <row r="183">
          <cell r="B183">
            <v>3201002705</v>
          </cell>
          <cell r="E183">
            <v>1876349992</v>
          </cell>
          <cell r="H183" t="str">
            <v xml:space="preserve">НАБОР НОЖЕЙ 5 ПР GRAND GOURMET </v>
          </cell>
        </row>
        <row r="184">
          <cell r="B184">
            <v>3201000401</v>
          </cell>
          <cell r="E184">
            <v>1892159992</v>
          </cell>
          <cell r="H184" t="str">
            <v>БЛОК С НОЖАМИ 5 ПР. SPITZENKLASSE</v>
          </cell>
        </row>
        <row r="185">
          <cell r="B185">
            <v>3201019525</v>
          </cell>
          <cell r="E185">
            <v>1896369993</v>
          </cell>
          <cell r="H185" t="str">
            <v>БЛОК С НОЖАМИ SEQUENCE 6ПР.</v>
          </cell>
        </row>
        <row r="186">
          <cell r="B186">
            <v>3201002764</v>
          </cell>
          <cell r="E186">
            <v>1894929992</v>
          </cell>
          <cell r="H186" t="str">
            <v>НАБОР НОЖЕЙ 3 ПР GRAND CLASS</v>
          </cell>
        </row>
        <row r="187">
          <cell r="B187">
            <v>3201002708</v>
          </cell>
          <cell r="E187">
            <v>1880346032</v>
          </cell>
          <cell r="H187" t="str">
            <v>ШЕФ НОЖ 15 СМ GRAND GOURMET</v>
          </cell>
        </row>
        <row r="188">
          <cell r="B188">
            <v>3201002729</v>
          </cell>
          <cell r="E188">
            <v>1889586032</v>
          </cell>
          <cell r="H188" t="str">
            <v>НОЖ ДЛЯ ФИЛЕ 16 СМ GRAND GOURMET</v>
          </cell>
        </row>
        <row r="189">
          <cell r="B189">
            <v>3201002730</v>
          </cell>
          <cell r="E189">
            <v>1889646030</v>
          </cell>
          <cell r="H189" t="str">
            <v>МУСАТ 23 СМ GRAND GOURMET</v>
          </cell>
        </row>
        <row r="190">
          <cell r="B190">
            <v>3201000248</v>
          </cell>
          <cell r="E190">
            <v>1895476032</v>
          </cell>
          <cell r="H190" t="str">
            <v>НОЖ ПОВАРСКОЙ 15 СМ SPITZENKLASSE</v>
          </cell>
        </row>
        <row r="191">
          <cell r="B191">
            <v>3201000253</v>
          </cell>
          <cell r="E191">
            <v>1895896032</v>
          </cell>
          <cell r="H191" t="str">
            <v xml:space="preserve">УНИВЕРСАЛЬНЫЙ НОЖ 14 СМ SPITZENKLASSE </v>
          </cell>
        </row>
        <row r="192">
          <cell r="B192">
            <v>3201002766</v>
          </cell>
          <cell r="E192">
            <v>1895206032</v>
          </cell>
          <cell r="H192" t="str">
            <v>РАЗДЕЛОЧНЫЙ НОЖ 16 СМ WMF SPITZENKLASSE</v>
          </cell>
        </row>
        <row r="193">
          <cell r="B193">
            <v>3201002767</v>
          </cell>
          <cell r="E193">
            <v>1895246032</v>
          </cell>
          <cell r="H193" t="str">
            <v>РАЗДЕЛОЧНЫЙ НОЖ 12СМ SPITZENKLASSE</v>
          </cell>
        </row>
        <row r="194">
          <cell r="B194">
            <v>3201000247</v>
          </cell>
          <cell r="E194">
            <v>1895466032</v>
          </cell>
          <cell r="H194" t="str">
            <v>НОЖ ДЛЯ СТЕЙКА 12 СМ SPITZENKLASSE</v>
          </cell>
        </row>
        <row r="195">
          <cell r="B195">
            <v>3201002731</v>
          </cell>
          <cell r="E195">
            <v>1889669992</v>
          </cell>
          <cell r="H195" t="str">
            <v xml:space="preserve">БЛОК С НОЖАМИ 5 ПР GRAND GOURMET </v>
          </cell>
        </row>
        <row r="196">
          <cell r="B196">
            <v>3201000244</v>
          </cell>
          <cell r="E196">
            <v>1895379992</v>
          </cell>
          <cell r="H196" t="str">
            <v>НАБОР НОЖЕЙ 6 ПР. SPITZENKLASSE</v>
          </cell>
        </row>
        <row r="197">
          <cell r="B197">
            <v>3201019505</v>
          </cell>
          <cell r="E197">
            <v>1896259992</v>
          </cell>
          <cell r="H197" t="str">
            <v>БЛОК С НОЖАМИ KINEO 6ПР.</v>
          </cell>
        </row>
        <row r="198">
          <cell r="B198">
            <v>3201000241</v>
          </cell>
          <cell r="E198">
            <v>1894919992</v>
          </cell>
          <cell r="H198" t="str">
            <v>НАБОР КУХОННЫХ НОЖЕЙ 3 ПР. SPITZENKLASSE</v>
          </cell>
        </row>
        <row r="199">
          <cell r="B199">
            <v>3201019504</v>
          </cell>
          <cell r="E199">
            <v>1896249992</v>
          </cell>
          <cell r="H199" t="str">
            <v>НАБОР НОЖЕЙ KINEO 3ПР.</v>
          </cell>
        </row>
        <row r="200">
          <cell r="B200">
            <v>3201002710</v>
          </cell>
          <cell r="E200">
            <v>1880426032</v>
          </cell>
          <cell r="H200" t="str">
            <v xml:space="preserve">КИТАЙСКИЙ НОЖ 15 СМ GRAND GOURMET </v>
          </cell>
        </row>
        <row r="201">
          <cell r="B201">
            <v>3201000226</v>
          </cell>
          <cell r="E201">
            <v>1880396032</v>
          </cell>
          <cell r="H201" t="str">
            <v>ПОВАРСКОЙ НОЖ 20 СМ GRAND GOURMET</v>
          </cell>
        </row>
        <row r="202">
          <cell r="B202">
            <v>3201002753</v>
          </cell>
          <cell r="E202">
            <v>1891946032</v>
          </cell>
          <cell r="H202" t="str">
            <v>НОЖ САНТОКУ 18СМ GRAND GOURMET</v>
          </cell>
        </row>
        <row r="203">
          <cell r="B203">
            <v>3201002725</v>
          </cell>
          <cell r="E203">
            <v>1889506032</v>
          </cell>
          <cell r="H203" t="str">
            <v>НОЖ ДЛЯ ХЛЕБА С ДВОЙНЫМИ ЗУБЧИКАМИ GRAND GOURMET</v>
          </cell>
        </row>
        <row r="204">
          <cell r="B204">
            <v>3201002724</v>
          </cell>
          <cell r="E204">
            <v>1889486032</v>
          </cell>
          <cell r="H204" t="str">
            <v>РАЗДЕЛОЧНЫЙ НОЖ 20СМ GRAND GOURMET</v>
          </cell>
        </row>
        <row r="205">
          <cell r="B205">
            <v>3201000249</v>
          </cell>
          <cell r="E205">
            <v>1895486032</v>
          </cell>
          <cell r="H205" t="str">
            <v>НОЖ ПОВАРСКОЙ 20 СМ SPITZENKLASSE</v>
          </cell>
        </row>
        <row r="206">
          <cell r="B206">
            <v>3201005833</v>
          </cell>
          <cell r="E206">
            <v>1896076032</v>
          </cell>
          <cell r="H206" t="str">
            <v>НОЖ ДЛЯ ХЛЕБА SPITZENKLASSE P</v>
          </cell>
        </row>
        <row r="207">
          <cell r="B207">
            <v>3201000225</v>
          </cell>
          <cell r="E207">
            <v>1880316032</v>
          </cell>
          <cell r="H207" t="str">
            <v>УНИВЕРСАЛЬНЫЙ НОЖ 12 СМ GRAND GOURMET</v>
          </cell>
        </row>
        <row r="208">
          <cell r="B208">
            <v>3201000239</v>
          </cell>
          <cell r="E208">
            <v>1889466032</v>
          </cell>
          <cell r="H208" t="str">
            <v>НОЖ ДЛЯ ОВОЩЕЙ 9 СМ GRAND GOURMET</v>
          </cell>
        </row>
        <row r="209">
          <cell r="B209">
            <v>3201002781</v>
          </cell>
          <cell r="E209">
            <v>1895936032</v>
          </cell>
          <cell r="H209" t="str">
            <v>НОЖ ДЛЯ ФИЛЕ 17 СМ SPITZENKLASSE</v>
          </cell>
        </row>
        <row r="210">
          <cell r="B210">
            <v>3201000255</v>
          </cell>
          <cell r="E210">
            <v>1895966032</v>
          </cell>
          <cell r="H210" t="str">
            <v xml:space="preserve">УНИВЕРСАЛЬНЫЙ НОЖ 12 СМ SPITZENKLASSE </v>
          </cell>
        </row>
        <row r="211">
          <cell r="B211">
            <v>3201000246</v>
          </cell>
          <cell r="E211">
            <v>1895436032</v>
          </cell>
          <cell r="H211" t="str">
            <v>НОЖ ДЛЯ ОВОЩЕЙ SPITZENKLASSE</v>
          </cell>
        </row>
        <row r="212">
          <cell r="B212">
            <v>3201017953</v>
          </cell>
          <cell r="E212">
            <v>651646030</v>
          </cell>
          <cell r="H212" t="str">
            <v xml:space="preserve">ЧАЙНИК-ТЕРМОС KINEO 1 Л. </v>
          </cell>
        </row>
        <row r="213">
          <cell r="B213">
            <v>3201000309</v>
          </cell>
          <cell r="E213">
            <v>690726600</v>
          </cell>
          <cell r="H213" t="str">
            <v>ТЕРМОКРУЖКА 0.35 Л (ЦВЕТ МЕДНЫЙ) IMPULSE</v>
          </cell>
        </row>
        <row r="214">
          <cell r="B214">
            <v>3201000308</v>
          </cell>
          <cell r="E214">
            <v>690726040</v>
          </cell>
          <cell r="H214" t="str">
            <v>ТЕРМОКРУЖКА 0.35 Л НЕРЖАВЕЮЩАЯ СТАЛЬ IMPULSE</v>
          </cell>
        </row>
        <row r="215">
          <cell r="B215">
            <v>3201000222</v>
          </cell>
          <cell r="E215">
            <v>947712000</v>
          </cell>
          <cell r="H215" t="str">
            <v>ДЕКАНТЕР НА ПОДСТАВКЕ JETTE</v>
          </cell>
        </row>
        <row r="216">
          <cell r="B216">
            <v>3201001641</v>
          </cell>
          <cell r="E216">
            <v>936382000</v>
          </cell>
          <cell r="H216" t="str">
            <v>СТАКАНЫ ДЛЯ 2 ШТ. ICE TEA</v>
          </cell>
        </row>
        <row r="217">
          <cell r="B217">
            <v>3201001644</v>
          </cell>
          <cell r="E217">
            <v>948642040</v>
          </cell>
          <cell r="H217" t="str">
            <v>СТАКАН ДЛЯ ЛАТТЕ 0,23Л 4ПР. COFFEE TIME</v>
          </cell>
        </row>
        <row r="218">
          <cell r="B218">
            <v>3201000631</v>
          </cell>
          <cell r="E218">
            <v>636906030</v>
          </cell>
          <cell r="H218" t="str">
            <v>ЧАЙНИК ЗАВАРОЧНЫЙ SENSITEA</v>
          </cell>
        </row>
        <row r="219">
          <cell r="B219">
            <v>3201006231</v>
          </cell>
          <cell r="E219">
            <v>651016030</v>
          </cell>
          <cell r="H219" t="str">
            <v>ЧАЙНИК СО СВИСТКОВ 1,5 Л ORBIT</v>
          </cell>
        </row>
        <row r="220">
          <cell r="B220">
            <v>3201000291</v>
          </cell>
          <cell r="E220">
            <v>631016030</v>
          </cell>
          <cell r="H220" t="str">
            <v>КОФЕЙНИК ДЛЯ ЭСПРЕССО НА 6 ЧАШЕК KULT</v>
          </cell>
        </row>
        <row r="221">
          <cell r="B221">
            <v>3201006240</v>
          </cell>
          <cell r="E221">
            <v>662866040</v>
          </cell>
          <cell r="H221" t="str">
            <v>НАБОР СОМЕЛЬЕ 5 ПРЕДМЕТА. BARIC</v>
          </cell>
        </row>
        <row r="222">
          <cell r="B222">
            <v>3201000292</v>
          </cell>
          <cell r="E222">
            <v>631096030</v>
          </cell>
          <cell r="H222" t="str">
            <v>ЧАЙНИК ЗАВАРОЧНЫЙ С ПОДСТАВКОЙ ДЛЯ ПОДОГРЕВА SMARTEA</v>
          </cell>
        </row>
        <row r="223">
          <cell r="B223">
            <v>3201000290</v>
          </cell>
          <cell r="E223">
            <v>630796030</v>
          </cell>
          <cell r="H223" t="str">
            <v>КОФЕЙНИК KULT</v>
          </cell>
        </row>
        <row r="224">
          <cell r="B224">
            <v>3201000293</v>
          </cell>
          <cell r="E224">
            <v>632456040</v>
          </cell>
          <cell r="H224" t="str">
            <v>КОФЕЙНИК ФРЕНЧ-ПРЕСС COFFEE TIME</v>
          </cell>
        </row>
        <row r="225">
          <cell r="B225">
            <v>3201000193</v>
          </cell>
          <cell r="E225">
            <v>618046040</v>
          </cell>
          <cell r="H225" t="str">
            <v>ГРАФИН ДЛЯ ВОДЫ 1.5 Л С РУЧКОЙ BASIC</v>
          </cell>
        </row>
        <row r="226">
          <cell r="B226">
            <v>3201000295</v>
          </cell>
          <cell r="E226">
            <v>632546040</v>
          </cell>
          <cell r="H226" t="str">
            <v>ЗАВАРОЧНЫЙ ГРАФИН ДЛЯ КОФЕ ПУРОВЕР COFFEE TIME</v>
          </cell>
        </row>
        <row r="227">
          <cell r="B227">
            <v>3201000581</v>
          </cell>
          <cell r="E227">
            <v>617709994</v>
          </cell>
          <cell r="H227" t="str">
            <v>НАБОР ГРАФИН ДЛЯ ВОДЫ 1Л, 2 СТАКАНА ДЛЯ ВОДЫ 0,25 Л BASIC</v>
          </cell>
        </row>
        <row r="228">
          <cell r="B228">
            <v>3201001653</v>
          </cell>
          <cell r="E228">
            <v>917642600</v>
          </cell>
          <cell r="H228" t="str">
            <v>НАБОР ДЛЯ САЛАТА 3ПР. БОЛЬШОЙ TAVERNO</v>
          </cell>
        </row>
        <row r="229">
          <cell r="B229">
            <v>3201000189</v>
          </cell>
          <cell r="E229">
            <v>617706040</v>
          </cell>
          <cell r="H229" t="str">
            <v>ГРАФИН ДЛЯ ВОДЫ 1 Л BASIC</v>
          </cell>
        </row>
        <row r="230">
          <cell r="B230">
            <v>3201000191</v>
          </cell>
          <cell r="E230">
            <v>617726040</v>
          </cell>
          <cell r="H230" t="str">
            <v>ГРАФИН ДЛЯ ВОДЫ 1.5 Л BASIC</v>
          </cell>
        </row>
        <row r="231">
          <cell r="B231">
            <v>3201005777</v>
          </cell>
          <cell r="E231">
            <v>651036040</v>
          </cell>
          <cell r="H231" t="str">
            <v>ГРАФИН 1.25 L, MOTION</v>
          </cell>
        </row>
        <row r="232">
          <cell r="B232">
            <v>3201000931</v>
          </cell>
          <cell r="E232">
            <v>632576030</v>
          </cell>
          <cell r="H232" t="str">
            <v>ПОДСТАВКА ДЛЯ ГОРЯЧИХ БЛЮД WMF</v>
          </cell>
        </row>
        <row r="233">
          <cell r="B233">
            <v>3201000913</v>
          </cell>
          <cell r="E233">
            <v>609216030</v>
          </cell>
          <cell r="H233" t="str">
            <v>МАСЛЕНКА KNACKIG</v>
          </cell>
        </row>
        <row r="234">
          <cell r="B234">
            <v>3201000298</v>
          </cell>
          <cell r="E234">
            <v>636466040</v>
          </cell>
          <cell r="H234" t="str">
            <v>СИТО ДЛЯ ЧАЯ ПОГРУЖНОЕ РАЗМЕР S 4СМ TEA TIME</v>
          </cell>
        </row>
        <row r="235">
          <cell r="B235">
            <v>3201000194</v>
          </cell>
          <cell r="E235">
            <v>618086040</v>
          </cell>
          <cell r="H235" t="str">
            <v>СПИРАЛЬ ДЛЯ ФРУКТОВ 2ШТ BASIC</v>
          </cell>
        </row>
        <row r="236">
          <cell r="B236">
            <v>3201005778</v>
          </cell>
          <cell r="E236">
            <v>651046040</v>
          </cell>
          <cell r="H236" t="str">
            <v>ГРАФИН 0.8 L, MOTION</v>
          </cell>
        </row>
        <row r="237">
          <cell r="B237">
            <v>3201000363</v>
          </cell>
          <cell r="E237">
            <v>1873776040</v>
          </cell>
          <cell r="H237" t="str">
            <v>БЛОК ДЛЯ НОЖЕЙ  WMF</v>
          </cell>
        </row>
        <row r="238">
          <cell r="B238">
            <v>3201000254</v>
          </cell>
          <cell r="E238">
            <v>1895946030</v>
          </cell>
          <cell r="H238" t="str">
            <v>МУСАТ 23 СМ SPITZENKLASSE</v>
          </cell>
        </row>
        <row r="239">
          <cell r="B239">
            <v>3201000233</v>
          </cell>
          <cell r="E239">
            <v>1886879990</v>
          </cell>
          <cell r="H239" t="str">
            <v>РАЗДЕЛОЧНАЯ ДОСКА СО СЛИВОМ 38Х25 СМ</v>
          </cell>
        </row>
        <row r="240">
          <cell r="B240">
            <v>3201002830</v>
          </cell>
          <cell r="E240">
            <v>1883216030</v>
          </cell>
          <cell r="H240" t="str">
            <v>КУХОННЫЕ НОЖНИЦЫ С ОТКРЫВАЛКОЙ  WMF</v>
          </cell>
        </row>
        <row r="241">
          <cell r="B241">
            <v>3201000820</v>
          </cell>
          <cell r="E241">
            <v>654249999</v>
          </cell>
          <cell r="H241" t="str">
            <v>КОНТЕЙНЕР 3 ПР TOP SERVE</v>
          </cell>
        </row>
        <row r="242">
          <cell r="B242">
            <v>3201000515</v>
          </cell>
          <cell r="E242">
            <v>570044291</v>
          </cell>
          <cell r="H242" t="str">
            <v>СКОВОРОДА ДЛЯ БЛИНОВ 27СМ DEVIL</v>
          </cell>
        </row>
        <row r="243">
          <cell r="B243">
            <v>8900535190</v>
          </cell>
          <cell r="E243">
            <v>760046380</v>
          </cell>
          <cell r="H243" t="str">
            <v>НАБОР КАСТРЮЛЬ 4 ПР. FUNCTION 4</v>
          </cell>
        </row>
        <row r="244">
          <cell r="B244">
            <v>3201001033</v>
          </cell>
          <cell r="E244">
            <v>760046380</v>
          </cell>
          <cell r="H244" t="str">
            <v>НАБОР КАСТРЮЛЬ 4 ПР. FUNCTION 4</v>
          </cell>
        </row>
        <row r="245">
          <cell r="B245">
            <v>3201019373</v>
          </cell>
          <cell r="E245">
            <v>751156040</v>
          </cell>
          <cell r="H245" t="str">
            <v>НАБОР ПОСУДЫ BELMONTE 5-ПР WMF 751156040</v>
          </cell>
        </row>
        <row r="246">
          <cell r="B246">
            <v>7116001675</v>
          </cell>
          <cell r="E246">
            <v>721056380</v>
          </cell>
          <cell r="H246" t="str">
            <v>НАБОР КАСТРЮЛЬ 5 ПР. PROVENCE PLUS</v>
          </cell>
        </row>
        <row r="247">
          <cell r="B247">
            <v>8900535558</v>
          </cell>
          <cell r="E247">
            <v>762246380</v>
          </cell>
          <cell r="H247" t="str">
            <v>КАСТРЮЛЯ 24 СМ FUNCTION 4</v>
          </cell>
        </row>
        <row r="248">
          <cell r="B248">
            <v>3201001040</v>
          </cell>
          <cell r="E248">
            <v>762246380</v>
          </cell>
          <cell r="H248" t="str">
            <v>КАСТРЮЛЯ 24 СМ FUNCTION 4</v>
          </cell>
        </row>
        <row r="249">
          <cell r="B249">
            <v>8900535534</v>
          </cell>
          <cell r="E249">
            <v>761246380</v>
          </cell>
          <cell r="H249" t="str">
            <v xml:space="preserve">КАСТРЮЛЯ 24 СМ WMF FUNCTION 4 </v>
          </cell>
        </row>
        <row r="250">
          <cell r="B250">
            <v>8900535527</v>
          </cell>
          <cell r="E250">
            <v>761206380</v>
          </cell>
          <cell r="H250" t="str">
            <v xml:space="preserve">КАСТРЮЛЯ 20 СМ FUNCTION 4 </v>
          </cell>
        </row>
        <row r="251">
          <cell r="B251">
            <v>8900536630</v>
          </cell>
          <cell r="E251">
            <v>725246030</v>
          </cell>
          <cell r="H251" t="str">
            <v>КАСТРЮЛЯ ВЫСОКАЯ GOURMET PLUS 24СМ WMF 725246030</v>
          </cell>
        </row>
        <row r="252">
          <cell r="B252">
            <v>8900535497</v>
          </cell>
          <cell r="E252">
            <v>760206380</v>
          </cell>
          <cell r="H252" t="str">
            <v>КАСТРЮЛЯ НИЗКАЯ 20 СМ FUNCTION 4</v>
          </cell>
        </row>
        <row r="253">
          <cell r="B253">
            <v>8900536623</v>
          </cell>
          <cell r="E253">
            <v>724246030</v>
          </cell>
          <cell r="H253" t="str">
            <v>КАСТРЮЛЯ GOURMET PLUS 24СМ WMF 724246030</v>
          </cell>
        </row>
        <row r="254">
          <cell r="B254">
            <v>8900536616</v>
          </cell>
          <cell r="E254">
            <v>724206030</v>
          </cell>
          <cell r="H254" t="str">
            <v>КАСТРЮЛЯ GOURMET PLUS 20СМ WMF 724206030</v>
          </cell>
        </row>
        <row r="255">
          <cell r="B255">
            <v>8900535572</v>
          </cell>
          <cell r="E255">
            <v>763166380</v>
          </cell>
          <cell r="H255" t="str">
            <v>КОВШ 16 СМ С КРЫШКОЙ FUNCTION 4</v>
          </cell>
        </row>
        <row r="256">
          <cell r="B256">
            <v>3201001455</v>
          </cell>
          <cell r="E256">
            <v>761406380</v>
          </cell>
          <cell r="H256" t="str">
            <v>СКОВОРОДА ДЛЯ ДУХОВКИ СО СТЕКЛЯННОЙ КРЫШКОЙ 28 СМ SPEZIAL GESCHIRR</v>
          </cell>
        </row>
        <row r="257">
          <cell r="B257">
            <v>3201001316</v>
          </cell>
          <cell r="E257">
            <v>718826040</v>
          </cell>
          <cell r="H257" t="str">
            <v>КАСТРЮЛЯ 18 СМ CО ВСТАВКОЙ ДЛЯ ПАСТЫ MINI</v>
          </cell>
        </row>
        <row r="258">
          <cell r="B258">
            <v>3201001308</v>
          </cell>
          <cell r="E258">
            <v>716766040</v>
          </cell>
          <cell r="H258" t="str">
            <v>НИЗКАЯ КАСТРЮЛЯ 16 СМ С КРЫШКОЙ MINI</v>
          </cell>
        </row>
        <row r="259">
          <cell r="B259">
            <v>3201001309</v>
          </cell>
          <cell r="E259">
            <v>716786040</v>
          </cell>
          <cell r="H259" t="str">
            <v>КОВШ 16 СМ С КРЫШКОЙ MINI</v>
          </cell>
        </row>
        <row r="260">
          <cell r="B260">
            <v>3201000545</v>
          </cell>
          <cell r="E260">
            <v>576504291</v>
          </cell>
          <cell r="H260" t="str">
            <v>СКОВОРОДА ГРИЛЬ 28Х28 СМ PERMADUR PREMIUM</v>
          </cell>
        </row>
        <row r="261">
          <cell r="B261">
            <v>3201000544</v>
          </cell>
          <cell r="E261">
            <v>576484291</v>
          </cell>
          <cell r="H261" t="str">
            <v>СКОВОРОДА С ВЫСОКИМИ БОРТАМИ 28 СМ PERMADUR PREMIUM</v>
          </cell>
        </row>
        <row r="262">
          <cell r="B262">
            <v>3201000538</v>
          </cell>
          <cell r="E262">
            <v>576284291</v>
          </cell>
          <cell r="H262" t="str">
            <v>СКОВОРОДА 28 СМ PERMADUR PREMIUM</v>
          </cell>
        </row>
        <row r="263">
          <cell r="B263">
            <v>3201000537</v>
          </cell>
          <cell r="E263">
            <v>576244291</v>
          </cell>
          <cell r="H263" t="str">
            <v>СКОВОРОДА 24 СМ PERMADUR PREMIUM</v>
          </cell>
        </row>
        <row r="264">
          <cell r="B264">
            <v>3201000337</v>
          </cell>
          <cell r="E264">
            <v>575284021</v>
          </cell>
          <cell r="H264" t="str">
            <v xml:space="preserve">СКОВОРОДА 28СМ PERMADUR EXCELL </v>
          </cell>
        </row>
        <row r="265">
          <cell r="B265">
            <v>3201000336</v>
          </cell>
          <cell r="E265">
            <v>575244021</v>
          </cell>
          <cell r="H265" t="str">
            <v>СКОВОРОДА 24СМ PERMADUR EXCELL</v>
          </cell>
        </row>
        <row r="266">
          <cell r="B266">
            <v>3201000531</v>
          </cell>
          <cell r="E266">
            <v>575204021</v>
          </cell>
          <cell r="H266" t="str">
            <v>СКОВОРОДА 20СМ PERMADUR EXCELL</v>
          </cell>
        </row>
        <row r="267">
          <cell r="B267">
            <v>3201002679</v>
          </cell>
          <cell r="E267">
            <v>1756486411</v>
          </cell>
          <cell r="H267" t="str">
            <v>ВЫСОКАЯ СКОВОРОДА 28 СМ  PROFI RESIST</v>
          </cell>
        </row>
        <row r="268">
          <cell r="B268">
            <v>3201000359</v>
          </cell>
          <cell r="E268">
            <v>1756386411</v>
          </cell>
          <cell r="H268" t="str">
            <v>СОТЕЙНИК 28СМ HEXAGON PROFI RESIST</v>
          </cell>
        </row>
        <row r="269">
          <cell r="B269">
            <v>3201000358</v>
          </cell>
          <cell r="E269">
            <v>1756286411</v>
          </cell>
          <cell r="H269" t="str">
            <v>СКОВОРОДА 28СМ HEXAGON PROFI RESIST</v>
          </cell>
        </row>
        <row r="270">
          <cell r="B270">
            <v>3201000357</v>
          </cell>
          <cell r="E270">
            <v>1756246411</v>
          </cell>
          <cell r="H270" t="str">
            <v>СКОВОРОДА 24СМ HEXAGON PROFI RESIST</v>
          </cell>
        </row>
        <row r="271">
          <cell r="B271">
            <v>3201004896</v>
          </cell>
          <cell r="E271">
            <v>1207916342</v>
          </cell>
          <cell r="H271" t="str">
            <v>СТОЛОВЫЕ ПРИБОРЫ 30 ПР. KENT</v>
          </cell>
        </row>
        <row r="272">
          <cell r="B272">
            <v>3201002625</v>
          </cell>
          <cell r="E272">
            <v>728399902</v>
          </cell>
          <cell r="H272" t="str">
            <v>КРЫШКА ДЛЯ СКОВОРОДЫ  28СМ  WMF</v>
          </cell>
        </row>
        <row r="273">
          <cell r="B273">
            <v>3201004809</v>
          </cell>
          <cell r="E273">
            <v>765166380</v>
          </cell>
          <cell r="H273" t="str">
            <v>КРЫШКА СТЕКЛЯННАЯ 16 СМ FUNCTION 4</v>
          </cell>
        </row>
        <row r="274">
          <cell r="B274">
            <v>3201002623</v>
          </cell>
          <cell r="E274">
            <v>724399902</v>
          </cell>
          <cell r="H274" t="str">
            <v>КРЫШКА ДЛЯ СКОВОРОДЫ 24СМ  WMF</v>
          </cell>
        </row>
        <row r="275">
          <cell r="B275">
            <v>3201002621</v>
          </cell>
          <cell r="E275">
            <v>720399902</v>
          </cell>
          <cell r="H275" t="str">
            <v>КРЫШКА ДЛЯ СКОВОРОДЫ 20 СМ WMF</v>
          </cell>
        </row>
        <row r="276">
          <cell r="B276">
            <v>3201000287</v>
          </cell>
          <cell r="E276">
            <v>1741016040</v>
          </cell>
          <cell r="H276" t="str">
            <v xml:space="preserve">ЖАРОВНЯ 6,5 Л VITALIS </v>
          </cell>
        </row>
        <row r="277">
          <cell r="B277">
            <v>3201000289</v>
          </cell>
          <cell r="E277">
            <v>1743016040</v>
          </cell>
          <cell r="H277" t="str">
            <v>СОТЕЙНИК-СТИМЕР С КРЫШКОЙ 28 СМ VITALIS</v>
          </cell>
        </row>
        <row r="278">
          <cell r="B278">
            <v>3201006040</v>
          </cell>
          <cell r="E278">
            <v>517355290</v>
          </cell>
          <cell r="H278" t="str">
            <v>КАСТРЮЛЯ 24 СМ FUNCTIONAL PLATINUM FUSIONTEC</v>
          </cell>
        </row>
        <row r="279">
          <cell r="B279">
            <v>3201111697</v>
          </cell>
          <cell r="E279">
            <v>517305290</v>
          </cell>
          <cell r="H279" t="str">
            <v>КАСТРЮЛЯ FT FUNCTIONAL T 20СМ (ЧЕРНАЯ)</v>
          </cell>
        </row>
        <row r="280">
          <cell r="B280">
            <v>3201111693</v>
          </cell>
          <cell r="E280">
            <v>517205290</v>
          </cell>
          <cell r="H280" t="str">
            <v>НИЗКАЯ КАСТРЮЛЯ FT FUNCTIONAL T 20СМ (ЧЕРНАЯ)</v>
          </cell>
        </row>
        <row r="281">
          <cell r="B281">
            <v>3201111663</v>
          </cell>
          <cell r="E281">
            <v>517165290</v>
          </cell>
          <cell r="H281" t="str">
            <v>КОВШ FT FUNCTIONAL T 16СМ (ЧЕРНЫЙ)</v>
          </cell>
        </row>
        <row r="282">
          <cell r="B282">
            <v>3201111701</v>
          </cell>
          <cell r="E282">
            <v>517405290</v>
          </cell>
          <cell r="H282" t="str">
            <v>НАБОР КАСТРЮЛЬ FT FUNCTIONAL T 4-ПР. (ЧЕРНЫЙ)</v>
          </cell>
        </row>
        <row r="283">
          <cell r="B283">
            <v>3201006041</v>
          </cell>
          <cell r="E283">
            <v>517405290</v>
          </cell>
          <cell r="H283" t="str">
            <v>НАБОР КАСТРЮЛЬ FT FUNCTIONAL T 4-ПР. (ЧЕРНЫЙ)</v>
          </cell>
        </row>
        <row r="284">
          <cell r="B284">
            <v>3201006022</v>
          </cell>
          <cell r="E284">
            <v>514895290</v>
          </cell>
          <cell r="H284" t="str">
            <v>НАБОР КАСТРЮЛЬ 4 ПР ROSE QUARTZ FUSIONTEC</v>
          </cell>
        </row>
        <row r="285">
          <cell r="B285">
            <v>3201111672</v>
          </cell>
          <cell r="E285">
            <v>514495290</v>
          </cell>
          <cell r="H285" t="str">
            <v>КАСТРЮЛЯ 24 СМ ROSE QUARTZ FUSIONTEC</v>
          </cell>
        </row>
        <row r="286">
          <cell r="B286">
            <v>3201006010</v>
          </cell>
          <cell r="E286">
            <v>514495290</v>
          </cell>
          <cell r="H286" t="str">
            <v>КАСТРЮЛЯ 24 СМ ROSE QUARTZ FUSIONTEC</v>
          </cell>
        </row>
        <row r="287">
          <cell r="B287">
            <v>3201111669</v>
          </cell>
          <cell r="E287">
            <v>514395290</v>
          </cell>
          <cell r="H287" t="str">
            <v>КАСТРЮЛЯ  20 СМ ROSE QUARTZ FUSIONTEC</v>
          </cell>
        </row>
        <row r="288">
          <cell r="B288">
            <v>3201111676</v>
          </cell>
          <cell r="E288">
            <v>514595290</v>
          </cell>
          <cell r="H288" t="str">
            <v>НИЗКАЯ КАСТРЮЛЯ 20 СМ ROSE QUARTZ FUSIONTEC</v>
          </cell>
        </row>
        <row r="289">
          <cell r="B289">
            <v>3201006014</v>
          </cell>
          <cell r="E289">
            <v>514595290</v>
          </cell>
          <cell r="H289" t="str">
            <v>НИЗКАЯ КАСТРЮЛЯ 20 СМ ROSE QUARTZ FUSIONTEC</v>
          </cell>
        </row>
        <row r="290">
          <cell r="B290">
            <v>3201006007</v>
          </cell>
          <cell r="E290">
            <v>514395290</v>
          </cell>
          <cell r="H290" t="str">
            <v>КАСТРЮЛЯ  20 СМ ROSE QUARTZ FUSIONTEC</v>
          </cell>
        </row>
        <row r="291">
          <cell r="B291">
            <v>3201111692</v>
          </cell>
          <cell r="E291">
            <v>515295290</v>
          </cell>
          <cell r="H291" t="str">
            <v>КОВШ  16 СМ ROSE QUARTZ FUSIONTEC</v>
          </cell>
        </row>
        <row r="292">
          <cell r="B292">
            <v>3201006030</v>
          </cell>
          <cell r="E292">
            <v>515295290</v>
          </cell>
          <cell r="H292" t="str">
            <v>КОВШ  16 СМ ROSE QUARTZ FUSIONTEC</v>
          </cell>
        </row>
        <row r="293">
          <cell r="B293">
            <v>3201112305</v>
          </cell>
          <cell r="E293">
            <v>1894919992</v>
          </cell>
          <cell r="H293" t="str">
            <v>НАБОР КУХОННЫХ НОЖЕЙ 3 ПР. SPITZENKLASSE</v>
          </cell>
        </row>
        <row r="294">
          <cell r="B294">
            <v>3201111684</v>
          </cell>
          <cell r="E294">
            <v>514895290</v>
          </cell>
          <cell r="H294" t="str">
            <v>НАБОР КАСТРЮЛЬ 4 ПР ROSE QUARTZ FUSIONTEC</v>
          </cell>
        </row>
        <row r="295">
          <cell r="B295">
            <v>3201112521</v>
          </cell>
          <cell r="E295">
            <v>1207916340</v>
          </cell>
          <cell r="H295" t="str">
            <v>СТОЛОВЫЕ ПРИБОРЫ 30 ПР. KENT PLUS</v>
          </cell>
        </row>
        <row r="296">
          <cell r="B296">
            <v>3201112302</v>
          </cell>
          <cell r="E296">
            <v>1894929992</v>
          </cell>
          <cell r="H296" t="str">
            <v>НАБОР НОЖЕЙ 3 ПР GRAND CLASS</v>
          </cell>
        </row>
        <row r="297">
          <cell r="B297">
            <v>3201112492</v>
          </cell>
          <cell r="E297">
            <v>1120916040</v>
          </cell>
          <cell r="H297" t="str">
            <v>СТОЛОВЫЕ ПРИБОРЫ 30 ПР.  BOSTON</v>
          </cell>
        </row>
        <row r="298">
          <cell r="B298">
            <v>8900547728</v>
          </cell>
          <cell r="E298">
            <v>790556380</v>
          </cell>
          <cell r="H298" t="str">
            <v>НАБОР КАСТРЮЛЬ 5 ПРЕДМЕТОВ COMPACT CUISINE</v>
          </cell>
        </row>
        <row r="299">
          <cell r="B299">
            <v>3201112135</v>
          </cell>
          <cell r="E299">
            <v>732556040</v>
          </cell>
          <cell r="H299" t="str">
            <v>НАБОР КАСТРЮЛЬ 5 ПР. COMFORT LINE</v>
          </cell>
        </row>
        <row r="300">
          <cell r="B300">
            <v>3201112987</v>
          </cell>
          <cell r="E300">
            <v>517405290</v>
          </cell>
          <cell r="H300" t="str">
            <v>НАБОР КАСТРЮЛЬ 4 ПР FUNCTIONAL BLACK FUSIONTEC</v>
          </cell>
        </row>
        <row r="301">
          <cell r="B301">
            <v>3200000015</v>
          </cell>
          <cell r="E301">
            <v>414100011</v>
          </cell>
          <cell r="H301" t="str">
            <v>ТОСТЕР KITCHENMINIS</v>
          </cell>
        </row>
        <row r="302">
          <cell r="B302">
            <v>3200002260</v>
          </cell>
          <cell r="E302">
            <v>413140071</v>
          </cell>
          <cell r="H302" t="str">
            <v>ЭЛЕКТРИЧЕСКИЙ ЧАЙНИК 0,8Л KITCHENMINIS BLACK</v>
          </cell>
        </row>
        <row r="303">
          <cell r="B303">
            <v>3201001268</v>
          </cell>
          <cell r="E303">
            <v>741086290</v>
          </cell>
          <cell r="H303" t="str">
            <v>СКОВОРОДА NORDIC PROFI 28СМ WMF 741086290</v>
          </cell>
        </row>
        <row r="304">
          <cell r="B304">
            <v>3201112310</v>
          </cell>
          <cell r="E304">
            <v>1882199992</v>
          </cell>
          <cell r="H304" t="str">
            <v>НАБОР НОЖЕЙ 6 ПР. С БЛОКОМ SEQUENCE</v>
          </cell>
        </row>
        <row r="305">
          <cell r="B305">
            <v>3201112503</v>
          </cell>
          <cell r="E305">
            <v>1120009002</v>
          </cell>
          <cell r="H305" t="str">
            <v>НАБОР СТОЛОВЫХ ПРИБОРОВ 60 ПР.  BOSTON</v>
          </cell>
        </row>
        <row r="306">
          <cell r="B306">
            <v>3201000232</v>
          </cell>
          <cell r="E306">
            <v>1886869990</v>
          </cell>
          <cell r="H306" t="str">
            <v>РАЗДЕЛОЧНАЯ ДОСКА СО СЛИВОМ 26Х20 СМ</v>
          </cell>
        </row>
        <row r="307">
          <cell r="B307">
            <v>3200002323</v>
          </cell>
          <cell r="E307">
            <v>415570011</v>
          </cell>
          <cell r="H307" t="str">
            <v>АЭРОГРИЛЬ MULTI TASTE</v>
          </cell>
        </row>
        <row r="308">
          <cell r="B308">
            <v>3200002234</v>
          </cell>
          <cell r="E308">
            <v>414120071</v>
          </cell>
          <cell r="H308" t="str">
            <v>ЭЛЕКТРИЧЕСКИЙ ТОСТЕР LONG SLOT KITCHENMINIS BLACK</v>
          </cell>
        </row>
        <row r="309">
          <cell r="B309">
            <v>3200002261</v>
          </cell>
          <cell r="E309">
            <v>416500071</v>
          </cell>
          <cell r="H309" t="str">
            <v>Электрический блендер Smoothie-to-go KITCHENminis Black</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s>
    <sheetDataSet>
      <sheetData sheetId="0">
        <row r="1">
          <cell r="A1" t="str">
            <v>;</v>
          </cell>
          <cell r="B1">
            <v>2</v>
          </cell>
          <cell r="J1">
            <v>10</v>
          </cell>
        </row>
        <row r="3">
          <cell r="A3" t="str">
            <v>CMMF</v>
          </cell>
          <cell r="B3" t="str">
            <v>Comm code</v>
          </cell>
          <cell r="J3" t="str">
            <v>Description</v>
          </cell>
        </row>
        <row r="4">
          <cell r="A4">
            <v>1500888531</v>
          </cell>
          <cell r="B4" t="str">
            <v>YG230131</v>
          </cell>
          <cell r="J4" t="str">
            <v xml:space="preserve">АВТОМАТИЧЕСКАЯ ЙОГУРТНИЦА С LCD ДИСПЛЕЕМ И ЦИФРОВЫМ ТАЙМЕРОМ, МОЩНОСТЬ 13ВТ, 7 СТЕКЛЯННЫХ СТАКАНЧИКОВ С ИНДИКАЦИЕЙ ДАТЫ НА КРЫШКЕ. ЦВЕТ - БЕЛЫЙ IPOD </v>
          </cell>
        </row>
        <row r="5">
          <cell r="A5">
            <v>8000035621</v>
          </cell>
          <cell r="B5" t="str">
            <v>JU655H30</v>
          </cell>
          <cell r="J5" t="str">
            <v>СОКОВЫЖИМАЛКА XXL, МОЩНОСТЬ 1200ВТ, ЗАГРУЗОЧНОЕ ОТВЕРСТИЕ РАЗМЕРА XXL 85 ММ, ЦВЕТ - СЕРЕБРЯНЫЙ,МЕТАЛЛИЧЕСКАЯ ФРОНТАЛЬНАЯ ПАНЕЛЬ, 2 СКОРОСТИ, СИСТЕМА "КАПЛЯ-СТОП", ПЕНОСЕПАРАТОР В КОМПЛЕКТЕ. СДЕЛАНО В КНР.</v>
          </cell>
        </row>
        <row r="6">
          <cell r="A6">
            <v>2211400159</v>
          </cell>
          <cell r="B6" t="str">
            <v>TW6951EA</v>
          </cell>
          <cell r="J6" t="str">
            <v>Безмешковый пылесос XTREM POWER CYCLONIC ECO 4A, мощность 750 W (= 2100 W), уровень шума 75 дБ, объем контейнера 2,5 л, фильтр HEPA 11, насадки: пол/ковер, щелевая, паркетная щетка</v>
          </cell>
        </row>
        <row r="7">
          <cell r="A7">
            <v>2211400160</v>
          </cell>
          <cell r="B7" t="str">
            <v>TW6984EA</v>
          </cell>
          <cell r="J7" t="str">
            <v>Безмешковый пылесос XTREM POWER CYCLONIC ECO 4A, мощность 750 W (= 2100 W), уровень шума 75 дБ, объем контейнера 2,5 л, фильтр HEPA 11, насадки: пол/ковер, щелевая, паркетная щетка, мини турбощетка</v>
          </cell>
        </row>
        <row r="8">
          <cell r="A8">
            <v>2211400232</v>
          </cell>
          <cell r="B8" t="str">
            <v>TW6993EA</v>
          </cell>
          <cell r="J8" t="str">
            <v>Безмешковый пылесос XTREM POWER CYCLONIC ECO 4A, мощность 750 W (= 2100 W), уровень шума 75 дБ, объем контейнера 2,5 л, фильтр HEPA 11, насадки: пол/ковер, щелевая, макси турбощетка, мини турбощетка</v>
          </cell>
        </row>
        <row r="9">
          <cell r="A9">
            <v>2211401292</v>
          </cell>
          <cell r="B9" t="str">
            <v>TW7B11EA</v>
          </cell>
          <cell r="J9" t="str">
            <v>Безмешковый пылесос X-TREM CYCLONIC MAX</v>
          </cell>
        </row>
        <row r="10">
          <cell r="A10">
            <v>2211401293</v>
          </cell>
          <cell r="B10" t="str">
            <v>TW7B32EA</v>
          </cell>
          <cell r="J10" t="str">
            <v>Безмешковый пылесос X-TREM CYCLONIC MAX</v>
          </cell>
        </row>
        <row r="11">
          <cell r="A11">
            <v>2211401294</v>
          </cell>
          <cell r="B11" t="str">
            <v>TW7B33EA</v>
          </cell>
          <cell r="J11" t="str">
            <v>Безмешковый пылесос X-TREM CYCLONIC MAX</v>
          </cell>
        </row>
        <row r="12">
          <cell r="A12">
            <v>2211401365</v>
          </cell>
          <cell r="B12" t="str">
            <v>TW7B70EA</v>
          </cell>
          <cell r="J12" t="str">
            <v>Безмешковый пылесос X-TREM CYCLONIC MAX</v>
          </cell>
        </row>
        <row r="13">
          <cell r="A13">
            <v>2211401296</v>
          </cell>
          <cell r="B13" t="str">
            <v>TW7C71EA</v>
          </cell>
          <cell r="J13" t="str">
            <v>Безмешковый пылесос X-TREM CYCLONIC EFFITECH</v>
          </cell>
        </row>
        <row r="14">
          <cell r="A14">
            <v>2211401302</v>
          </cell>
          <cell r="B14" t="str">
            <v>TW7C89EA</v>
          </cell>
          <cell r="J14" t="str">
            <v>Безмешковый пылесос X-TREM CYCLONIC EFFITECH</v>
          </cell>
        </row>
        <row r="15">
          <cell r="A15">
            <v>2211401124</v>
          </cell>
          <cell r="B15" t="str">
            <v>TY1238WO</v>
          </cell>
          <cell r="J15" t="str">
            <v xml:space="preserve">Беспроводной пылесос с технологией Flex, время работы - до 40 мин., вес - 2 кг, объем контейнера для пыли - 0,4 л.,  14.4 В - мощность батареи </v>
          </cell>
        </row>
        <row r="16">
          <cell r="A16">
            <v>2211401125</v>
          </cell>
          <cell r="B16" t="str">
            <v>TY1239WO</v>
          </cell>
          <cell r="J16" t="str">
            <v xml:space="preserve">Беспроводной пылесос с технологией Flex, время работы - до 40 мин., вес - 2 кг, объем контейнера для пыли - 0,4 л.,  14.4 В - мощность батареи </v>
          </cell>
        </row>
        <row r="17">
          <cell r="A17">
            <v>2211401038</v>
          </cell>
          <cell r="B17" t="str">
            <v>RG7975WH</v>
          </cell>
          <cell r="J17" t="str">
            <v>Мощность всасывания 12000 ПА. Время работы до 225 мин без подзарядки, 3 режима работы,  контейнер для пыли 0,5 л, выбор и ограничение зоны уборки, электронное управление подачей воды, Wi-Fi, набор для влажной уборки с 3-мя тряпками, интеллектуальная навигация, совместимость с Алиса</v>
          </cell>
        </row>
        <row r="18">
          <cell r="A18">
            <v>2211400964</v>
          </cell>
          <cell r="B18" t="str">
            <v>RG7975WH</v>
          </cell>
          <cell r="J18" t="str">
            <v>X-PLORER SERIE 95</v>
          </cell>
        </row>
        <row r="19">
          <cell r="A19">
            <v>2211401039</v>
          </cell>
          <cell r="B19" t="str">
            <v>RG7987WH</v>
          </cell>
          <cell r="J19" t="str">
            <v>Мощность всасывания 12000 ПА. Время работы до 225 мин без подзарядки, 3 режима работы,  контейнер для пыли 0,5 л, выбор и ограничение зоны уборки, электронное управление подачей воды, Wi-Fi, набор для влажной уборки с 3-мя тряпками, интеллектуальная навигация, совместимость с Алиса</v>
          </cell>
        </row>
        <row r="20">
          <cell r="A20">
            <v>2211400965</v>
          </cell>
          <cell r="B20" t="str">
            <v>RG7987WH</v>
          </cell>
          <cell r="J20" t="str">
            <v>X-PLORER SERIE 95</v>
          </cell>
        </row>
        <row r="21">
          <cell r="A21">
            <v>2211400769</v>
          </cell>
          <cell r="B21" t="str">
            <v>RG7765WH</v>
          </cell>
          <cell r="J21" t="str">
            <v xml:space="preserve">Робот-пылесос                     </v>
          </cell>
        </row>
        <row r="22">
          <cell r="A22">
            <v>2211400961</v>
          </cell>
          <cell r="B22" t="str">
            <v>RG7767WH</v>
          </cell>
          <cell r="J22" t="str">
            <v xml:space="preserve">Робот-пылесос                     </v>
          </cell>
        </row>
        <row r="23">
          <cell r="A23">
            <v>2211401093</v>
          </cell>
          <cell r="B23" t="str">
            <v>RG8595WH</v>
          </cell>
          <cell r="J23" t="str">
            <v>Мощность всасвания 2700 ПА. Время работы до 2 часов без подзарядки, 3 режима работы,  контейнер для пыли 0,4 л/ 0,3л для воды, выбор и ограничение зоны сухой/ влажной уборки, Wi-Fi, набор для влажной уборки с 2-мя тряпками, электронное управление влажной уборкой, интеллектуальная навигация, автономная база для очистки от пыли, совместим с Алиса.</v>
          </cell>
        </row>
        <row r="24">
          <cell r="A24">
            <v>2211401094</v>
          </cell>
          <cell r="B24" t="str">
            <v>RG8597WH</v>
          </cell>
          <cell r="J24" t="str">
            <v>Мощность всасвания 2700 ПА. Время работы до 2 часов без подзарядки, 3 режима работы,  контейнер для пыли 0,4 л/ 0,3л для воды, выбор и ограничение зоны сухой/ влажной уборки, Wi-Fi, набор для влажной уборки с 2-мя тряпками, электронное управление влажной уборкой, интеллектуальная навигация, автономная база для очистки от пыли, совместим с Алиса.</v>
          </cell>
        </row>
        <row r="25">
          <cell r="A25">
            <v>2211401091</v>
          </cell>
          <cell r="B25" t="str">
            <v>RG8575WH</v>
          </cell>
          <cell r="J25" t="str">
            <v>Мощность всасвания 2700 ПА. Время работы до 2 часов без подзарядки, 3 режима работы,  контейнер для пыли 0,4 л/ 0,3л для воды, выбор и ограничение зоны сухой/ влажной уборки, Wi-Fi, набор для влажной уборки с 2-мя тряпками, электронное управление влажной уборкой, интеллектуальная навигация, совместим с Алиса.</v>
          </cell>
        </row>
        <row r="26">
          <cell r="A26">
            <v>2211401092</v>
          </cell>
          <cell r="B26" t="str">
            <v>RG8577WH</v>
          </cell>
          <cell r="J26" t="str">
            <v>Мощность всасвания 2700 ПА. Время работы до 2 часов без подзарядки, 3 режима работы,  контейнер для пыли 0,4 л/ 0,3л для воды, выбор и ограничение зоны сухой/ влажной уборки, Wi-Fi, набор для влажной уборки с 2-мя тряпками, электронное управление влажной уборкой, интеллектуальная навигация, совместим с Алиса.</v>
          </cell>
        </row>
        <row r="27">
          <cell r="A27">
            <v>2211401036</v>
          </cell>
          <cell r="B27" t="str">
            <v>RG7675WH</v>
          </cell>
          <cell r="J27" t="str">
            <v>Мощность всасвания 2700 ПА. Время работы до 2 часов 30 минут без подзарядки, 3 режима работы,  контейнер для пыли 0,4 л, выбор и ограничение зоны уборки, Wi-Fi, набор для влажной уборки с 2-мя тряпками, интеллектуальная навигация, совместим с Алиса</v>
          </cell>
        </row>
        <row r="28">
          <cell r="A28">
            <v>2211400962</v>
          </cell>
          <cell r="B28" t="str">
            <v>RG7675WH</v>
          </cell>
          <cell r="J28" t="str">
            <v>Мощность всасвания 2700 ПА. Время работы до 2 часов 30 минут без подзарядки, 3 режима работы,  контейнер для пыли 0,4 л, выбор и ограничение зоны уборки, Wi-Fi, набор для влажной уборки с 2-мя тряпками, интеллектуальная навигация, совместим с Алиса</v>
          </cell>
        </row>
        <row r="29">
          <cell r="A29">
            <v>2211401037</v>
          </cell>
          <cell r="B29" t="str">
            <v>RG7687WH</v>
          </cell>
          <cell r="J29" t="str">
            <v>Мощность всасвания 2700 ПА. Время работы до 2 часов 30 минут без подзарядки, 3 режима работы,  контейнер для пыли 0,4 л, выбор и ограничение зоны уборки, Wi-Fi, набор для влажной уборки с 2-мя тряпками, интеллектуальная навигация, совместим с Алиса</v>
          </cell>
        </row>
        <row r="30">
          <cell r="A30">
            <v>2211400963</v>
          </cell>
          <cell r="B30" t="str">
            <v>RG7687WH</v>
          </cell>
          <cell r="J30" t="str">
            <v>Мощность всасвания 2700 ПА. Время работы до 2 часов 30 минут без подзарядки, 3 режима работы,  контейнер для пыли 0,4 л, выбор и ограничение зоны уборки, Wi-Fi, набор для влажной уборки с 2-мя тряпками, интеллектуальная навигация, совместим с Алиса</v>
          </cell>
        </row>
        <row r="31">
          <cell r="A31">
            <v>2211401313</v>
          </cell>
          <cell r="B31" t="str">
            <v>RG8497WH</v>
          </cell>
          <cell r="J31" t="str">
            <v xml:space="preserve">Время работы до 120 мин без подзарядки, контейнер для пыли 0,35 л,мощность всасывания 2300 Па, интеллектуальная навигация, 3 тряпки-насадки, высокоэффективный фильтр, электорощетка Animal, 3 мешка для пыли </v>
          </cell>
        </row>
        <row r="32">
          <cell r="A32">
            <v>2211401312</v>
          </cell>
          <cell r="B32" t="str">
            <v>RG8477WH</v>
          </cell>
          <cell r="J32" t="str">
            <v>Время работы до 120 мин без подзарядки, контейнер для пыли 0,4 л,мощность всасывания 2300 Па, интеллектуальная навигация, 3 тряпки-насадки, высокоэффективный фильтр, электорощетка Animal</v>
          </cell>
        </row>
        <row r="33">
          <cell r="A33">
            <v>2211401309</v>
          </cell>
          <cell r="B33" t="str">
            <v>RG8L85WH</v>
          </cell>
          <cell r="J33" t="str">
            <v xml:space="preserve">Время работы до 120 мин без подзарядки, контейнер для пыли 0,35 л,мощность всасывания 2300 Па, интеллектуальная навигация, 2 тряпки-насадки, фильтр, электорощетка, 3 мешка для пыли </v>
          </cell>
        </row>
        <row r="34">
          <cell r="A34">
            <v>2211401308</v>
          </cell>
          <cell r="B34" t="str">
            <v>RG8L65WH</v>
          </cell>
          <cell r="J34" t="str">
            <v>Время работы до 120 мин без подзарядки, контейнер для пыли 0,35 л,мощность всасывания 2300 Па, интеллектуальная навигация, 2 тряпки-насадки, фильтр, электорощетка</v>
          </cell>
        </row>
        <row r="35">
          <cell r="A35">
            <v>2211400921</v>
          </cell>
          <cell r="B35" t="str">
            <v>RG7447WH</v>
          </cell>
          <cell r="J35" t="str">
            <v>Мощность всасывания 2300 ПА. Время работы до 90 мин, 3 режима работы, контейнер для пыли 0,36 л, методическая навигация, гироскоп, построение гиро-карты, совместимость с Алиса, Wi-Fi, набор для влажной уборки с2-мя тряпками, тонкий корпус - всего 6 см.</v>
          </cell>
        </row>
        <row r="36">
          <cell r="A36">
            <v>2211400705</v>
          </cell>
          <cell r="B36" t="str">
            <v>RG7447WH</v>
          </cell>
          <cell r="J36" t="str">
            <v>Мощность всасывания 2300 ПА. Время работы до 90 мин, 3 режима работы, контейнер для пыли 0,36 л, методическая навигация, гироскоп, построение гиро-карты, совместимость с Алиса, Wi-Fi, набор для влажной уборки с2-мя тряпками, тонкий корпус - всего 6 см.</v>
          </cell>
        </row>
        <row r="37">
          <cell r="A37">
            <v>2211400922</v>
          </cell>
          <cell r="B37" t="str">
            <v>RG7455WH</v>
          </cell>
          <cell r="J37" t="str">
            <v>Мощность всасывания 2300 ПА. Время работы до 90 мин, 3 режима работы, контейнер для пыли 0,36 л, методическая навигация, гироскоп, построение гиро-карты, совместимость с Алиса, Wi-Fi, набор для влажной уборки с2-мя тряпками, тонкий корпус - всего 6 см.</v>
          </cell>
        </row>
        <row r="38">
          <cell r="A38">
            <v>2211400706</v>
          </cell>
          <cell r="B38" t="str">
            <v>RG7455WH</v>
          </cell>
          <cell r="J38" t="str">
            <v>Мощность всасывания 2300 ПА. Время работы до 90 мин, 3 режима работы, контейнер для пыли 0,36 л, методическая навигация, гироскоп, построение гиро-карты, совместимость с Алиса, Wi-Fi, набор для влажной уборки с2-мя тряпками, тонкий корпус - всего 6 см.</v>
          </cell>
        </row>
        <row r="39">
          <cell r="A39">
            <v>2211401010</v>
          </cell>
          <cell r="B39" t="str">
            <v>RG7365WH</v>
          </cell>
          <cell r="J39" t="str">
            <v xml:space="preserve">Мощность всасывания 1300 ПА. Время работы до 150 мин, 3 режима работы, контейнер для пыли 0,25 л, Wi-Fi, набор для влажной уборки с2-мя тряпками  , гироскоп + карта </v>
          </cell>
        </row>
        <row r="40">
          <cell r="A40">
            <v>2211400967</v>
          </cell>
          <cell r="B40" t="str">
            <v>RG7375WH</v>
          </cell>
          <cell r="J40" t="str">
            <v xml:space="preserve">Мощность всасывания 1300 ПА. Время работы до 150 мин, 3 режима работы, контейнер для пыли 0,25 л, Wi-Fi, набор для влажной уборки с2-мя тряпками  , гироскоп + карта </v>
          </cell>
        </row>
        <row r="41">
          <cell r="A41">
            <v>2211400968</v>
          </cell>
          <cell r="B41" t="str">
            <v>RG7387WH</v>
          </cell>
          <cell r="J41" t="str">
            <v xml:space="preserve">Мощность всасывания 1300 ПА. Время работы до 150 мин, 3 режима работы, контейнер для пыли 0,25 л, Wi-Fi, набор для влажной уборки с2-мя тряпками  , гироскоп + карта </v>
          </cell>
        </row>
        <row r="42">
          <cell r="A42">
            <v>2211400703</v>
          </cell>
          <cell r="B42" t="str">
            <v>RG7267WH</v>
          </cell>
          <cell r="J42" t="str">
            <v>Робот-пылесос EXPLORER S40, время работы до 150 мин, 3 режима уборки , время зарядки  6 часов, объем контейнера для пыли 0,25 л., магнитная полоса 1 шт.,  литий-ионная батарея, высота 8 см, диаметр 32,5 см, навинация - ИК сенсоры, цвет -белый</v>
          </cell>
        </row>
        <row r="43">
          <cell r="A43">
            <v>2211400704</v>
          </cell>
          <cell r="B43" t="str">
            <v>RG7275WH</v>
          </cell>
          <cell r="J43" t="str">
            <v>Робот-пылесос EXPLORER S40, время работы до 150 мин, 3 режима уборки , время зарядки  6 часов, объем контейнера для пыли 0,25 л.,  литий-ионная батарея, высота 8 см, диаметр 32,5 см, навинация - ИК сенсоры, цвет -черный</v>
          </cell>
        </row>
        <row r="44">
          <cell r="A44">
            <v>2211401209</v>
          </cell>
          <cell r="B44" t="str">
            <v>RG9695WH</v>
          </cell>
          <cell r="J44" t="str">
            <v>Робот пылесос X-PLORER SERIE 240+ со станцией сомоочистки, мощность всасывания 8000 Па, уровень шума 65 дБ, время работы 120 мин, в комплекте: 3 тряпки насадки, 3 мешка для пыли Hygiene +</v>
          </cell>
        </row>
        <row r="45">
          <cell r="A45">
            <v>2211401200</v>
          </cell>
          <cell r="B45" t="str">
            <v>RG9475WH</v>
          </cell>
          <cell r="J45" t="str">
            <v>Робот пылесос X-PLORER SERIE 220, мощность всасывания 5000 Па, уровень шума 70 дБ, время работы 120 мин, в комплекте: 3 тряпки насадки</v>
          </cell>
        </row>
        <row r="46">
          <cell r="A46">
            <v>2211400823</v>
          </cell>
          <cell r="B46" t="str">
            <v>RG6825WH</v>
          </cell>
          <cell r="J46" t="str">
            <v>Робот-пылесос SMART FORCE ESSENTIAL, время работы до 150 мин, время зарядки  6 часов, объем контейнера для пыли 0,25 л.,  3 режима работы , литий-ионная батарея 14 В,  цвет - черный</v>
          </cell>
        </row>
        <row r="47">
          <cell r="A47">
            <v>2211400616</v>
          </cell>
          <cell r="B47" t="str">
            <v>RG6871WH</v>
          </cell>
          <cell r="J47" t="str">
            <v xml:space="preserve">Робот-пылесос SMART FORCE ESSENTIAL, время работы до 150 мин, время зарядки  6 часов, объем контейнера для пыли 0,25 л.,  3 режима работы , литий-ионная батарея 14 В, влажная уборка , 2 тряпки в комплекте ,  цвет - черный </v>
          </cell>
        </row>
        <row r="48">
          <cell r="A48">
            <v>2211400617</v>
          </cell>
          <cell r="B48" t="str">
            <v>RG6875WH</v>
          </cell>
          <cell r="J48" t="str">
            <v>Робот-пылесос SMART FORCE ESSENTIAL, время работы до 150 мин, время зарядки  6 часов, объем контейнера для пыли 0,25 л.,  3 режима работы , литий-ионная батарея 14 В, влажная уборка , 2 тряпки в комплекте ,  цвет - синий</v>
          </cell>
        </row>
        <row r="49">
          <cell r="A49">
            <v>2211401344</v>
          </cell>
          <cell r="B49" t="str">
            <v>RG9197WH</v>
          </cell>
          <cell r="J49" t="str">
            <v>Время работы до 120 мин без подзарядки, контейнер для пыли 0,35 л,мощность всасывания 2300 Па, интеллектуальная навигация, 2 тряпки-насадки, фильтр, электорощетка</v>
          </cell>
        </row>
        <row r="50">
          <cell r="A50">
            <v>2211401343</v>
          </cell>
          <cell r="B50" t="str">
            <v>RG9177WH</v>
          </cell>
          <cell r="J50" t="str">
            <v>Время работы до 120 мин без подзарядки, контейнер для пыли 0,35 л,мощность всасывания 2300 Па, интеллектуальная навигация, 2 тряпки-насадки, фильтр, электорощетка</v>
          </cell>
        </row>
        <row r="51">
          <cell r="A51">
            <v>2211401083</v>
          </cell>
          <cell r="B51" t="str">
            <v>RG9075WH</v>
          </cell>
          <cell r="J51" t="str">
            <v>Время работы до 120 мин без подзарядки, контейнер для пыли 0,5 л, виртуальная стена, Wi-Fi, набор для влажной уборки с 3-мя тряпками, интеллектуальная навигация, распознавание мелких препятствий/объектов, AI. Самый тонкий, высота 8 см</v>
          </cell>
        </row>
        <row r="52">
          <cell r="A52">
            <v>2211401084</v>
          </cell>
          <cell r="B52" t="str">
            <v>RG9077WH</v>
          </cell>
          <cell r="J52" t="str">
            <v>Время работы до 120 мин без подзарядки, контейнер для пыли 0,5 л, виртуальная стена, Wi-Fi, набор для влажной уборки с 3-мя тряпками, интеллектуальная навигация, распознавание мелких препятствий/объектов, AI. Самый тонкий, высота 8 см</v>
          </cell>
        </row>
        <row r="53">
          <cell r="A53">
            <v>2211401049</v>
          </cell>
          <cell r="B53" t="str">
            <v>RG7865WH</v>
          </cell>
          <cell r="J53" t="str">
            <v>Время работы до 120 мин без подзарядки, контейнер для пыли 0,7 л, виртуальная стена, Wi-Fi, набор для влажной уборки с 3-мя тряпками, интеллектуальная навигация, распознавание мелких препятствий/объектов.</v>
          </cell>
        </row>
        <row r="54">
          <cell r="A54">
            <v>2211401050</v>
          </cell>
          <cell r="B54" t="str">
            <v>RG7867WH</v>
          </cell>
          <cell r="J54" t="str">
            <v>Время работы до 120 мин без подзарядки, контейнер для пыли 0,7 л, виртуальная стена, Wi-Fi, набор для влажной уборки с 3-мя тряпками, интеллектуальная навигация, распознавание мелких препятствий/объектов.</v>
          </cell>
        </row>
        <row r="55">
          <cell r="A55">
            <v>2211401380</v>
          </cell>
          <cell r="B55" t="str">
            <v xml:space="preserve">RG8797WH </v>
          </cell>
          <cell r="J55" t="str">
            <v>X-PLORER SERIE 90+ DUST STATION</v>
          </cell>
        </row>
        <row r="56">
          <cell r="A56">
            <v>2211401378</v>
          </cell>
          <cell r="B56" t="str">
            <v xml:space="preserve">RG8777WH </v>
          </cell>
          <cell r="J56" t="str">
            <v>X-PLORER SERIE 90 CHARGING STATION</v>
          </cell>
        </row>
        <row r="57">
          <cell r="A57">
            <v>2211401379</v>
          </cell>
          <cell r="B57" t="str">
            <v xml:space="preserve">RG87D5WH </v>
          </cell>
          <cell r="J57" t="str">
            <v>X-PLORER SERIE 85+ DUST STATION</v>
          </cell>
        </row>
        <row r="58">
          <cell r="A58">
            <v>2211401377</v>
          </cell>
          <cell r="B58" t="str">
            <v xml:space="preserve">RG87C5WH </v>
          </cell>
          <cell r="J58" t="str">
            <v>X-PLORER SERIE 85 CHARGING STATION</v>
          </cell>
        </row>
        <row r="59">
          <cell r="A59">
            <v>2211401030</v>
          </cell>
          <cell r="B59" t="str">
            <v>RG8227WH</v>
          </cell>
          <cell r="J59" t="str">
            <v>Робот-пылесос Serie 45, время работы до 150 мин, 3 режима работы, контейнер для пыли 0,25 л., мобильное приложение</v>
          </cell>
        </row>
        <row r="60">
          <cell r="A60">
            <v>2211401051</v>
          </cell>
          <cell r="B60" t="str">
            <v>RG8275WH</v>
          </cell>
          <cell r="J60" t="str">
            <v>Робот-пылесос Serie 45, время работы до 150 мин, 3 режима работы, контейнер для пыли 0,25 л.,набор для влажной уборки с2-мя тряпками, мобильное прложение</v>
          </cell>
        </row>
        <row r="61">
          <cell r="A61">
            <v>7211004328</v>
          </cell>
          <cell r="B61" t="str">
            <v>TY6837WO</v>
          </cell>
          <cell r="J61" t="str">
            <v xml:space="preserve">Беспроводнoй пылесос X-FORCE 6.60 ,  время работы 45 мин , батарея 22.2 В , вес 2,7 кг, фильтрация 99,9 % насадки: электрощетка, щелевая, для мягкой мебели.  </v>
          </cell>
        </row>
        <row r="62">
          <cell r="A62">
            <v>7211004326</v>
          </cell>
          <cell r="B62" t="str">
            <v>TY6838WO</v>
          </cell>
          <cell r="J62" t="str">
            <v xml:space="preserve">Беспроводнoй пылесос X-FORCE 6.60 ,  время работы 45 мин , батарея 22.2 В , вес 2,7 кг,фильтрация 99,9 % насадки: электрощетка, щелевая, для мягкой мебели.  </v>
          </cell>
        </row>
        <row r="63">
          <cell r="A63">
            <v>7211004327</v>
          </cell>
          <cell r="B63" t="str">
            <v>TY6878WO</v>
          </cell>
          <cell r="J63" t="str">
            <v>Беспроводнoй пылесос X-FORCE 6.60 , время работы 45 мин , батарея 22.2 В , вес 2,7 кг,  фильтрация 99,9 % насадки: электрощетка, щелевая, для мягкой мебели, мини-турбощетка.</v>
          </cell>
        </row>
        <row r="64">
          <cell r="A64">
            <v>2211400831</v>
          </cell>
          <cell r="B64" t="str">
            <v>TY6975WO</v>
          </cell>
          <cell r="J64" t="str">
            <v>Беспроводной пылесос X-Pert 3.60, объем контейнера 0,5  л., время работы до 45 мин., время заряда 4 часа,  литий-ионная батарея 22 В, щелевая насадка, мини турбощетка, насадки для сбора шерсти, подсветка насадки</v>
          </cell>
        </row>
        <row r="65">
          <cell r="A65">
            <v>2211400814</v>
          </cell>
          <cell r="B65" t="str">
            <v>TY6933WO</v>
          </cell>
          <cell r="J65" t="str">
            <v>TEFAL CORDLESS ST. CLEANER X-PERT 3.60 TY6933WO Беспроводной пылесос, универсальная мощность всасывания 3 в 1, автономная работа до 45 минут, литиевый аккумулятор, удобная уборка от пола до потолка, эффективная насадка с LED-подсветкой</v>
          </cell>
        </row>
        <row r="66">
          <cell r="A66">
            <v>2211400435</v>
          </cell>
          <cell r="B66" t="str">
            <v>TY7324WO</v>
          </cell>
          <cell r="J66" t="str">
            <v>Беспроводной пылесос XPERT ESSENTIAL 360 , уровень шума 85 дБ, объем контейнера 0,4 л., время работы до 25 мин., литий-ионная батарея 21.9 В, цвет желтый-черный</v>
          </cell>
        </row>
        <row r="67">
          <cell r="A67">
            <v>2211400436</v>
          </cell>
          <cell r="B67" t="str">
            <v>TY7329WO</v>
          </cell>
          <cell r="J67" t="str">
            <v>Беспроводной пылесос XPERT ESSENTIAL 360 , уровень шума 85 дБ, объем контейнера 0,4 л., время работы до 25 мин., литий-ионная батарея 21.9 В, цвет розовый -черный</v>
          </cell>
        </row>
        <row r="68">
          <cell r="A68">
            <v>2211400612</v>
          </cell>
          <cell r="B68" t="str">
            <v>TY7231WO</v>
          </cell>
          <cell r="J68" t="str">
            <v>Беспроводной пылесос X-PERT  360 , уровень шума 86 дБ, объем контейнера 0,5  л., время работы до 45 мин., время заряда 5 часов,  литий-ионная батарея 22 В</v>
          </cell>
        </row>
        <row r="69">
          <cell r="A69">
            <v>2211400613</v>
          </cell>
          <cell r="B69" t="str">
            <v>TY7233WO</v>
          </cell>
          <cell r="J69" t="str">
            <v>Беспроводной пылесос X-PERT  360 , уровень шума 86 дБ, объем контейнера 0,5  л., время работы до 45 мин., время заряда 5 часов,  литий-ионная батарея 22 В</v>
          </cell>
        </row>
        <row r="70">
          <cell r="A70">
            <v>2211401034</v>
          </cell>
          <cell r="B70" t="str">
            <v>IQ7767EA</v>
          </cell>
          <cell r="J70" t="str">
            <v>TEFAL X-Ô 90 IQ7767EA Беспроводной пылесос, высокая мощность всасывания, 230 аэроватт, высокое качество уборки, съемный  аккумулятор до 90 мин автономной работы, технология Flex, контейнер 1,0л,  самый тихий беспроводной пылесос - 69 dB, в комплекте насадки: щетка пол-ковер, щелевая, для мягкой мебели.</v>
          </cell>
        </row>
        <row r="71">
          <cell r="A71">
            <v>2211401035</v>
          </cell>
          <cell r="B71" t="str">
            <v>IQ7777EA</v>
          </cell>
          <cell r="J71" t="str">
            <v>TEFAL X-Ô 160 IQ7777EA Беспроводной пылесос, высокая мощность всасывания, 230 аэроватт, высокое качество уборки, 2 съемных  аккумулятора - до 160 мин автономной работы, технология Flex, контейнер 1,0л,  самый тихий беспроводной пылесос - 69 dB, в комплекте насадки: щетка пол-ковер, щелевая, для мягкой мебели, мини-трубощетка.</v>
          </cell>
        </row>
        <row r="72">
          <cell r="A72">
            <v>7211004798</v>
          </cell>
          <cell r="B72" t="str">
            <v>TY1127WO</v>
          </cell>
          <cell r="J72" t="str">
            <v>Самый легкий вертикальный пылесос, ручная часть всего 1кг, сверхтонкий корпус, плоская турбощетка для труднодоступных мест, 40 минут автономной работы, 0,4л контейнер для пыли, 82 дБ уровень шума. В комплекте: основная электро-щетка, насадка для мебели, щелевая, 2 мягкие щетки</v>
          </cell>
        </row>
        <row r="73">
          <cell r="A73">
            <v>7211004800</v>
          </cell>
          <cell r="B73" t="str">
            <v>TY1129WO</v>
          </cell>
          <cell r="J73" t="str">
            <v>Самый легкий вертикальный пылесос, ручная часть всего 1кг, сверхтонкий корпус, плоская турбощетка для труднодоступных мест, 40 минут автономной работы, 0,4л контейнер для пыли, 82 дБ уровень шума. В комплекте: основная электро-щетка, насадка для мебели, щелевая, 2 мягкие щетки</v>
          </cell>
        </row>
        <row r="74">
          <cell r="A74">
            <v>7211419476</v>
          </cell>
          <cell r="B74" t="str">
            <v>KO190AE0</v>
          </cell>
          <cell r="J74" t="str">
            <v xml:space="preserve">XL PITCHER SHAPE 1.9L </v>
          </cell>
        </row>
        <row r="75">
          <cell r="A75">
            <v>7211004935</v>
          </cell>
          <cell r="B75" t="str">
            <v>TY2039WO</v>
          </cell>
          <cell r="J75" t="str">
            <v>TEFAL X-FORCE FLEX 9.60  TY2039WO Беспроводной пылесос,  мощность всасывания до 100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мебели,щелевая насадка в комплекте.</v>
          </cell>
        </row>
        <row r="76">
          <cell r="A76">
            <v>7211005165</v>
          </cell>
          <cell r="B76" t="str">
            <v>TY2079WO</v>
          </cell>
          <cell r="J76" t="str">
            <v>TEFAL X-FORCE FLEX 9.60  TY2079WO Беспроводной пылесос,  мощность всасывания до 100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 мини турбощетка, щелевая насадка в комплекте.</v>
          </cell>
        </row>
        <row r="77">
          <cell r="A77">
            <v>2211401177</v>
          </cell>
          <cell r="B77" t="str">
            <v>TY2079WO</v>
          </cell>
          <cell r="J77" t="str">
            <v>TEFAL X-FORCE FLEX 9.60  TY2079WO Беспроводной пылесос,  мощность всасывания до 100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 мини турбощетка, щелевая насадка в комплекте.</v>
          </cell>
        </row>
        <row r="78">
          <cell r="A78">
            <v>2211401218</v>
          </cell>
          <cell r="B78" t="str">
            <v>TY20C4WO</v>
          </cell>
          <cell r="J78" t="str">
            <v>TEFAL X-FORCE FLEX 9.60 TY20C4WO Беспроводной пылесос,  мощность всасывания до 100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мебели,щелевая насадка, насадка для влажной уборки в комплекте.</v>
          </cell>
        </row>
        <row r="79">
          <cell r="A79">
            <v>2211401219</v>
          </cell>
          <cell r="B79" t="str">
            <v>TY20C7WO</v>
          </cell>
          <cell r="J79" t="str">
            <v>TEFAL X-FORCE FLEX 9.60 TY20C7WO Беспроводной пылесос,  мощность всасывания до 100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 мини турбощетка, щелевая насадка, насадка для влажной уборки в комплекте</v>
          </cell>
        </row>
        <row r="80">
          <cell r="A80">
            <v>2211401074</v>
          </cell>
          <cell r="B80" t="str">
            <v>TY99F1WO</v>
          </cell>
          <cell r="J80" t="str">
            <v>TEFAL X-FORCE FLEX 15.60 ANIMAL TY99F1WO Самый мощный пылесос от Tefal: беспроводной пылесос с мотором DigitalForce создает мощность всасывания 230 аэроватт для тщательной уборки во всем доме Увеличенное время работы: съемный аккумулятор (9-ячеечный/32,4 В) гарантирует высокую и неизменную мощность всасывания и до 1 часа 10 минут автономной работы при использовании в качестве ручного пылесоса и в режиме Eco Эффективность в одно касание: цифровая панель управления показывает оставшееся время работы с точностью до минуты и позволяет удобно выбирать между 4 уровнями мощности или включать режим Boost Чистота даже в самых труднодоступных местах: технология корпуса Flex позволяет убираться в 4 раза дальше* под низкой мебелью, не нагибаясь при этом, а встроенная в насадку яркая подсветка Deep Power LED помогает увидеть всю пыль в плохо освещенных местах. *По сравнению с пылесосом с негибким корпусом Ремонтопригодный продукт: для защиты окружающей среды и сокращения отходов мы гарантируем возможность ремонта прибора в течение 10 лет в 6500 сервисных центров по всему миру. Всегда заряжен и под рукой: эксклюзивная автономная док-станция не крепится к стене, может быть установлена в любом месте в доме. Благодаря ей пылесос всегда под рукой и находится в заряженном состоянии. Трубу док-станции можно использовать для удлинения трубы пылесоса для очистки потолка и труднодоступных мест. Неизменная мощность на любом типе покрытия: универсальная насадка Deep Power LED Vision позволяет эффективно пылесосить как твердые полы, так и ковровые покрытия, и захватывает даже крупный мусор Свобода передвижения: с парковкой Stop&amp;GO вам больше не придется класть трубку на пол, пока вы пылесосите мебель ручным пылесосом, так как трубка и щетка остаются в зафиксированном положении. HEPA-фильтр: пылесос захватывает даже мельчайшие частицы пыли и грязи, обеспечивая чистоту и свежесть воздуха Комфортный уход: контейнер для пыли размером XL и объемом 0,9 л создан для уборки больших поверхностей и оснащен системой легкой очистки, при которой не надо снимать трубку пылесоса. Контейнер можно мыть водой Практичные аксессуары: мини-электрощетка для удаления волос и въевшейся грязи, насадка Mini Flex, щелевая насадка для уборки в труднодоступных местах, щетка для мебели, дополнительный фильтр и две встроенные щетки для любых поверхностей</v>
          </cell>
        </row>
        <row r="81">
          <cell r="A81">
            <v>2211401225</v>
          </cell>
          <cell r="B81" t="str">
            <v>TY99G1WO</v>
          </cell>
          <cell r="J81" t="str">
            <v>TEFAL X-FORCE FLEX 15.60 ANIMAL TY99G1WO Самый мощный пылесос от Tefal: беспроводной пылесос с мотором DigitalForce создает мощность всасывания 230 аэроватт для тщательной уборки во всем доме Увеличенное время работы: съемный аккумулятор (9-ячеечный/32,4 В) гарантирует высокую и неизменную мощность всасывания и до 1 часа 10 минут автономной работы при использовании в качестве ручного пылесоса и в режиме Eco Эффективность в одно касание: цифровая панель управления показывает оставшееся время работы с точностью до минуты и позволяет удобно выбирать между 4 уровнями мощности или включать режим Boost Чистота даже в самых труднодоступных местах: технология корпуса Flex позволяет убираться в 4 раза дальше* под низкой мебелью, не нагибаясь при этом, а встроенная в насадку яркая подсветка Deep Power LED помогает увидеть всю пыль в плохо освещенных местах. *По сравнению с пылесосом с негибким корпусом Ремонтопригодный продукт: для защиты окружающей среды и сокращения отходов мы гарантируем возможность ремонта прибора в течение 10 лет в 6500 сервисных центров по всему миру. Всегда заряжен и под рукой: эксклюзивная автономная док-станция не крепится к стене, может быть установлена в любом месте в доме. Благодаря ей пылесос всегда под рукой и находится в заряженном состоянии. Трубу док-станции можно использовать для удлинения трубы пылесоса для очистки потолка и труднодоступных мест. Неизменная мощность на любом типе покрытия: универсальная насадка Deep Power LED Vision позволяет эффективно пылесосить как твердые полы, так и ковровые покрытия, и захватывает даже крупный мусор Свобода передвижения: с парковкой Stop&amp;GO вам больше не придется класть трубку на пол, пока вы пылесосите мебель ручным пылесосом, так как трубка и щетка остаются в зафиксированном положении. HEPA-фильтр: пылесос захватывает даже мельчайшие частицы пыли и грязи, обеспечивая чистоту и свежесть воздуха Комфортный уход: контейнер для пыли размером XL и объемом 0,9 л создан для уборки больших поверхностей и оснащен системой легкой очистки, при которой не надо снимать трубку пылесоса. Контейнер можно мыть водой Практичные аксессуары: мини-электрощетка для удаления волос и въевшейся грязи, насадка Mini Flex, щелевая насадка для уборки в труднодоступных местах, щетка для мебели, дополнительный фильтр и две встроенные щетки для любых поверхностей, насадка для влажной уборки</v>
          </cell>
        </row>
        <row r="82">
          <cell r="A82">
            <v>2211400979</v>
          </cell>
          <cell r="B82" t="str">
            <v>TY9958WO</v>
          </cell>
          <cell r="J82" t="str">
            <v>TEFAL X-FORCE FLEX 14.60 ANIMAL TY9958WO Беспроводной пылесос, модель Animal Care, непревзойденная мощность всасывания, до 200 аэроватт, съемный аккумулятор 32,4 В, время автономной работы до 1 часа 10 минут, электронная панель управления, технология корпуса Flex, LED-подсветка, высокоэффективная фильтрация</v>
          </cell>
        </row>
        <row r="83">
          <cell r="A83">
            <v>2211400977</v>
          </cell>
          <cell r="B83" t="str">
            <v>TY9990WO</v>
          </cell>
          <cell r="J83" t="str">
            <v>TEFAL X-FORCE FLEX 14.60 AQUA TY9990WO Беспроводной пылесос, насадка Aqua для одновременной сухой и влажной уборки, непревзойденная мощность всасывания, до 200 аэроватт, съемный аккумулятор 32,4 В, время автономной работы до 1 часа 10 минут, электронная панель управления, технология корпуса Flex, LED-подсветка, высокоэффективная фильтрация</v>
          </cell>
        </row>
        <row r="84">
          <cell r="A84">
            <v>2211401142</v>
          </cell>
          <cell r="B84" t="str">
            <v>TY99A8WO</v>
          </cell>
          <cell r="J84" t="str">
            <v>TEFAL X-FORCE FLEX 14.60 ANIMAL TY9958WO Беспроводной пылесос, модель Animal Care, непревзойденная мощность всасывания, до 200 аэроватт, съемный аккумулятор 32,4 В, время автономной работы до 1 часа 10 минут, электронная панель управления, технология корпуса Flex, LED-подсветка, высокоэффективная фильтрация. Автоматическое опредление покрытия, упоминание о состоянии фильтрации.</v>
          </cell>
        </row>
        <row r="85">
          <cell r="A85">
            <v>2211401143</v>
          </cell>
          <cell r="B85" t="str">
            <v>TY99C0WO</v>
          </cell>
          <cell r="J85" t="str">
            <v>TEFAL X-FORCE FLEX 14.60 AQUA TY9990WO Беспроводной пылесос, насадка Aqua для одновременной сухой и влажной уборки, непревзойденная мощность всасывания, до 200 аэроватт, съемный аккумулятор 32,4 В, время автономной работы до 1 часа 10 минут, электронная панель управления, технология корпуса Flex, LED-подсветка, высокоэффективная фильтрация. Автоматическое опредление покрытия, упоминание о состоянии фильтрации.</v>
          </cell>
        </row>
        <row r="86">
          <cell r="A86">
            <v>7211005033</v>
          </cell>
          <cell r="B86" t="str">
            <v>TY2038WO</v>
          </cell>
          <cell r="J86" t="str">
            <v>Беспроводной вертикальный пылесос X-Force Flex 9.60  Allergy TY2038WO, мощность 250 Вт,  уровень шума 83 дБ, объем контейнера для пыли 0,4 л, время работы 45 мин, насадки: паркетная щетка, щелевая насадка, цвет - черный, фиолетовый</v>
          </cell>
        </row>
        <row r="87">
          <cell r="A87">
            <v>2211400867</v>
          </cell>
          <cell r="B87" t="str">
            <v>TY9639WO</v>
          </cell>
          <cell r="J87" t="str">
            <v>Беспроводнoй пылесос X-FORCE 8.60 , время работы 35 мин , батарея 22.2 В , вес 2,7 кг, гибкий корпус , фильтрация 99,9 % насадки: электрощетка, щелевая, для мягкой мебели</v>
          </cell>
        </row>
        <row r="88">
          <cell r="A88">
            <v>2211400886</v>
          </cell>
          <cell r="B88" t="str">
            <v>TY9679WO</v>
          </cell>
          <cell r="J88" t="str">
            <v>Беспроводнoй пылесос X-FORCE 8.60 , время работы 35 мин , батарея 22.2 В , вес 2,7 кг, гибкий корпус , фильтрация 99,9 % насадки: электрощетка, щелевая, для мягкой мебели, мини-турбощетка</v>
          </cell>
        </row>
        <row r="89">
          <cell r="A89">
            <v>2211400906</v>
          </cell>
          <cell r="B89" t="str">
            <v>TY9690WO</v>
          </cell>
          <cell r="J89" t="str">
            <v>Беспроводнoй пылесос X-FORCE 8.60 , время работы 35 мин , батарея 22.2 В , вес 2,7 кг, гибкий корпус , фильтрация 99,9 % насадки: электрощетка, щелевая, для мягкой мебели, мини-турбощетка, насадка для влажной уборки</v>
          </cell>
        </row>
        <row r="90">
          <cell r="A90">
            <v>2211400905</v>
          </cell>
          <cell r="B90" t="str">
            <v>TY9691W0</v>
          </cell>
          <cell r="J90" t="str">
            <v>Беспроводнoй пылесос X-FORCE 8.60 , время работы 35 мин , батарея 22.2 В , вес 2,7 кг, гибкий корпус , фильтрация 99,9 % насадки: электрощетка, щелевая, для мягкой мебели, мини-турбощетка, насадка для влажной уборки</v>
          </cell>
        </row>
        <row r="91">
          <cell r="A91">
            <v>2211401128</v>
          </cell>
          <cell r="B91" t="str">
            <v>TY98A9WO</v>
          </cell>
          <cell r="J91" t="str">
            <v>TEFAL X-FORCE FLEX 12.60  TY98A9WO Беспроводной пылесос,  мощность всасывания до 150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мебели,щелевая насадка в комплекте.</v>
          </cell>
        </row>
        <row r="92">
          <cell r="A92">
            <v>2211401132</v>
          </cell>
          <cell r="B92" t="str">
            <v>TY98C0WO</v>
          </cell>
          <cell r="J92" t="str">
            <v>TEFAL X-FORCE FLEX 12.60  TY98CWO Беспроводной пылесос,  мощность всасывания до 150 аэроватт, съемный аккумулятор, время автономной работы до 45, электронная панель управления, технология корпуса Flex, LED-подсветка, высокоэффективная фильтрация, мощная электрощетка, насадка для мягкой мебели,щелевая насадка, насадка для влажной уборки в комплекте.</v>
          </cell>
        </row>
        <row r="93">
          <cell r="A93">
            <v>2211400887</v>
          </cell>
          <cell r="B93" t="str">
            <v>TY9879WO</v>
          </cell>
          <cell r="J93" t="str">
            <v>Беспроводнoй пылесос XFORCE FLEX 11.60 ,  время работы 45 мин , батарея 25.2 В , гибкий корпус , фильтрация 99,9 % насадки: электрощетка, щелевая, для мягкой мебели, насадка для влажной уборки</v>
          </cell>
        </row>
        <row r="94">
          <cell r="A94">
            <v>2211400888</v>
          </cell>
          <cell r="B94" t="str">
            <v>TY9890WO</v>
          </cell>
          <cell r="J94" t="str">
            <v>Беспроводнoй пылесос XFORCE FLEX 11.60 ,  время работы 45 мин , батарея 25.2 В , гибкий корпус , фильтрация 99,9 % насадки: электрощетка, щелевая, для мягкой мебели, насадка для влажной уборки</v>
          </cell>
        </row>
        <row r="95">
          <cell r="A95">
            <v>2211401212</v>
          </cell>
          <cell r="B95" t="str">
            <v>GF3039WO</v>
          </cell>
          <cell r="J95" t="str">
            <v xml:space="preserve">Паровой пылесос CLEAN&amp;SPIN X-COMBO 2 в 1 : пылесос и пароочиститель, мощность 215 Вт, объем контейнера для пыли - 0,55 л., время автономной работы - 60 мин, уровень шума 79 дБ,  в комплекте 6 тряпок: 2 зеленые, 2 синии, 2 серые, 2 фильтра, цвет - серый </v>
          </cell>
        </row>
        <row r="96">
          <cell r="A96">
            <v>7211005393</v>
          </cell>
          <cell r="B96" t="str">
            <v xml:space="preserve">GF5736F4 </v>
          </cell>
          <cell r="J96" t="str">
            <v>Моющий беспроводной вертикальный пылесос</v>
          </cell>
        </row>
        <row r="97">
          <cell r="A97">
            <v>2211401445</v>
          </cell>
          <cell r="B97" t="str">
            <v>GF5555F0</v>
          </cell>
          <cell r="J97" t="str">
            <v>Моющий беспроводной вертикальный пылесос</v>
          </cell>
        </row>
        <row r="98">
          <cell r="A98">
            <v>2211401355</v>
          </cell>
          <cell r="B98" t="str">
            <v>ZR335A00</v>
          </cell>
          <cell r="J98" t="str">
            <v>Аксессуары для X-clean 4: 2 роликовые щетки (мягкая и жестка), 2 боковые щетки, 2 губчатых фильтра, 2 фильтра</v>
          </cell>
        </row>
        <row r="99">
          <cell r="A99">
            <v>2211401354</v>
          </cell>
          <cell r="B99" t="str">
            <v>GF5035F0</v>
          </cell>
          <cell r="J99" t="str">
            <v xml:space="preserve">Паровой пылесос CLEAN&amp;SPIN X-CLEAN 4   2 в 1 : пылесос и пароочиститель, мощность 200 Вт, , время автономной работы - 50 мин, уровень шума 79 Дб, цвет - черный </v>
          </cell>
        </row>
        <row r="100">
          <cell r="A100">
            <v>2211401417</v>
          </cell>
          <cell r="B100" t="str">
            <v>GF2251F3</v>
          </cell>
          <cell r="J100" t="str">
            <v>Моющий беспроводной вертикальный пылесос</v>
          </cell>
        </row>
        <row r="101">
          <cell r="A101">
            <v>2211401372</v>
          </cell>
          <cell r="B101" t="str">
            <v>GF7540FO</v>
          </cell>
          <cell r="J101" t="str">
            <v>Паровой пылесос CLEAN&amp;SPIN X-CLEAN 10</v>
          </cell>
        </row>
        <row r="102">
          <cell r="A102">
            <v>2210018196</v>
          </cell>
          <cell r="B102" t="str">
            <v>WB305140</v>
          </cell>
          <cell r="J102" t="str">
            <v>Набор из 5 пылесборников Tefal WB305140 для пылесосов TW52** для TW52**</v>
          </cell>
        </row>
        <row r="103">
          <cell r="A103">
            <v>3201002567</v>
          </cell>
          <cell r="B103">
            <v>1296309964</v>
          </cell>
          <cell r="J103" t="str">
            <v>Детский набор приборов, 6 шт, Pitzelpa</v>
          </cell>
        </row>
        <row r="104">
          <cell r="A104">
            <v>3201000280</v>
          </cell>
          <cell r="B104">
            <v>1294059964</v>
          </cell>
          <cell r="J104" t="str">
            <v>Детский набор приборов, 6 шт, The Litt</v>
          </cell>
        </row>
        <row r="105">
          <cell r="A105">
            <v>3201111490</v>
          </cell>
          <cell r="B105">
            <v>1288089964</v>
          </cell>
          <cell r="J105" t="str">
            <v>Детский набор приборов, 6 шт, Paw patrol</v>
          </cell>
        </row>
        <row r="106">
          <cell r="A106">
            <v>3201002425</v>
          </cell>
          <cell r="B106">
            <v>1280029964</v>
          </cell>
          <cell r="J106" t="str">
            <v>Детский набор приборов, 6 шт, Safari</v>
          </cell>
        </row>
        <row r="107">
          <cell r="A107">
            <v>3201002562</v>
          </cell>
          <cell r="B107">
            <v>1294406040</v>
          </cell>
          <cell r="J107" t="str">
            <v>Детский набор приборов, 4 шт, Biene Maya</v>
          </cell>
        </row>
        <row r="108">
          <cell r="A108">
            <v>3201111489</v>
          </cell>
          <cell r="B108">
            <v>1288086040</v>
          </cell>
          <cell r="J108" t="str">
            <v>Детский набор приборов, 4 шт, Paw patrol</v>
          </cell>
        </row>
        <row r="109">
          <cell r="A109">
            <v>3201002488</v>
          </cell>
          <cell r="B109">
            <v>1286019964</v>
          </cell>
          <cell r="J109" t="str">
            <v>Детский набор 6 пр. CARS</v>
          </cell>
        </row>
        <row r="110">
          <cell r="A110">
            <v>3201002559</v>
          </cell>
          <cell r="B110">
            <v>1294159964</v>
          </cell>
          <cell r="J110" t="str">
            <v>Детский набор 6 пр. PRINZESSIN ANNELI</v>
          </cell>
        </row>
        <row r="111">
          <cell r="A111">
            <v>3201010289</v>
          </cell>
          <cell r="B111">
            <v>1286079964</v>
          </cell>
          <cell r="J111" t="str">
            <v>Детский набор столовых приборов 6 пр. MINIONS</v>
          </cell>
        </row>
        <row r="112">
          <cell r="A112">
            <v>3201005807</v>
          </cell>
          <cell r="B112">
            <v>1286059964</v>
          </cell>
          <cell r="J112" t="str">
            <v>Детский набор 6 пр. UNICORN</v>
          </cell>
        </row>
        <row r="113">
          <cell r="A113">
            <v>3201005805</v>
          </cell>
          <cell r="B113">
            <v>1286049964</v>
          </cell>
          <cell r="J113" t="str">
            <v>Детский набор 6 пр. The Lion King</v>
          </cell>
        </row>
        <row r="114">
          <cell r="A114">
            <v>3201000264</v>
          </cell>
          <cell r="B114">
            <v>1286009964</v>
          </cell>
          <cell r="J114" t="str">
            <v>Детский набор 6 пр. FROZEN</v>
          </cell>
        </row>
        <row r="115">
          <cell r="A115">
            <v>3201000262</v>
          </cell>
          <cell r="B115">
            <v>1283309964</v>
          </cell>
          <cell r="J115" t="str">
            <v>Детский набор 6 пр.  JUNGLE BOOK</v>
          </cell>
        </row>
        <row r="116">
          <cell r="A116">
            <v>3201002443</v>
          </cell>
          <cell r="B116">
            <v>1282959964</v>
          </cell>
          <cell r="J116" t="str">
            <v>Детский набор 6 пр.  MICKEY MOUSE</v>
          </cell>
        </row>
        <row r="117">
          <cell r="A117">
            <v>3201000260</v>
          </cell>
          <cell r="B117">
            <v>1282409964</v>
          </cell>
          <cell r="J117" t="str">
            <v xml:space="preserve">Детский набор 6 пр. PRINCESS </v>
          </cell>
        </row>
        <row r="118">
          <cell r="A118">
            <v>3201010818</v>
          </cell>
          <cell r="B118">
            <v>1286076040</v>
          </cell>
          <cell r="J118" t="str">
            <v>Детский набор столовых приборов 4 пр. MINIONS</v>
          </cell>
        </row>
        <row r="119">
          <cell r="A119">
            <v>3201002447</v>
          </cell>
          <cell r="B119">
            <v>1283506040</v>
          </cell>
          <cell r="J119" t="str">
            <v>Детские приборы 4 пр. WINNIE THE POOH</v>
          </cell>
        </row>
        <row r="120">
          <cell r="A120">
            <v>3201002423</v>
          </cell>
          <cell r="B120">
            <v>1280026040</v>
          </cell>
          <cell r="J120" t="str">
            <v>Детские приборы 4 пр. SAFARI</v>
          </cell>
        </row>
        <row r="121">
          <cell r="A121">
            <v>3201005816</v>
          </cell>
          <cell r="B121">
            <v>1296436042</v>
          </cell>
          <cell r="J121" t="str">
            <v>Набор 2 чашки, 2 ложки S Mickey Mouse</v>
          </cell>
        </row>
        <row r="122">
          <cell r="A122">
            <v>3201010395</v>
          </cell>
          <cell r="B122">
            <v>2121294085</v>
          </cell>
          <cell r="J122" t="str">
            <v>Набор для соли и перца 2 пр. MINIONS</v>
          </cell>
        </row>
        <row r="123">
          <cell r="A123">
            <v>3201010394</v>
          </cell>
          <cell r="B123">
            <v>1286226040</v>
          </cell>
          <cell r="J123" t="str">
            <v>Подставка для яиц с ложкой MINIONS</v>
          </cell>
        </row>
        <row r="124">
          <cell r="A124">
            <v>3201002450</v>
          </cell>
          <cell r="B124">
            <v>1283526040</v>
          </cell>
          <cell r="J124" t="str">
            <v>Детская ложка WINNIE THE POOH DISNEY</v>
          </cell>
        </row>
        <row r="125">
          <cell r="A125">
            <v>3201000256</v>
          </cell>
          <cell r="B125">
            <v>616687400</v>
          </cell>
          <cell r="J125" t="str">
            <v xml:space="preserve">Подставка для яйца с ложкой розовая MCEGG </v>
          </cell>
        </row>
        <row r="126">
          <cell r="A126">
            <v>3201000341</v>
          </cell>
          <cell r="B126">
            <v>616687290</v>
          </cell>
          <cell r="J126" t="str">
            <v xml:space="preserve">Подставка для яйца с ложкой лимонная MCEGG </v>
          </cell>
        </row>
        <row r="127">
          <cell r="A127">
            <v>3201000130</v>
          </cell>
          <cell r="B127">
            <v>1871086030</v>
          </cell>
          <cell r="J127" t="str">
            <v>Ложка для спагетти 32см PROFI PLUS</v>
          </cell>
        </row>
        <row r="128">
          <cell r="A128">
            <v>3201002948</v>
          </cell>
          <cell r="B128">
            <v>1881746040</v>
          </cell>
          <cell r="J128" t="str">
            <v>Ложка для мороженого</v>
          </cell>
        </row>
        <row r="129">
          <cell r="A129">
            <v>3201000184</v>
          </cell>
          <cell r="B129">
            <v>1894606030</v>
          </cell>
          <cell r="J129" t="str">
            <v>Пресс для чеснока</v>
          </cell>
        </row>
        <row r="130">
          <cell r="A130">
            <v>3201000136</v>
          </cell>
          <cell r="B130">
            <v>1871366030</v>
          </cell>
          <cell r="J130" t="str">
            <v>Нож для сыра PROFI PLUS</v>
          </cell>
        </row>
        <row r="131">
          <cell r="A131">
            <v>3201002789</v>
          </cell>
          <cell r="B131">
            <v>1871066030</v>
          </cell>
          <cell r="J131" t="str">
            <v>Вилка для мяса PROFI PLUS</v>
          </cell>
        </row>
        <row r="132">
          <cell r="A132">
            <v>3201000176</v>
          </cell>
          <cell r="B132">
            <v>1874986030</v>
          </cell>
          <cell r="J132" t="str">
            <v>Кисточка силиконовая PROFI PLUS</v>
          </cell>
        </row>
        <row r="133">
          <cell r="A133">
            <v>3201002908</v>
          </cell>
          <cell r="B133">
            <v>1876709990</v>
          </cell>
          <cell r="J133" t="str">
            <v>Набор аксессуаров 7пр.PROFI PLUS</v>
          </cell>
        </row>
        <row r="134">
          <cell r="A134">
            <v>3201000157</v>
          </cell>
          <cell r="B134">
            <v>1872946030</v>
          </cell>
          <cell r="J134" t="str">
            <v>Молоток для мяса 25см PROFI PLUS</v>
          </cell>
        </row>
        <row r="135">
          <cell r="A135">
            <v>3201000147</v>
          </cell>
          <cell r="B135">
            <v>1871636030</v>
          </cell>
          <cell r="J135" t="str">
            <v>Пресс д/чеснока 17,5см PROFI PLUS</v>
          </cell>
        </row>
        <row r="136">
          <cell r="A136">
            <v>3201000142</v>
          </cell>
          <cell r="B136">
            <v>1871486030</v>
          </cell>
          <cell r="J136" t="str">
            <v>Нож консервный 23см PROFI PLUS</v>
          </cell>
        </row>
        <row r="137">
          <cell r="A137">
            <v>3201000138</v>
          </cell>
          <cell r="B137">
            <v>1871386030</v>
          </cell>
          <cell r="J137" t="str">
            <v>Пресс для картофеля 28см PROFI PLUS</v>
          </cell>
        </row>
        <row r="138">
          <cell r="A138">
            <v>3201002819</v>
          </cell>
          <cell r="B138">
            <v>1872316030</v>
          </cell>
          <cell r="J138" t="str">
            <v>Венчик 27см  PROFI PLUS</v>
          </cell>
        </row>
        <row r="139">
          <cell r="A139">
            <v>3201000135</v>
          </cell>
          <cell r="B139">
            <v>1871346030</v>
          </cell>
          <cell r="J139" t="str">
            <v>Нож для пиццы 21см PROFI PLUS</v>
          </cell>
        </row>
        <row r="140">
          <cell r="A140">
            <v>3201002839</v>
          </cell>
          <cell r="B140">
            <v>1871156030</v>
          </cell>
          <cell r="J140" t="str">
            <v>Венчик 30см PROFI PLUS</v>
          </cell>
        </row>
        <row r="141">
          <cell r="A141">
            <v>3201002815</v>
          </cell>
          <cell r="B141">
            <v>1871296030</v>
          </cell>
          <cell r="J141" t="str">
            <v>Нож для сердцевины яблок PROFI PLUS</v>
          </cell>
        </row>
        <row r="142">
          <cell r="A142">
            <v>3201000139</v>
          </cell>
          <cell r="B142">
            <v>1871396030</v>
          </cell>
          <cell r="J142" t="str">
            <v>Нож для чистки 19см PROFI PLUS</v>
          </cell>
        </row>
        <row r="143">
          <cell r="A143">
            <v>3201002790</v>
          </cell>
          <cell r="B143">
            <v>1871529990</v>
          </cell>
          <cell r="J143" t="str">
            <v>Набор аксессуаров PROFI PLUS</v>
          </cell>
        </row>
        <row r="144">
          <cell r="A144">
            <v>3201000127</v>
          </cell>
          <cell r="B144">
            <v>1871036030</v>
          </cell>
          <cell r="J144" t="str">
            <v>Половник для соуса 27см PROFI PLUS</v>
          </cell>
        </row>
        <row r="145">
          <cell r="A145">
            <v>3201000153</v>
          </cell>
          <cell r="B145">
            <v>1872466030</v>
          </cell>
          <cell r="J145" t="str">
            <v>Ложка сервировочная 32см PROFI PLUS</v>
          </cell>
        </row>
        <row r="146">
          <cell r="A146">
            <v>3201002792</v>
          </cell>
          <cell r="B146">
            <v>1871606030</v>
          </cell>
          <cell r="J146" t="str">
            <v>Лопатка 33см PROFI PLUS</v>
          </cell>
        </row>
        <row r="147">
          <cell r="A147">
            <v>3201002795</v>
          </cell>
          <cell r="B147">
            <v>1873086030</v>
          </cell>
          <cell r="J147" t="str">
            <v>Лопатка для рыбы PROFI PLUS</v>
          </cell>
        </row>
        <row r="148">
          <cell r="A148">
            <v>3201002793</v>
          </cell>
          <cell r="B148">
            <v>1871976030</v>
          </cell>
          <cell r="J148" t="str">
            <v>Шумовка 30 см PROFI PLUS</v>
          </cell>
        </row>
        <row r="149">
          <cell r="A149">
            <v>3201000125</v>
          </cell>
          <cell r="B149">
            <v>1871016030</v>
          </cell>
          <cell r="J149" t="str">
            <v>Половник д/супа 30 см PROFI PLUS</v>
          </cell>
        </row>
        <row r="150">
          <cell r="A150">
            <v>3201000146</v>
          </cell>
          <cell r="B150">
            <v>1871596030</v>
          </cell>
          <cell r="J150" t="str">
            <v>Лопатка пластиковая 32см PROFI PLUS</v>
          </cell>
        </row>
        <row r="151">
          <cell r="A151">
            <v>3201002705</v>
          </cell>
          <cell r="B151">
            <v>1876349992</v>
          </cell>
          <cell r="J151" t="str">
            <v xml:space="preserve">Набор ножей 5 пр GRAND GOURMET </v>
          </cell>
        </row>
        <row r="152">
          <cell r="A152">
            <v>3201000401</v>
          </cell>
          <cell r="B152">
            <v>1892159992</v>
          </cell>
          <cell r="J152" t="str">
            <v>Блок с ножами 5 пр. SPITZENKLASSE</v>
          </cell>
        </row>
        <row r="153">
          <cell r="A153">
            <v>3201002764</v>
          </cell>
          <cell r="B153">
            <v>1894929992</v>
          </cell>
          <cell r="J153" t="str">
            <v>Набор ножей 3 пр GRAND CLASS</v>
          </cell>
        </row>
        <row r="154">
          <cell r="A154">
            <v>3201002708</v>
          </cell>
          <cell r="B154">
            <v>1880346032</v>
          </cell>
          <cell r="J154" t="str">
            <v>Шеф нож 15 см GRAND GOURMET</v>
          </cell>
        </row>
        <row r="155">
          <cell r="A155">
            <v>3201002729</v>
          </cell>
          <cell r="B155">
            <v>1889586032</v>
          </cell>
          <cell r="J155" t="str">
            <v>Нож для филе 16 см GRAND GOURMET</v>
          </cell>
        </row>
        <row r="156">
          <cell r="A156">
            <v>3201000248</v>
          </cell>
          <cell r="B156">
            <v>1895476032</v>
          </cell>
          <cell r="J156" t="str">
            <v>Нож поварской 15 см SPITZENKLASSE</v>
          </cell>
        </row>
        <row r="157">
          <cell r="A157">
            <v>3201000253</v>
          </cell>
          <cell r="B157">
            <v>1895896032</v>
          </cell>
          <cell r="J157" t="str">
            <v xml:space="preserve">Универсальный нож 14 см SPITZENKLASSE </v>
          </cell>
        </row>
        <row r="158">
          <cell r="A158">
            <v>3201002766</v>
          </cell>
          <cell r="B158">
            <v>1895206032</v>
          </cell>
          <cell r="J158" t="str">
            <v>Разделочный нож 16 см WMF SPITZENKLASSE</v>
          </cell>
        </row>
        <row r="159">
          <cell r="A159">
            <v>3201002767</v>
          </cell>
          <cell r="B159">
            <v>1895246032</v>
          </cell>
          <cell r="J159" t="str">
            <v>Разделочный нож 12см SPITZENKLASSE</v>
          </cell>
        </row>
        <row r="160">
          <cell r="A160">
            <v>3201000247</v>
          </cell>
          <cell r="B160">
            <v>1895466032</v>
          </cell>
          <cell r="J160" t="str">
            <v>Нож для стейка 12 см SPITZENKLASSE</v>
          </cell>
        </row>
        <row r="161">
          <cell r="A161">
            <v>3201002731</v>
          </cell>
          <cell r="B161">
            <v>1889669992</v>
          </cell>
          <cell r="J161" t="str">
            <v xml:space="preserve">Блок с ножами 5 пр GRAND GOURMET </v>
          </cell>
        </row>
        <row r="162">
          <cell r="A162">
            <v>3201000244</v>
          </cell>
          <cell r="B162">
            <v>1895379992</v>
          </cell>
          <cell r="J162" t="str">
            <v>Набор ножей 6 пр. SPITZENKLASSE</v>
          </cell>
        </row>
        <row r="163">
          <cell r="A163">
            <v>3201000241</v>
          </cell>
          <cell r="B163">
            <v>1894919992</v>
          </cell>
          <cell r="J163" t="str">
            <v>Набор кухонных ножей 3 пр. SPITZENKLASSE</v>
          </cell>
        </row>
        <row r="164">
          <cell r="A164">
            <v>3201002710</v>
          </cell>
          <cell r="B164">
            <v>1880426032</v>
          </cell>
          <cell r="J164" t="str">
            <v xml:space="preserve">Китайский нож 15 см GRAND GOURMET </v>
          </cell>
        </row>
        <row r="165">
          <cell r="A165">
            <v>3201000226</v>
          </cell>
          <cell r="B165">
            <v>1880396032</v>
          </cell>
          <cell r="J165" t="str">
            <v>Поварской нож 20 см GRAND GOURMET</v>
          </cell>
        </row>
        <row r="166">
          <cell r="A166">
            <v>3201002753</v>
          </cell>
          <cell r="B166">
            <v>1891946032</v>
          </cell>
          <cell r="J166" t="str">
            <v>Нож Сантоку 18см GRAND GOURMET</v>
          </cell>
        </row>
        <row r="167">
          <cell r="A167">
            <v>3201002725</v>
          </cell>
          <cell r="B167">
            <v>1889506032</v>
          </cell>
          <cell r="J167" t="str">
            <v>Нож для хлеба с двойными зубчиками GRAND GOURMET</v>
          </cell>
        </row>
        <row r="168">
          <cell r="A168">
            <v>3201002724</v>
          </cell>
          <cell r="B168">
            <v>1889486032</v>
          </cell>
          <cell r="J168" t="str">
            <v>Разделочный нож 20см GRAND GOURMET</v>
          </cell>
        </row>
        <row r="169">
          <cell r="A169">
            <v>3201000249</v>
          </cell>
          <cell r="B169">
            <v>1895486032</v>
          </cell>
          <cell r="J169" t="str">
            <v>Нож поварской 20 см SPITZENKLASSE</v>
          </cell>
        </row>
        <row r="170">
          <cell r="A170">
            <v>3201005833</v>
          </cell>
          <cell r="B170">
            <v>1896076032</v>
          </cell>
          <cell r="J170" t="str">
            <v>Нож для хлеба SPITZENKLASSE P</v>
          </cell>
        </row>
        <row r="171">
          <cell r="A171">
            <v>3201000225</v>
          </cell>
          <cell r="B171">
            <v>1880316032</v>
          </cell>
          <cell r="J171" t="str">
            <v>Универсальный нож 12 см GRAND GOURMET</v>
          </cell>
        </row>
        <row r="172">
          <cell r="A172">
            <v>3201000239</v>
          </cell>
          <cell r="B172">
            <v>1889466032</v>
          </cell>
          <cell r="J172" t="str">
            <v>Нож для овощей 9 см GRAND GOURMET</v>
          </cell>
        </row>
        <row r="173">
          <cell r="A173">
            <v>3201002781</v>
          </cell>
          <cell r="B173">
            <v>1895936032</v>
          </cell>
          <cell r="J173" t="str">
            <v>Нож для филе 17 см SPITZENKLASSE</v>
          </cell>
        </row>
        <row r="174">
          <cell r="A174">
            <v>3201000255</v>
          </cell>
          <cell r="B174">
            <v>1895966032</v>
          </cell>
          <cell r="J174" t="str">
            <v xml:space="preserve">Универсальный нож 12 см SPITZENKLASSE </v>
          </cell>
        </row>
        <row r="175">
          <cell r="A175">
            <v>3201000246</v>
          </cell>
          <cell r="B175">
            <v>1895436032</v>
          </cell>
          <cell r="J175" t="str">
            <v>Нож для овощей SPITZENKLASSE</v>
          </cell>
        </row>
        <row r="176">
          <cell r="A176">
            <v>3201112305</v>
          </cell>
          <cell r="B176">
            <v>1894919992</v>
          </cell>
          <cell r="J176" t="str">
            <v>Набор кухонных ножей 3 пр. SPITZENKLASSE</v>
          </cell>
        </row>
        <row r="177">
          <cell r="A177">
            <v>3201112302</v>
          </cell>
          <cell r="B177">
            <v>1894929992</v>
          </cell>
          <cell r="J177" t="str">
            <v>Набор ножей 3 пр GRAND CLASS</v>
          </cell>
        </row>
        <row r="178">
          <cell r="A178">
            <v>3201019525</v>
          </cell>
          <cell r="B178">
            <v>1896369993</v>
          </cell>
          <cell r="J178" t="str">
            <v>Блок с ножами Sequence 6пр.</v>
          </cell>
        </row>
        <row r="179">
          <cell r="A179">
            <v>3201019505</v>
          </cell>
          <cell r="B179">
            <v>1896259992</v>
          </cell>
          <cell r="J179" t="str">
            <v>Блок с ножами Kineo 6пр.</v>
          </cell>
        </row>
        <row r="180">
          <cell r="A180">
            <v>3201019504</v>
          </cell>
          <cell r="B180">
            <v>1896249992</v>
          </cell>
          <cell r="J180" t="str">
            <v>Набор ножей Kineo 3пр.</v>
          </cell>
        </row>
        <row r="181">
          <cell r="A181">
            <v>3201002830</v>
          </cell>
          <cell r="B181">
            <v>1883216030</v>
          </cell>
          <cell r="J181" t="str">
            <v>Кухонные ножницы с открывалкой  WMF</v>
          </cell>
        </row>
        <row r="182">
          <cell r="A182">
            <v>3201002730</v>
          </cell>
          <cell r="B182">
            <v>1889646030</v>
          </cell>
          <cell r="J182" t="str">
            <v>Мусат 23 см GRAND GOURMET</v>
          </cell>
        </row>
        <row r="183">
          <cell r="A183">
            <v>3201000254</v>
          </cell>
          <cell r="B183">
            <v>1895946030</v>
          </cell>
          <cell r="J183" t="str">
            <v>Мусат 23 см SPITZENKLASSE</v>
          </cell>
        </row>
        <row r="184">
          <cell r="A184">
            <v>3201000363</v>
          </cell>
          <cell r="B184">
            <v>1873776040</v>
          </cell>
          <cell r="J184" t="str">
            <v>Блок для ножей  WMF</v>
          </cell>
        </row>
        <row r="185">
          <cell r="A185">
            <v>3201010611</v>
          </cell>
          <cell r="B185">
            <v>1879984500</v>
          </cell>
          <cell r="J185" t="str">
            <v>Разделочная доска из акации 40х32х4 см ACACIA</v>
          </cell>
        </row>
        <row r="186">
          <cell r="A186">
            <v>3201000233</v>
          </cell>
          <cell r="B186">
            <v>1886879990</v>
          </cell>
          <cell r="J186" t="str">
            <v>Разделочная доска со сливом 38х25 см</v>
          </cell>
        </row>
        <row r="187">
          <cell r="A187">
            <v>3201000287</v>
          </cell>
          <cell r="B187">
            <v>1741016040</v>
          </cell>
          <cell r="J187" t="str">
            <v xml:space="preserve">Жаровня 6,5 л Vitalis </v>
          </cell>
        </row>
        <row r="188">
          <cell r="A188">
            <v>3201000289</v>
          </cell>
          <cell r="B188">
            <v>1743016040</v>
          </cell>
          <cell r="J188" t="str">
            <v>Сотейник-стимер с крышкой 28 см VITALIS</v>
          </cell>
        </row>
        <row r="189">
          <cell r="A189">
            <v>3201002679</v>
          </cell>
          <cell r="B189">
            <v>1756486411</v>
          </cell>
          <cell r="J189" t="str">
            <v>Высокая сковорода 28 см  Profi Resist</v>
          </cell>
        </row>
        <row r="190">
          <cell r="A190">
            <v>3201000359</v>
          </cell>
          <cell r="B190">
            <v>1756386411</v>
          </cell>
          <cell r="J190" t="str">
            <v>Сотейник 28см HEXAGON PROFI RESIST</v>
          </cell>
        </row>
        <row r="191">
          <cell r="A191">
            <v>3201000358</v>
          </cell>
          <cell r="B191">
            <v>1756286411</v>
          </cell>
          <cell r="J191" t="str">
            <v>Сковорода 28см Hexagon PROFI RESIST</v>
          </cell>
        </row>
        <row r="192">
          <cell r="A192">
            <v>3201000357</v>
          </cell>
          <cell r="B192">
            <v>1756246411</v>
          </cell>
          <cell r="J192" t="str">
            <v>Сковорода 24см Hexagon PROFI RESIST</v>
          </cell>
        </row>
        <row r="193">
          <cell r="A193">
            <v>3201000266</v>
          </cell>
          <cell r="B193">
            <v>1291386040</v>
          </cell>
          <cell r="J193" t="str">
            <v>Набор 6 ложек эспрессо NUOVA</v>
          </cell>
        </row>
        <row r="194">
          <cell r="A194">
            <v>3201019442</v>
          </cell>
          <cell r="B194">
            <v>1295036040</v>
          </cell>
          <cell r="J194" t="str">
            <v>Набор столовых приборов с собой My2go</v>
          </cell>
        </row>
        <row r="195">
          <cell r="A195">
            <v>3201002511</v>
          </cell>
          <cell r="B195">
            <v>1291376040</v>
          </cell>
          <cell r="J195" t="str">
            <v>Набор для торта 13 пр. NUOVA</v>
          </cell>
        </row>
        <row r="196">
          <cell r="A196">
            <v>3201000277</v>
          </cell>
          <cell r="B196">
            <v>1291786040</v>
          </cell>
          <cell r="J196" t="str">
            <v>Набор для сыра 2пр. NUOVA</v>
          </cell>
        </row>
        <row r="197">
          <cell r="A197">
            <v>3201002571</v>
          </cell>
          <cell r="B197">
            <v>1297356040</v>
          </cell>
          <cell r="J197" t="str">
            <v>Щипцы для пасты 25см NUOVA</v>
          </cell>
        </row>
        <row r="198">
          <cell r="A198">
            <v>3201000281</v>
          </cell>
          <cell r="B198">
            <v>1297336040</v>
          </cell>
          <cell r="J198" t="str">
            <v>Сервировочные щипцы NUOVA</v>
          </cell>
        </row>
        <row r="199">
          <cell r="A199">
            <v>3201002539</v>
          </cell>
          <cell r="B199">
            <v>1291746046</v>
          </cell>
          <cell r="J199" t="str">
            <v>Набор ложек д/латте 6шт. NUOVA</v>
          </cell>
        </row>
        <row r="200">
          <cell r="A200">
            <v>3201000268</v>
          </cell>
          <cell r="B200">
            <v>1291406046</v>
          </cell>
          <cell r="J200" t="str">
            <v>Ложки Long Drink набор 6 пр. NUOVA</v>
          </cell>
        </row>
        <row r="201">
          <cell r="A201">
            <v>3201000273</v>
          </cell>
          <cell r="B201">
            <v>1291666046</v>
          </cell>
          <cell r="J201" t="str">
            <v>Набор вилок для торта 6шт. NUOVA</v>
          </cell>
        </row>
        <row r="202">
          <cell r="A202">
            <v>3201002515</v>
          </cell>
          <cell r="B202">
            <v>1291426040</v>
          </cell>
          <cell r="J202" t="str">
            <v>Салатная пара 25 см NUOVA</v>
          </cell>
        </row>
        <row r="203">
          <cell r="A203">
            <v>3201000272</v>
          </cell>
          <cell r="B203">
            <v>1291656046</v>
          </cell>
          <cell r="J203" t="str">
            <v>Набор чайных ложек 6шт. NUOVA</v>
          </cell>
        </row>
        <row r="204">
          <cell r="A204">
            <v>3201002521</v>
          </cell>
          <cell r="B204">
            <v>1291476040</v>
          </cell>
          <cell r="J204" t="str">
            <v>Сервировочная ложка 25см NUOVA</v>
          </cell>
        </row>
        <row r="205">
          <cell r="A205">
            <v>3201002530</v>
          </cell>
          <cell r="B205">
            <v>1291606040</v>
          </cell>
          <cell r="J205" t="str">
            <v>Набор десертные ложка и вилка NUOVA</v>
          </cell>
        </row>
        <row r="206">
          <cell r="A206">
            <v>3201002528</v>
          </cell>
          <cell r="B206">
            <v>1291586040</v>
          </cell>
          <cell r="J206" t="str">
            <v>Ложка для подачи овощей NUOVA</v>
          </cell>
        </row>
        <row r="207">
          <cell r="A207">
            <v>3201002523</v>
          </cell>
          <cell r="B207">
            <v>1291496042</v>
          </cell>
          <cell r="J207" t="str">
            <v>Сервировочная вилка NUOVA</v>
          </cell>
        </row>
        <row r="208">
          <cell r="A208">
            <v>3201002428</v>
          </cell>
          <cell r="B208">
            <v>1280636046</v>
          </cell>
          <cell r="J208" t="str">
            <v>Набор для стейка 12 пр. RANCH</v>
          </cell>
        </row>
        <row r="209">
          <cell r="A209">
            <v>3201000274</v>
          </cell>
          <cell r="B209">
            <v>1291716046</v>
          </cell>
          <cell r="J209" t="str">
            <v>Набор ножей для стейка 6 шт. NUOVA</v>
          </cell>
        </row>
        <row r="210">
          <cell r="A210">
            <v>3201000352</v>
          </cell>
          <cell r="B210">
            <v>1287949990</v>
          </cell>
          <cell r="J210" t="str">
            <v>Щипцы для пасты NEUTRALE AKTIONEN</v>
          </cell>
        </row>
        <row r="211">
          <cell r="A211">
            <v>3201017822</v>
          </cell>
          <cell r="B211">
            <v>1268916342</v>
          </cell>
          <cell r="J211" t="str">
            <v>Набор столовых приборов Kineo 30 пр.</v>
          </cell>
        </row>
        <row r="212">
          <cell r="A212">
            <v>3201002270</v>
          </cell>
          <cell r="B212">
            <v>1207916342</v>
          </cell>
          <cell r="J212" t="str">
            <v>Столовые приборы 30 пр. KENT</v>
          </cell>
        </row>
        <row r="213">
          <cell r="A213">
            <v>3201004896</v>
          </cell>
          <cell r="B213">
            <v>1207916342</v>
          </cell>
          <cell r="J213" t="str">
            <v>Столовые приборы 30 пр. KENT</v>
          </cell>
        </row>
        <row r="214">
          <cell r="A214">
            <v>3201112521</v>
          </cell>
          <cell r="B214">
            <v>1207916340</v>
          </cell>
          <cell r="J214" t="str">
            <v>Столовые приборы 30 пр. KENT Plus</v>
          </cell>
        </row>
        <row r="215">
          <cell r="A215">
            <v>3201002209</v>
          </cell>
          <cell r="B215">
            <v>1272916040</v>
          </cell>
          <cell r="J215" t="str">
            <v>Столовые приборы 30 пр. PALMA</v>
          </cell>
        </row>
        <row r="216">
          <cell r="A216">
            <v>3201001678</v>
          </cell>
          <cell r="B216">
            <v>1177009990</v>
          </cell>
          <cell r="J216" t="str">
            <v>Столовые приборы 60 пр. PALERMO</v>
          </cell>
        </row>
        <row r="217">
          <cell r="A217">
            <v>3201001705</v>
          </cell>
          <cell r="B217">
            <v>1101916030</v>
          </cell>
          <cell r="J217" t="str">
            <v>Столовые приборы 30 пр. SILK</v>
          </cell>
        </row>
        <row r="218">
          <cell r="A218">
            <v>3201001850</v>
          </cell>
          <cell r="B218">
            <v>1178919990</v>
          </cell>
          <cell r="J218" t="str">
            <v>Столовые приборы 30 пр. ALTEO</v>
          </cell>
        </row>
        <row r="219">
          <cell r="A219">
            <v>3201001758</v>
          </cell>
          <cell r="B219">
            <v>1120916040</v>
          </cell>
          <cell r="J219" t="str">
            <v>Столовые приборы 30 пр.  BOSTON</v>
          </cell>
        </row>
        <row r="220">
          <cell r="A220">
            <v>3201000326</v>
          </cell>
          <cell r="B220">
            <v>1177006043</v>
          </cell>
          <cell r="J220" t="str">
            <v>Набор столовых приборов 24 пр. PALERMO</v>
          </cell>
        </row>
        <row r="221">
          <cell r="A221">
            <v>3201112492</v>
          </cell>
          <cell r="B221">
            <v>1120916040</v>
          </cell>
          <cell r="J221" t="str">
            <v>Столовые приборы 30 пр.  BOSTON</v>
          </cell>
        </row>
        <row r="222">
          <cell r="A222">
            <v>3201001651</v>
          </cell>
          <cell r="B222">
            <v>917622600</v>
          </cell>
          <cell r="J222" t="str">
            <v>Набор для салата 3пр. маленький TAVERNO</v>
          </cell>
        </row>
        <row r="223">
          <cell r="A223">
            <v>3201001653</v>
          </cell>
          <cell r="B223">
            <v>917642600</v>
          </cell>
          <cell r="J223" t="str">
            <v>Набор для салата 3пр. большой TAVERNO</v>
          </cell>
        </row>
        <row r="224">
          <cell r="A224">
            <v>3201001641</v>
          </cell>
          <cell r="B224">
            <v>936382000</v>
          </cell>
          <cell r="J224" t="str">
            <v>Стаканы для 2 шт. ICE TEA</v>
          </cell>
        </row>
        <row r="225">
          <cell r="A225">
            <v>3201001644</v>
          </cell>
          <cell r="B225">
            <v>948642040</v>
          </cell>
          <cell r="J225" t="str">
            <v>Стакан для латте 0,23л 4пр. COFFEE TIME</v>
          </cell>
        </row>
        <row r="226">
          <cell r="A226">
            <v>3201000222</v>
          </cell>
          <cell r="B226">
            <v>947712000</v>
          </cell>
          <cell r="J226" t="str">
            <v>Декантер на подставке JETTE</v>
          </cell>
        </row>
        <row r="227">
          <cell r="A227">
            <v>3201019373</v>
          </cell>
          <cell r="B227">
            <v>751156040</v>
          </cell>
          <cell r="J227" t="str">
            <v>Набор посуды BELMONTE 5-пр WMF 751156040</v>
          </cell>
        </row>
        <row r="228">
          <cell r="A228">
            <v>7116001675</v>
          </cell>
          <cell r="B228">
            <v>721056380</v>
          </cell>
          <cell r="J228" t="str">
            <v>Набор кастрюль 5 пр. PROVENCE PLUS</v>
          </cell>
        </row>
        <row r="229">
          <cell r="A229">
            <v>3201001455</v>
          </cell>
          <cell r="B229">
            <v>761406380</v>
          </cell>
          <cell r="J229" t="str">
            <v>Сковорода для духовки со стеклянной крышкой 28 см SPEZIAL GESCHIRR</v>
          </cell>
        </row>
        <row r="230">
          <cell r="A230">
            <v>3201001316</v>
          </cell>
          <cell r="B230">
            <v>718826040</v>
          </cell>
          <cell r="J230" t="str">
            <v>Кастрюля 18 см cо вставкой для пасты MINI</v>
          </cell>
        </row>
        <row r="231">
          <cell r="A231">
            <v>3201001308</v>
          </cell>
          <cell r="B231">
            <v>716766040</v>
          </cell>
          <cell r="J231" t="str">
            <v>Низкая кастрюля 16 см с крышкой MINI</v>
          </cell>
        </row>
        <row r="232">
          <cell r="A232">
            <v>3201001309</v>
          </cell>
          <cell r="B232">
            <v>716786040</v>
          </cell>
          <cell r="J232" t="str">
            <v>Ковш 16 см с крышкой MINI</v>
          </cell>
        </row>
        <row r="233">
          <cell r="A233">
            <v>3201004809</v>
          </cell>
          <cell r="B233">
            <v>765166380</v>
          </cell>
          <cell r="J233" t="str">
            <v>Крышка стеклянная 16 см FUNCTION 4</v>
          </cell>
        </row>
        <row r="234">
          <cell r="A234">
            <v>8900536630</v>
          </cell>
          <cell r="B234">
            <v>725246030</v>
          </cell>
          <cell r="J234" t="str">
            <v>Кастрюля высокая Gourmet Plus 24см WMF 725246030</v>
          </cell>
        </row>
        <row r="235">
          <cell r="A235">
            <v>8900536623</v>
          </cell>
          <cell r="B235">
            <v>724246030</v>
          </cell>
          <cell r="J235" t="str">
            <v>Кастрюля Gourmet Plus 24см WMF 724246030</v>
          </cell>
        </row>
        <row r="236">
          <cell r="A236">
            <v>8900536616</v>
          </cell>
          <cell r="B236">
            <v>724206030</v>
          </cell>
          <cell r="J236" t="str">
            <v>Кастрюля Gourmet Plus 20см WMF 724206030</v>
          </cell>
        </row>
        <row r="237">
          <cell r="A237">
            <v>8900535190</v>
          </cell>
          <cell r="B237">
            <v>760046380</v>
          </cell>
          <cell r="J237" t="str">
            <v>Набор кастрюль 4 пр. FUNCTION 4</v>
          </cell>
        </row>
        <row r="238">
          <cell r="A238">
            <v>3201001033</v>
          </cell>
          <cell r="B238">
            <v>760046380</v>
          </cell>
          <cell r="J238" t="str">
            <v>Набор кастрюль 4 пр. FUNCTION 4</v>
          </cell>
        </row>
        <row r="239">
          <cell r="A239">
            <v>8900535558</v>
          </cell>
          <cell r="B239">
            <v>762246380</v>
          </cell>
          <cell r="J239" t="str">
            <v>Кастрюля 24 см FUNCTION 4</v>
          </cell>
        </row>
        <row r="240">
          <cell r="A240">
            <v>3201001040</v>
          </cell>
          <cell r="B240">
            <v>762246380</v>
          </cell>
          <cell r="J240" t="str">
            <v>Кастрюля 24 см FUNCTION 4</v>
          </cell>
        </row>
        <row r="241">
          <cell r="A241">
            <v>8900535534</v>
          </cell>
          <cell r="B241">
            <v>761246380</v>
          </cell>
          <cell r="J241" t="str">
            <v xml:space="preserve">Кастрюля 24 см WMF Function 4 </v>
          </cell>
        </row>
        <row r="242">
          <cell r="A242">
            <v>8900535527</v>
          </cell>
          <cell r="B242">
            <v>761206380</v>
          </cell>
          <cell r="J242" t="str">
            <v xml:space="preserve">Кастрюля 20 см Function 4 </v>
          </cell>
        </row>
        <row r="243">
          <cell r="A243">
            <v>8900535497</v>
          </cell>
          <cell r="B243">
            <v>760206380</v>
          </cell>
          <cell r="J243" t="str">
            <v>Кастрюля низкая 20 см Function 4</v>
          </cell>
        </row>
        <row r="244">
          <cell r="A244">
            <v>8900535572</v>
          </cell>
          <cell r="B244">
            <v>763166380</v>
          </cell>
          <cell r="J244" t="str">
            <v>Ковш 16 см с крышкой FUNCTION 4</v>
          </cell>
        </row>
        <row r="245">
          <cell r="A245">
            <v>3201000931</v>
          </cell>
          <cell r="B245">
            <v>632576030</v>
          </cell>
          <cell r="J245" t="str">
            <v>Подставка для горячих блюд WMF</v>
          </cell>
        </row>
        <row r="246">
          <cell r="A246">
            <v>3201000913</v>
          </cell>
          <cell r="B246">
            <v>609216030</v>
          </cell>
          <cell r="J246" t="str">
            <v>Масленка KNACKIG</v>
          </cell>
        </row>
        <row r="247">
          <cell r="A247">
            <v>3201000792</v>
          </cell>
          <cell r="B247">
            <v>646176040</v>
          </cell>
          <cell r="J247" t="str">
            <v>Дуршлаг на ножках 24 см GOURMET KUECHE</v>
          </cell>
        </row>
        <row r="248">
          <cell r="A248">
            <v>3201000216</v>
          </cell>
          <cell r="B248">
            <v>667416040</v>
          </cell>
          <cell r="J248" t="str">
            <v>Мельница электрическая черная CERAMILL</v>
          </cell>
        </row>
        <row r="249">
          <cell r="A249">
            <v>3201000795</v>
          </cell>
          <cell r="B249">
            <v>646596030</v>
          </cell>
          <cell r="J249" t="str">
            <v>Миска 20см GOURMET KUECHE</v>
          </cell>
        </row>
        <row r="250">
          <cell r="A250">
            <v>3201000339</v>
          </cell>
          <cell r="B250">
            <v>608736040</v>
          </cell>
          <cell r="J250" t="str">
            <v>Кухонные весы черные</v>
          </cell>
        </row>
        <row r="251">
          <cell r="A251">
            <v>3201000212</v>
          </cell>
          <cell r="B251">
            <v>661056030</v>
          </cell>
          <cell r="J251" t="str">
            <v>Набор для соли/перца BASIC</v>
          </cell>
        </row>
        <row r="252">
          <cell r="A252">
            <v>3201000118</v>
          </cell>
          <cell r="B252">
            <v>644416030</v>
          </cell>
          <cell r="J252" t="str">
            <v>Терка 4-хгранная</v>
          </cell>
        </row>
        <row r="253">
          <cell r="A253">
            <v>3201000884</v>
          </cell>
          <cell r="B253">
            <v>686076040</v>
          </cell>
          <cell r="J253" t="str">
            <v>Терка Top Tools</v>
          </cell>
        </row>
        <row r="254">
          <cell r="A254">
            <v>3201000872</v>
          </cell>
          <cell r="B254">
            <v>667346030</v>
          </cell>
          <cell r="J254" t="str">
            <v>Мельница д/специй на бат. CERAMILL</v>
          </cell>
        </row>
        <row r="255">
          <cell r="A255">
            <v>3201000121</v>
          </cell>
          <cell r="B255">
            <v>645709990</v>
          </cell>
          <cell r="J255" t="str">
            <v>Набор мисок 4 пр GOURMET KUECHE</v>
          </cell>
        </row>
        <row r="256">
          <cell r="A256">
            <v>3201000197</v>
          </cell>
          <cell r="B256">
            <v>634546040</v>
          </cell>
          <cell r="J256" t="str">
            <v>Солонка/перечница 2шт.  WMF</v>
          </cell>
        </row>
        <row r="257">
          <cell r="A257">
            <v>3201000338</v>
          </cell>
          <cell r="B257">
            <v>605796030</v>
          </cell>
          <cell r="J257" t="str">
            <v>Мыло против запаха GOURMET KUECHE</v>
          </cell>
        </row>
        <row r="258">
          <cell r="A258">
            <v>3201000669</v>
          </cell>
          <cell r="B258">
            <v>683969990</v>
          </cell>
          <cell r="J258" t="str">
            <v>Ведро для вина MANHATTAN</v>
          </cell>
        </row>
        <row r="259">
          <cell r="A259">
            <v>3201000660</v>
          </cell>
          <cell r="B259">
            <v>658277920</v>
          </cell>
          <cell r="J259" t="str">
            <v>Нож сомелье VINO</v>
          </cell>
        </row>
        <row r="260">
          <cell r="A260">
            <v>3201000659</v>
          </cell>
          <cell r="B260">
            <v>658257920</v>
          </cell>
          <cell r="J260" t="str">
            <v>Штопор VINO</v>
          </cell>
        </row>
        <row r="261">
          <cell r="A261">
            <v>3201000198</v>
          </cell>
          <cell r="B261">
            <v>640717920</v>
          </cell>
          <cell r="J261" t="str">
            <v>Помпа для вина VINO</v>
          </cell>
        </row>
        <row r="262">
          <cell r="A262">
            <v>3201000661</v>
          </cell>
          <cell r="B262">
            <v>658337920</v>
          </cell>
          <cell r="J262" t="str">
            <v>Нож для срезания фольги с бутылки VINO</v>
          </cell>
        </row>
        <row r="263">
          <cell r="A263">
            <v>3201000637</v>
          </cell>
          <cell r="B263">
            <v>640667920</v>
          </cell>
          <cell r="J263" t="str">
            <v>Пробка для вина VINO</v>
          </cell>
        </row>
        <row r="264">
          <cell r="A264">
            <v>3201000209</v>
          </cell>
          <cell r="B264">
            <v>658186200</v>
          </cell>
          <cell r="J264" t="str">
            <v>Штопор CLEVER &amp; MORE</v>
          </cell>
        </row>
        <row r="265">
          <cell r="A265">
            <v>3201000208</v>
          </cell>
          <cell r="B265">
            <v>658136030</v>
          </cell>
          <cell r="J265" t="str">
            <v>Нож сомелье  WMF</v>
          </cell>
        </row>
        <row r="266">
          <cell r="A266">
            <v>3201000188</v>
          </cell>
          <cell r="B266">
            <v>617597390</v>
          </cell>
          <cell r="J266" t="str">
            <v>Чистящая щетка BASIC</v>
          </cell>
        </row>
        <row r="267">
          <cell r="A267">
            <v>3201000663</v>
          </cell>
          <cell r="B267">
            <v>658516030</v>
          </cell>
          <cell r="J267" t="str">
            <v>Термометр для вина CLEVER&amp;MORE</v>
          </cell>
        </row>
        <row r="268">
          <cell r="A268">
            <v>3201000642</v>
          </cell>
          <cell r="B268">
            <v>641036030</v>
          </cell>
          <cell r="J268" t="str">
            <v>Пробка для шампанского CLEVER &amp; MORE</v>
          </cell>
        </row>
        <row r="269">
          <cell r="A269">
            <v>3201000639</v>
          </cell>
          <cell r="B269">
            <v>640727920</v>
          </cell>
          <cell r="J269" t="str">
            <v>Пробка универсальная VINO</v>
          </cell>
        </row>
        <row r="270">
          <cell r="A270">
            <v>3201000200</v>
          </cell>
          <cell r="B270">
            <v>641026030</v>
          </cell>
          <cell r="J270" t="str">
            <v>Пробка Clever&amp;More</v>
          </cell>
        </row>
        <row r="271">
          <cell r="A271">
            <v>3201000631</v>
          </cell>
          <cell r="B271">
            <v>636906030</v>
          </cell>
          <cell r="J271" t="str">
            <v>Чайник заварочный SENSITEA</v>
          </cell>
        </row>
        <row r="272">
          <cell r="A272">
            <v>3201006231</v>
          </cell>
          <cell r="B272">
            <v>651016030</v>
          </cell>
          <cell r="J272" t="str">
            <v>Чайник со свистков 1,5 л ORBIT</v>
          </cell>
        </row>
        <row r="273">
          <cell r="A273">
            <v>3201000291</v>
          </cell>
          <cell r="B273">
            <v>631016030</v>
          </cell>
          <cell r="J273" t="str">
            <v>Кофейник для эспрессо на 6 чашек KULT</v>
          </cell>
        </row>
        <row r="274">
          <cell r="A274">
            <v>3201006240</v>
          </cell>
          <cell r="B274">
            <v>662866040</v>
          </cell>
          <cell r="J274" t="str">
            <v>Набор сомелье 5 предмета. BARIC</v>
          </cell>
        </row>
        <row r="275">
          <cell r="A275">
            <v>3201000292</v>
          </cell>
          <cell r="B275">
            <v>631096030</v>
          </cell>
          <cell r="J275" t="str">
            <v>Чайник заварочный с подставкой для подогрева SmarTea</v>
          </cell>
        </row>
        <row r="276">
          <cell r="A276">
            <v>3201000290</v>
          </cell>
          <cell r="B276">
            <v>630796030</v>
          </cell>
          <cell r="J276" t="str">
            <v>Кофейник KULT</v>
          </cell>
        </row>
        <row r="277">
          <cell r="A277">
            <v>3201000293</v>
          </cell>
          <cell r="B277">
            <v>632456040</v>
          </cell>
          <cell r="J277" t="str">
            <v>Кофейник френч-пресс COFFEE TIME</v>
          </cell>
        </row>
        <row r="278">
          <cell r="A278">
            <v>3201000193</v>
          </cell>
          <cell r="B278">
            <v>618046040</v>
          </cell>
          <cell r="J278" t="str">
            <v>Графин для воды 1.5 л с ручкой BASIC</v>
          </cell>
        </row>
        <row r="279">
          <cell r="A279">
            <v>3201000295</v>
          </cell>
          <cell r="B279">
            <v>632546040</v>
          </cell>
          <cell r="J279" t="str">
            <v>Заварочный графин для кофе Пуровер COFFEE TIME</v>
          </cell>
        </row>
        <row r="280">
          <cell r="A280">
            <v>3201000581</v>
          </cell>
          <cell r="B280">
            <v>617709994</v>
          </cell>
          <cell r="J280" t="str">
            <v>Набор графин для воды 1л, 2 стакана для воды 0,25 л BASIC</v>
          </cell>
        </row>
        <row r="281">
          <cell r="A281">
            <v>3201000189</v>
          </cell>
          <cell r="B281">
            <v>617706040</v>
          </cell>
          <cell r="J281" t="str">
            <v>Графин для воды 1 л BASIC</v>
          </cell>
        </row>
        <row r="282">
          <cell r="A282">
            <v>3201000191</v>
          </cell>
          <cell r="B282">
            <v>617726040</v>
          </cell>
          <cell r="J282" t="str">
            <v>Графин для воды 1.5 л BASIC</v>
          </cell>
        </row>
        <row r="283">
          <cell r="A283">
            <v>3201005777</v>
          </cell>
          <cell r="B283">
            <v>651036040</v>
          </cell>
          <cell r="J283" t="str">
            <v>Графин 1.25 l, Motion</v>
          </cell>
        </row>
        <row r="284">
          <cell r="A284">
            <v>3201000298</v>
          </cell>
          <cell r="B284">
            <v>636466040</v>
          </cell>
          <cell r="J284" t="str">
            <v>Сито для чая погружное размер S 4см TEA TIME</v>
          </cell>
        </row>
        <row r="285">
          <cell r="A285">
            <v>3201000194</v>
          </cell>
          <cell r="B285">
            <v>618086040</v>
          </cell>
          <cell r="J285" t="str">
            <v>Спираль для фруктов 2шт BASIC</v>
          </cell>
        </row>
        <row r="286">
          <cell r="A286">
            <v>3201005778</v>
          </cell>
          <cell r="B286">
            <v>651046040</v>
          </cell>
          <cell r="J286" t="str">
            <v>Графин 0.8 l, Motion</v>
          </cell>
        </row>
        <row r="287">
          <cell r="A287">
            <v>3201000820</v>
          </cell>
          <cell r="B287">
            <v>654249999</v>
          </cell>
          <cell r="J287" t="str">
            <v>Контейнер 3 пр TOP SERVE</v>
          </cell>
        </row>
        <row r="288">
          <cell r="A288">
            <v>3201017953</v>
          </cell>
          <cell r="B288">
            <v>651646030</v>
          </cell>
          <cell r="J288" t="str">
            <v xml:space="preserve">Чайник-термос Kineo 1 л. </v>
          </cell>
        </row>
        <row r="289">
          <cell r="A289">
            <v>3201000309</v>
          </cell>
          <cell r="B289">
            <v>690726600</v>
          </cell>
          <cell r="J289" t="str">
            <v>Термокружка 0.35 л (цвет медный) IMPULSE</v>
          </cell>
        </row>
        <row r="290">
          <cell r="A290">
            <v>3201000308</v>
          </cell>
          <cell r="B290">
            <v>690726040</v>
          </cell>
          <cell r="J290" t="str">
            <v>Термокружка 0.35 л нержавеющая сталь IMPULSE</v>
          </cell>
        </row>
        <row r="291">
          <cell r="A291">
            <v>3201000545</v>
          </cell>
          <cell r="B291">
            <v>576504291</v>
          </cell>
          <cell r="J291" t="str">
            <v>Сковорода гриль 28х28 см PERMADUR PREMIUM</v>
          </cell>
        </row>
        <row r="292">
          <cell r="A292">
            <v>3201000544</v>
          </cell>
          <cell r="B292">
            <v>576484291</v>
          </cell>
          <cell r="J292" t="str">
            <v>Сковорода с высокими бортами 28 см PERMADUR PREMIUM</v>
          </cell>
        </row>
        <row r="293">
          <cell r="A293">
            <v>3201000538</v>
          </cell>
          <cell r="B293">
            <v>576284291</v>
          </cell>
          <cell r="J293" t="str">
            <v>Сковорода 28 см PERMADUR PREMIUM</v>
          </cell>
        </row>
        <row r="294">
          <cell r="A294">
            <v>3201000537</v>
          </cell>
          <cell r="B294">
            <v>576244291</v>
          </cell>
          <cell r="J294" t="str">
            <v>Сковорода 24 см PERMADUR PREMIUM</v>
          </cell>
        </row>
        <row r="295">
          <cell r="A295">
            <v>3201000337</v>
          </cell>
          <cell r="B295">
            <v>575284021</v>
          </cell>
          <cell r="J295" t="str">
            <v xml:space="preserve">Сковорода 28см PERMADUR EXCELL </v>
          </cell>
        </row>
        <row r="296">
          <cell r="A296">
            <v>3201000336</v>
          </cell>
          <cell r="B296">
            <v>575244021</v>
          </cell>
          <cell r="J296" t="str">
            <v>Сковорода 24см PERMADUR EXCELL</v>
          </cell>
        </row>
        <row r="297">
          <cell r="A297">
            <v>3201000531</v>
          </cell>
          <cell r="B297">
            <v>575204021</v>
          </cell>
          <cell r="J297" t="str">
            <v>Сковорода 20см PERMADUR EXCELL</v>
          </cell>
        </row>
        <row r="298">
          <cell r="A298">
            <v>3201002625</v>
          </cell>
          <cell r="B298">
            <v>728399902</v>
          </cell>
          <cell r="J298" t="str">
            <v>Крышка для сковороды  28см  WMF</v>
          </cell>
        </row>
        <row r="299">
          <cell r="A299">
            <v>3201002623</v>
          </cell>
          <cell r="B299">
            <v>724399902</v>
          </cell>
          <cell r="J299" t="str">
            <v>Крышка для сковороды 24см  WMF</v>
          </cell>
        </row>
        <row r="300">
          <cell r="A300">
            <v>3201002621</v>
          </cell>
          <cell r="B300">
            <v>720399902</v>
          </cell>
          <cell r="J300" t="str">
            <v>Крышка для сковороды 20 см WMF</v>
          </cell>
        </row>
        <row r="301">
          <cell r="A301">
            <v>3201000515</v>
          </cell>
          <cell r="B301">
            <v>570044291</v>
          </cell>
          <cell r="J301" t="str">
            <v>Сковорода для блинов 27см DEVIL</v>
          </cell>
        </row>
        <row r="302">
          <cell r="A302">
            <v>3201006040</v>
          </cell>
          <cell r="B302">
            <v>517355290</v>
          </cell>
          <cell r="J302" t="str">
            <v>Кастрюля 24 см Functional Platinum FUSIONTEC</v>
          </cell>
        </row>
        <row r="303">
          <cell r="A303">
            <v>3201111697</v>
          </cell>
          <cell r="B303">
            <v>517305290</v>
          </cell>
          <cell r="J303" t="str">
            <v>Кастрюля FT Functional T 20см (Черная)</v>
          </cell>
        </row>
        <row r="304">
          <cell r="A304">
            <v>3201111693</v>
          </cell>
          <cell r="B304">
            <v>517205290</v>
          </cell>
          <cell r="J304" t="str">
            <v>Низкая кастрюля FT Functional T 20см (Черная)</v>
          </cell>
        </row>
        <row r="305">
          <cell r="A305">
            <v>3201111663</v>
          </cell>
          <cell r="B305">
            <v>517165290</v>
          </cell>
          <cell r="J305" t="str">
            <v>Ковш FT Functional T 16см (Черный)</v>
          </cell>
        </row>
        <row r="306">
          <cell r="A306">
            <v>3201111701</v>
          </cell>
          <cell r="B306">
            <v>517405290</v>
          </cell>
          <cell r="J306" t="str">
            <v>Набор кастрюль FT Functional T 4-пр. (Черный)</v>
          </cell>
        </row>
        <row r="307">
          <cell r="A307">
            <v>3201006041</v>
          </cell>
          <cell r="B307">
            <v>517405290</v>
          </cell>
          <cell r="J307" t="str">
            <v>Набор кастрюль FT Functional T 4-пр. (Черный)</v>
          </cell>
        </row>
        <row r="308">
          <cell r="A308">
            <v>3201006022</v>
          </cell>
          <cell r="B308">
            <v>514895290</v>
          </cell>
          <cell r="J308" t="str">
            <v>Набор кастрюль 4 пр Rose Quartz FUSIONTEC</v>
          </cell>
        </row>
        <row r="309">
          <cell r="A309">
            <v>3201111672</v>
          </cell>
          <cell r="B309">
            <v>514495290</v>
          </cell>
          <cell r="J309" t="str">
            <v>Кастрюля 24 см Rose Quartz FUSIONTEC</v>
          </cell>
        </row>
        <row r="310">
          <cell r="A310">
            <v>3201006010</v>
          </cell>
          <cell r="B310">
            <v>514495290</v>
          </cell>
          <cell r="J310" t="str">
            <v>Кастрюля 24 см Rose Quartz FUSIONTEC</v>
          </cell>
        </row>
        <row r="311">
          <cell r="A311">
            <v>3201111669</v>
          </cell>
          <cell r="B311">
            <v>514395290</v>
          </cell>
          <cell r="J311" t="str">
            <v>Кастрюля  20 см Rose Quartz FUSIONTEC</v>
          </cell>
        </row>
        <row r="312">
          <cell r="A312">
            <v>3201111676</v>
          </cell>
          <cell r="B312">
            <v>514595290</v>
          </cell>
          <cell r="J312" t="str">
            <v>Низкая кастрюля 20 см Rose Quartz FUSIONTEC</v>
          </cell>
        </row>
        <row r="313">
          <cell r="A313">
            <v>3201006014</v>
          </cell>
          <cell r="B313">
            <v>514595290</v>
          </cell>
          <cell r="J313" t="str">
            <v>Низкая кастрюля 20 см Rose Quartz FUSIONTEC</v>
          </cell>
        </row>
        <row r="314">
          <cell r="A314">
            <v>3201006007</v>
          </cell>
          <cell r="B314">
            <v>514395290</v>
          </cell>
          <cell r="J314" t="str">
            <v>Кастрюля  20 см Rose Quartz FUSIONTEC</v>
          </cell>
        </row>
        <row r="315">
          <cell r="A315">
            <v>3201111692</v>
          </cell>
          <cell r="B315">
            <v>515295290</v>
          </cell>
          <cell r="J315" t="str">
            <v>Ковш  16 см Rose Quartz FUSIONTEC</v>
          </cell>
        </row>
        <row r="316">
          <cell r="A316">
            <v>3201006030</v>
          </cell>
          <cell r="B316">
            <v>515295290</v>
          </cell>
          <cell r="J316" t="str">
            <v>Ковш  16 см Rose Quartz FUSIONTEC</v>
          </cell>
        </row>
        <row r="317">
          <cell r="A317">
            <v>3201111684</v>
          </cell>
          <cell r="B317">
            <v>514895290</v>
          </cell>
          <cell r="J317" t="str">
            <v>Набор кастрюль 4 пр Rose Quartz FUSIONTEC</v>
          </cell>
        </row>
        <row r="318">
          <cell r="A318">
            <v>3200001924</v>
          </cell>
          <cell r="B318">
            <v>413310711</v>
          </cell>
          <cell r="J318" t="str">
            <v>Электрический заварочный чайник Kineo 1,6 л.</v>
          </cell>
        </row>
        <row r="319">
          <cell r="A319">
            <v>7211004401</v>
          </cell>
          <cell r="B319">
            <v>415560711</v>
          </cell>
          <cell r="J319" t="str">
            <v>ГРИЛЬ PROFI PLUS PERFECTION</v>
          </cell>
        </row>
        <row r="320">
          <cell r="A320">
            <v>7211004669</v>
          </cell>
          <cell r="B320" t="str">
            <v>QA319810</v>
          </cell>
          <cell r="J320" t="str">
            <v>QA319810 KTM WIZZO BLK/CHROME EU</v>
          </cell>
        </row>
        <row r="321">
          <cell r="A321">
            <v>7211004670</v>
          </cell>
          <cell r="B321" t="str">
            <v>QA317510</v>
          </cell>
          <cell r="J321" t="str">
            <v xml:space="preserve">КУХОННАЯ МАШИНА MOULINEX WIZZO. МОЩНОСТЬ 1000 ВТ. 7 СКОРОСТИ+ПУЛЬС. ЧАША ИЗ НЕРЖАВЕЮЩЕЙ СТАЛИ ОБЪЕМОМ 4Л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В КОМПЛЕКТЕ: МЯСОРУБКА С 2 РЕШЕТКАМИ, БЛЕНДЕР (1Л ПОЛЕЗНЫЙ ОБЪЕМ, МАТЕРИАЛ - ПЛАСТИК), ОВОЩЕРЕЗКА С 3 КОНУСАМИ. ЦВЕТ - ТЕМНО-КРАСНЫЙ </v>
          </cell>
        </row>
        <row r="322">
          <cell r="A322">
            <v>7211004672</v>
          </cell>
          <cell r="B322" t="str">
            <v>QA310110</v>
          </cell>
          <cell r="J322" t="str">
            <v xml:space="preserve">КУХОННАЯ МАШИНА MOULINEX WIZZO. МОЩНОСТЬ 1000 ВТ. 7 СКОРОСТИ+ПУЛЬС. ЧАША ИЗ НЕРЖАВЕЮЩЕЙ СТАЛИ ОБЪЕМОМ 4Л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v>
          </cell>
        </row>
        <row r="323">
          <cell r="A323">
            <v>2820300101</v>
          </cell>
          <cell r="B323" t="str">
            <v>QA3001B1</v>
          </cell>
          <cell r="J323" t="str">
            <v xml:space="preserve">КУХОННАЯ МАШИНА MOULINEX WIZZO. МОЩНОСТЬ 700 ВТ. 4 СКОРОСТИ+ПУЛЬС. ЧАША ИЗ НЕРЖАВЕЮЩЕЙ СТАЛИ ОБЪЕМОМ 4Л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v>
          </cell>
        </row>
        <row r="324">
          <cell r="A324">
            <v>3200001161</v>
          </cell>
          <cell r="B324">
            <v>415400711</v>
          </cell>
          <cell r="J324" t="str">
            <v>Охладитель для вина и шампанского AMBIENT</v>
          </cell>
        </row>
        <row r="325">
          <cell r="A325">
            <v>3200000452</v>
          </cell>
          <cell r="B325">
            <v>415400011</v>
          </cell>
          <cell r="J325" t="str">
            <v>Охладитель для вина и шампанского AMBIENTE</v>
          </cell>
        </row>
        <row r="326">
          <cell r="A326">
            <v>1830008408</v>
          </cell>
          <cell r="B326" t="str">
            <v>SF5010F0</v>
          </cell>
          <cell r="J326" t="str">
            <v>Выпрямитель SF5010F0: Функции:Влажный и сухой; Размер пластин:[9x4.5 mm]; Выбор температурных режимов:[130°C to 230°C °C]; Автоотключение:Да; Время нагрева:[30 s]; Плавающие пластины:Да; Ионный генератор:Да; Покрытие пластин:Профессиональное покрытие “Ultra Shine Nano Ceramic“</v>
          </cell>
        </row>
        <row r="327">
          <cell r="A327">
            <v>1830005450</v>
          </cell>
          <cell r="B327" t="str">
            <v>TN5120F0</v>
          </cell>
          <cell r="J327" t="str">
            <v>Машинка для стрижки NOMAD: титановые лезвия, технология Wet&amp;Dry (100% водонепроницаемая), Съемная насадка (3 шт): позиции длины 3-15 мм и 17-29 мм + насадка для бороды (3-6мм) без насадки - 0.5мм, шаг 2 мм, работа от сети/аккумулятора: 45 минут, чехол для хранения/путешествий</v>
          </cell>
        </row>
        <row r="328">
          <cell r="A328">
            <v>1830005449</v>
          </cell>
          <cell r="B328" t="str">
            <v>TN5100F0</v>
          </cell>
          <cell r="J328" t="str">
            <v>Машинка для стрижки NOMAD: титановые лезвия, технология Wet&amp;Dry (100% водонепроницаемая), Съемная насадка (2 шт), позиции длины 3-15 мм и 17-29 мм, без насадки - 0.5мм, шаг 2 мм, работа от сети/аккумулятора:
45 минут, чехол для хранения/путешествий</v>
          </cell>
        </row>
        <row r="329">
          <cell r="A329">
            <v>1830008705</v>
          </cell>
          <cell r="B329" t="str">
            <v>CF471LF0</v>
          </cell>
          <cell r="J329" t="str">
            <v xml:space="preserve">WAVER 4IN1 </v>
          </cell>
        </row>
        <row r="330">
          <cell r="A330">
            <v>1830008528</v>
          </cell>
          <cell r="B330" t="str">
            <v>CF6135F0</v>
          </cell>
          <cell r="J330" t="str">
            <v>Фен-щетка Rowenta Volumizer, 3D Volume Booster, Приподнимает волосы от корней, Моделирует, Увеличивает естественный объем, Увеличенная овальная щетка, Блеск и уход, Премиальный дизайн, Ионный генератор, 3 режима скорости, 3 температурных режимов.</v>
          </cell>
        </row>
        <row r="331">
          <cell r="A331">
            <v>1830008527</v>
          </cell>
          <cell r="B331" t="str">
            <v>CF6130F0</v>
          </cell>
          <cell r="J331" t="str">
            <v>Фен-щетка Rowenta Volumizer, 3D Volume Booster, Приподнимает волосы от корней, Моделирует, Увеличивает естественный объем, Увеличенная овальная щетка, Блеск и уход, Премиальный дизайн, Ионный генератор, 3 режима скорости, 3 температурных режимов.</v>
          </cell>
        </row>
        <row r="332">
          <cell r="A332">
            <v>7211001987</v>
          </cell>
          <cell r="B332" t="str">
            <v>KO512I30</v>
          </cell>
          <cell r="J332" t="str">
            <v>Чайник SILVER ION + – Антибактериальное покрытие с ионами серебра, объем 1,7л, 2400ВТ, ультраполированный нагревательный элемент,  2 индикатора уровня воды, световой индикатор, центральное подключение, фильтр против накипи, кнопка автоматического открывания, блокировка крышки, цвет: светло-зеленый</v>
          </cell>
        </row>
        <row r="333">
          <cell r="A333">
            <v>7211001263</v>
          </cell>
          <cell r="B333" t="str">
            <v>KO511030</v>
          </cell>
          <cell r="J333" t="str">
            <v>Чайник SILVER ION + – Антибактериальное покрытие с ионами серебра, объем 1,7л, 2400ВТ, ультраполированный нагревательный элемент,  2 индикатора уровня воды, световой индикатор, центральное подключение, фильтр против накипи, кнопка автоматического открывания, блокировка крышки, цвет: белый</v>
          </cell>
        </row>
        <row r="334">
          <cell r="A334">
            <v>7211001108</v>
          </cell>
          <cell r="B334" t="str">
            <v>BF925232</v>
          </cell>
          <cell r="J334" t="str">
            <v>Чайник SILVER ION, 1,7л, 2400ВТ, ультраполированный нагревательный элемент,  2 индикатора уровня воды, световой индикатор, центральное подключение, фильтр против накипи, кнопка автоматического открывания, блокировка крышки, цвет: желтый</v>
          </cell>
        </row>
        <row r="335">
          <cell r="A335">
            <v>7211001107</v>
          </cell>
          <cell r="B335" t="str">
            <v>BF925132</v>
          </cell>
          <cell r="J335" t="str">
            <v>Чайник SILVER ION, 1,7л, 2400ВТ, ультраполированный нагревательный элемент,  2 индикатора уровня воды, световой индикатор, центральное подключение, фильтр против накипи, кнопка автоматического открывания, блокировка крышки, цвет: белый</v>
          </cell>
        </row>
        <row r="336">
          <cell r="A336">
            <v>1510001956</v>
          </cell>
          <cell r="B336" t="str">
            <v>PC302B10</v>
          </cell>
          <cell r="J336" t="str">
            <v>ПРЕСС ДЛЯ ЦИТРУСОВЫХ VITAPRESS</v>
          </cell>
        </row>
        <row r="337">
          <cell r="A337">
            <v>1510001948</v>
          </cell>
          <cell r="B337" t="str">
            <v>PC300B10</v>
          </cell>
          <cell r="J337" t="str">
            <v>ПРЕСС ДЛЯ ЦИТРУСОВЫХ VITAPRESS</v>
          </cell>
        </row>
        <row r="338">
          <cell r="A338">
            <v>1500635821</v>
          </cell>
          <cell r="B338" t="str">
            <v>DF100830</v>
          </cell>
          <cell r="J338" t="str">
            <v>УНИВЕРСАЛЬНАЯ ЭЛЕКТРИЧЕСКАЯ СУШКА TEFAL. 5 УРОВНЕЙ, МОЩНОСТЬ 525 ВТ, 4 РЕЖИМА РАБОТЫ, ЗАЩИТА ОТ ПЕРЕГРЕВА, ИЗГОТОВЛЕНО В КИТАЕ</v>
          </cell>
        </row>
        <row r="339">
          <cell r="A339">
            <v>8010000724</v>
          </cell>
          <cell r="B339" t="str">
            <v>TT1A1830</v>
          </cell>
          <cell r="J339" t="str">
            <v>ТОСТЕР TEFAL TT1A1830 С 2 СЛОТАМИ</v>
          </cell>
        </row>
        <row r="340">
          <cell r="A340">
            <v>1510001848</v>
          </cell>
          <cell r="B340" t="str">
            <v>FG170819</v>
          </cell>
          <cell r="J340" t="str">
            <v>Капельная кофеварка Moulinex Vita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FG170819</v>
          </cell>
        </row>
        <row r="341">
          <cell r="A341">
            <v>8010001382</v>
          </cell>
          <cell r="B341" t="str">
            <v>TT1A1830</v>
          </cell>
          <cell r="J341" t="str">
            <v>ТОСТЕР TEFAL TT1A1830 С 2 СЛОТАМИ</v>
          </cell>
        </row>
        <row r="342">
          <cell r="A342">
            <v>2100124606</v>
          </cell>
          <cell r="B342" t="str">
            <v>E4926S75</v>
          </cell>
          <cell r="J342" t="str">
            <v>Набор VIRTUOSO 6:  Кастрюля 20/24 с кр + Ковш 14 с кр</v>
          </cell>
        </row>
        <row r="343">
          <cell r="A343">
            <v>2100112991</v>
          </cell>
          <cell r="B343" t="str">
            <v>E492S674</v>
          </cell>
          <cell r="J343" t="str">
            <v>Набор VIRTUOSO 6:  Кастрюля 20/24 с кр + Ковш 14 с кр</v>
          </cell>
        </row>
        <row r="344">
          <cell r="A344">
            <v>8010001197</v>
          </cell>
          <cell r="B344" t="str">
            <v>XP444C10</v>
          </cell>
          <cell r="J344"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черный пластик. В комплекте : металлический контейнер для молока, фильтр для воды, таблетки для чистки варочного механизма.</v>
          </cell>
        </row>
        <row r="345">
          <cell r="A345">
            <v>8010001013</v>
          </cell>
          <cell r="B345" t="str">
            <v>XP442C11</v>
          </cell>
          <cell r="J345"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белый пластик + черный пластик. В комплекте : металлический контейнер для молока, фильтр для воды, таблетки для чистки варочного механизма.</v>
          </cell>
        </row>
        <row r="346">
          <cell r="A346">
            <v>8010001292</v>
          </cell>
          <cell r="B346" t="str">
            <v>XP444C10</v>
          </cell>
        </row>
        <row r="347">
          <cell r="A347">
            <v>1830009277</v>
          </cell>
          <cell r="B347" t="str">
            <v>FV2C42E0</v>
          </cell>
          <cell r="J347" t="str">
            <v>STEAM IRONS VIRTUO 30</v>
          </cell>
        </row>
        <row r="348">
          <cell r="A348">
            <v>1830009279</v>
          </cell>
          <cell r="B348" t="str">
            <v>FV2C60E0</v>
          </cell>
          <cell r="J348" t="str">
            <v>STEAM IRONS VIRTUO 30</v>
          </cell>
        </row>
        <row r="349">
          <cell r="A349">
            <v>1830006582</v>
          </cell>
          <cell r="B349" t="str">
            <v>FV1711E0</v>
          </cell>
          <cell r="J349" t="str">
            <v>УТЮГ VIRTUO, 1800 ВТ, РЕГУЛИРУЕМЫЙ ПАР 20 Г/МИН, ПАРОВОЙ УДАР 80 Г/МИН, ПРОТИВОКАПЕЛЬНАЯ СИСТЕМА, ВЕРТИКАЛЬНЫЙ ПАР, ФУНКЦИЯ САМООЧИСТКИ, ПРОТИВОИЗВЕСТКОВЫЙ СТЕРЖЕНЬ, АНТИПРИГАРНАЯ ПОДОШВА, ДЛИНА ЭЛЕКТРОШНУРА 1,9 М, СПРЕЙ, РЕЗЕРВУАР ДЛЯ ВОДЫ 200 МЛ</v>
          </cell>
        </row>
        <row r="350">
          <cell r="A350">
            <v>1830006775</v>
          </cell>
          <cell r="B350" t="str">
            <v>FV1712E0</v>
          </cell>
          <cell r="J350" t="str">
            <v>УТЮГ VIRTUO, 2000 ВТ, РЕГУЛИРУЕМЫЙ ПАР 20 Г/МИН, ПАРОВОЙ УДАР 85 Г/МИН, ПРОТИВОКАПЕЛЬНАЯ СИСТЕМА, ВЕРТИКАЛЬНЫЙ ПАР, ФУНКЦИЯ САМООЧИСТКИ, ПРОТИВОИЗВЕСТКОВЫЙ СТЕРЖЕНЬ, АНТИПРИГАРНАЯ ПОДОШВА, ДЛИНА ЭЛЕКТРОШНУРА 1,9 М, СПРЕЙ, РЕЗЕРВУАР ДЛЯ ВОДЫ 200 МЛ</v>
          </cell>
        </row>
        <row r="351">
          <cell r="A351">
            <v>1830006774</v>
          </cell>
          <cell r="B351" t="str">
            <v>FV1713E0</v>
          </cell>
          <cell r="J351" t="str">
            <v>УТЮГ VIRTUO, 2000 ВТ, РЕГУЛИРУЕМЫЙ ПАР 20 Г/МИН, ПАРОВОЙ УДАР 90 Г/МИН, ПРОТИВОКАПЕЛЬНАЯ СИСТЕМА, ВЕРТИКАЛЬНЫЙ ПАР, ФУНКЦИЯ САМООЧИСТКИ, ПРОТИВОИЗВЕСТКОВЫЙ СТЕРЖЕНЬ, АНТИПРИГАРНАЯ ПОДОШВА, ДЛИНА ЭЛЕКТРОШНУРА 1,9 М, СПРЕЙ, РЕЗЕРВУАР ДЛЯ ВОДЫ 200 МЛ</v>
          </cell>
        </row>
        <row r="352">
          <cell r="A352">
            <v>1830009406</v>
          </cell>
          <cell r="B352" t="str">
            <v>FV1R10F1</v>
          </cell>
          <cell r="J352" t="str">
            <v xml:space="preserve">TEFAL Паровой утюг Virtuo, Мощность 2000 Вт, подача пара 24 г/минута. Выход пара, высокоточный наконечник </v>
          </cell>
        </row>
        <row r="353">
          <cell r="A353">
            <v>1830009407</v>
          </cell>
          <cell r="B353" t="str">
            <v>FV1R15F1</v>
          </cell>
          <cell r="J353" t="str">
            <v xml:space="preserve">TEFAL Паровой утюг Virtuo, Мощность 2000 Вт, подача пара 24 г/минута. Выход пара, высокоточный наконечник </v>
          </cell>
        </row>
        <row r="354">
          <cell r="A354">
            <v>3100509824</v>
          </cell>
          <cell r="B354">
            <v>509824</v>
          </cell>
          <cell r="J354" t="str">
            <v>Набор для салата 6 предметов VIENNA</v>
          </cell>
        </row>
        <row r="355">
          <cell r="A355">
            <v>7211005180</v>
          </cell>
          <cell r="B355" t="str">
            <v>TY6A75WO</v>
          </cell>
          <cell r="J355" t="str">
            <v>Беспроводной пылесос VERSATILE X-PERT 7.60 ALLERGY, объем контейнера 0.44 л., время работы до 45 мин., время заряда 3 часа, Щелевая, насадка для мягкой мебели, мини турбощетка, Easy brush</v>
          </cell>
        </row>
        <row r="356">
          <cell r="A356">
            <v>7211005178</v>
          </cell>
          <cell r="B356" t="str">
            <v>TY6A31WO</v>
          </cell>
          <cell r="J356" t="str">
            <v>Беспроводной пылесос VERSATILE X-PERT 7.60 ALLERGY, объем контейнера 0,44 л., время работы до 45 мин., время заряда 3 часа, Щелевая, насадка для мягкой мебели, мини турбощетка, Easy brush</v>
          </cell>
        </row>
        <row r="357">
          <cell r="A357">
            <v>7211005179</v>
          </cell>
          <cell r="B357" t="str">
            <v>TY6A35WO</v>
          </cell>
          <cell r="J357" t="str">
            <v>Беспроводной пылесос VERSATILE X-PERT 7.60 ALLERGY, объем контейнера 0,44 л., время работы до 45 мин., время заряда 3 часа, Щелевая, насадка для мягкой мебели, мини турбощетка, Easy brush</v>
          </cell>
        </row>
        <row r="358">
          <cell r="A358">
            <v>2211401287</v>
          </cell>
          <cell r="B358" t="str">
            <v>TY9A73WO</v>
          </cell>
          <cell r="J358" t="str">
            <v>Циклонная технология, мощность всасывания 150 аВт, автономная работа до 60 мин, технология Flex, вертикальная парковка</v>
          </cell>
        </row>
        <row r="359">
          <cell r="A359">
            <v>2211401286</v>
          </cell>
          <cell r="B359" t="str">
            <v>TY9AC1WO</v>
          </cell>
          <cell r="J359" t="str">
            <v>Циклонная технология, мощность всасывания 150 аВт, автономная работа до 60 мин, технология Flex, вертикальная парковка, влажная уборка</v>
          </cell>
        </row>
        <row r="360">
          <cell r="A360">
            <v>2211401325</v>
          </cell>
          <cell r="B360" t="str">
            <v>TY9L42WO</v>
          </cell>
          <cell r="J360" t="str">
            <v>Циклонная технология, мощность всасывания 150 аВт, автономная работа до 60 мин, технология Flex, вертикальная парковка</v>
          </cell>
        </row>
        <row r="361">
          <cell r="A361">
            <v>2211401326</v>
          </cell>
          <cell r="B361" t="str">
            <v>TY9LC1WO</v>
          </cell>
          <cell r="J361" t="str">
            <v>Циклонная технология, мощность всасывания 150 аВт, автономная работа до 60 мин, технология Flex, вертикальная парковка, влажная уборка</v>
          </cell>
        </row>
        <row r="362">
          <cell r="A362">
            <v>3100517225</v>
          </cell>
          <cell r="B362">
            <v>517225</v>
          </cell>
          <cell r="J362" t="str">
            <v>Набор из 2-х предметов (фляжка + Ланч-бокс) SOCCER KIDS</v>
          </cell>
        </row>
        <row r="363">
          <cell r="A363">
            <v>3100516173</v>
          </cell>
          <cell r="B363">
            <v>516173</v>
          </cell>
          <cell r="J363" t="str">
            <v>Набор из 2-х предметов (фляжка + Ланч-бокс) MONSTER KIDS</v>
          </cell>
        </row>
        <row r="364">
          <cell r="A364">
            <v>3100516164</v>
          </cell>
          <cell r="B364">
            <v>516164</v>
          </cell>
          <cell r="J364" t="str">
            <v>Набор из 2-х предметов (фляжка + Ланч-бокс) PIRAT KIDS</v>
          </cell>
        </row>
        <row r="365">
          <cell r="A365">
            <v>3100509388</v>
          </cell>
          <cell r="B365">
            <v>509388</v>
          </cell>
          <cell r="J365" t="str">
            <v>Набор из 3-х ланч-боксов цветной VARIABOLO</v>
          </cell>
        </row>
        <row r="366">
          <cell r="A366">
            <v>3100517053</v>
          </cell>
          <cell r="B366">
            <v>517053</v>
          </cell>
          <cell r="J366" t="str">
            <v>Ланч-бокс с разделителем, BOYS VARIABOLO</v>
          </cell>
        </row>
        <row r="367">
          <cell r="A367">
            <v>3100517052</v>
          </cell>
          <cell r="B367">
            <v>517052</v>
          </cell>
          <cell r="J367" t="str">
            <v>Ланч-бокс с разделителем, GIRLS VARIABOLO</v>
          </cell>
        </row>
        <row r="368">
          <cell r="A368">
            <v>3100516991</v>
          </cell>
          <cell r="B368">
            <v>516991</v>
          </cell>
          <cell r="J368" t="str">
            <v>Ланч-бокс с разделителем, SOCCER VARIABOLO</v>
          </cell>
        </row>
        <row r="369">
          <cell r="A369">
            <v>3100515698</v>
          </cell>
          <cell r="B369">
            <v>515698</v>
          </cell>
          <cell r="J369" t="str">
            <v>Ланч-бокс с разделителем, FOX VARIABOLO</v>
          </cell>
        </row>
        <row r="370">
          <cell r="A370">
            <v>3100514482</v>
          </cell>
          <cell r="B370">
            <v>514482</v>
          </cell>
          <cell r="J370" t="str">
            <v>Ланч-бокс с разделителем, MONSTER VARIABOLO</v>
          </cell>
        </row>
        <row r="371">
          <cell r="A371">
            <v>3100513795</v>
          </cell>
          <cell r="B371">
            <v>513795</v>
          </cell>
          <cell r="J371" t="str">
            <v>Ланч-бокс с разделителем, DINO VARIABOLO</v>
          </cell>
        </row>
        <row r="372">
          <cell r="A372">
            <v>3100513794</v>
          </cell>
          <cell r="B372">
            <v>513794</v>
          </cell>
          <cell r="J372" t="str">
            <v>Ланч-бокс с разделителем, PRINCESS VARIABOLO</v>
          </cell>
        </row>
        <row r="373">
          <cell r="A373">
            <v>3100513793</v>
          </cell>
          <cell r="B373">
            <v>513793</v>
          </cell>
          <cell r="J373" t="str">
            <v>Ланч-бокс с разделителем, PIRATE VARIABOLO</v>
          </cell>
        </row>
        <row r="374">
          <cell r="A374">
            <v>3100513792</v>
          </cell>
          <cell r="B374">
            <v>513792</v>
          </cell>
          <cell r="J374" t="str">
            <v>Ланч-бокс с разделителем, ANTON ANT VARIABOLO</v>
          </cell>
        </row>
        <row r="375">
          <cell r="A375">
            <v>3100513791</v>
          </cell>
          <cell r="B375">
            <v>513791</v>
          </cell>
          <cell r="J375" t="str">
            <v>Ланч-бокс с разделителем, FARM FAMILY VARIABOLO</v>
          </cell>
        </row>
        <row r="376">
          <cell r="A376">
            <v>3200000436</v>
          </cell>
          <cell r="B376">
            <v>419070011</v>
          </cell>
          <cell r="J376" t="str">
            <v xml:space="preserve">ВАКУУМНЫЙ УПАКОВЩИК LONO </v>
          </cell>
        </row>
        <row r="377">
          <cell r="A377">
            <v>3200001160</v>
          </cell>
          <cell r="B377">
            <v>419070711</v>
          </cell>
          <cell r="J377" t="str">
            <v xml:space="preserve">ВАКУУМНЫЙ УПАКОВЩИК LONO </v>
          </cell>
        </row>
        <row r="378">
          <cell r="A378">
            <v>1830008137</v>
          </cell>
          <cell r="B378" t="str">
            <v>VF6720F0</v>
          </cell>
          <cell r="J378" t="str">
            <v>Вентилятор колонный TEFAL Urban Cool, 3 скорости, управление механическое</v>
          </cell>
        </row>
        <row r="379">
          <cell r="A379">
            <v>1830008136</v>
          </cell>
          <cell r="B379" t="str">
            <v>VF6770F0</v>
          </cell>
          <cell r="J379" t="str">
            <v>URBAN COOL ELECTRONICAL VF6770</v>
          </cell>
        </row>
        <row r="380">
          <cell r="A380">
            <v>1830008258</v>
          </cell>
          <cell r="B380" t="str">
            <v>TN5243F4</v>
          </cell>
          <cell r="J380" t="str">
            <v>URBAN</v>
          </cell>
        </row>
        <row r="381">
          <cell r="A381">
            <v>1830009151</v>
          </cell>
          <cell r="B381" t="str">
            <v>TN5202F0</v>
          </cell>
          <cell r="J381" t="str">
            <v xml:space="preserve"> Hair Clipper, 120 Minutes Autonomy, LED Battery Indicator, Self-Sharpening Stainless Steel Blades</v>
          </cell>
        </row>
        <row r="382">
          <cell r="A382">
            <v>1830008215</v>
          </cell>
          <cell r="B382" t="str">
            <v>TN5241F4</v>
          </cell>
          <cell r="J382" t="str">
            <v>URBAN</v>
          </cell>
        </row>
        <row r="383">
          <cell r="A383">
            <v>1830007974</v>
          </cell>
          <cell r="B383" t="str">
            <v>TN5240F1</v>
          </cell>
          <cell r="J383" t="str">
            <v xml:space="preserve">Rowenta Машинка для стрижки             </v>
          </cell>
        </row>
        <row r="384">
          <cell r="A384">
            <v>1830008214</v>
          </cell>
          <cell r="B384" t="str">
            <v>TN5221F4</v>
          </cell>
          <cell r="J384" t="str">
            <v>URBAN</v>
          </cell>
        </row>
        <row r="385">
          <cell r="A385">
            <v>1830007972</v>
          </cell>
          <cell r="B385" t="str">
            <v>TN5220F1</v>
          </cell>
          <cell r="J385" t="str">
            <v xml:space="preserve">Rowenta Машинка для стрижки             </v>
          </cell>
        </row>
        <row r="386">
          <cell r="A386">
            <v>1830007973</v>
          </cell>
          <cell r="B386" t="str">
            <v>TN5200F5</v>
          </cell>
          <cell r="J386" t="str">
            <v xml:space="preserve">Машинка для стрижки волос ADVANCER Проводное/Беспроводное использование  - титановое покрытие лезвий - 30 настроек длины - Li-ion аккумулятор  - 120 мин. автономной работы - LED экран - индикатор зарядки - быстрая зарядка 90 мин. </v>
          </cell>
        </row>
        <row r="387">
          <cell r="A387">
            <v>1830005528</v>
          </cell>
          <cell r="B387" t="str">
            <v>IS3365E1</v>
          </cell>
          <cell r="J387" t="str">
            <v>ОТПАРИВАТЕЛЬ ДЛЯ ОДЕЖДЫ INSTANT COMPACT, ВРЕМЯ НАГРЕВАНИЯ 1 МИНУТА, МОЩНОСТЬ 1500 ВТ, РЕГУЛИРУЕМЫЙ ПАР 30 Г/МИН, 2 РЕЖИМА ПОДАЧИ ПАРА, СИСТЕМА ВЕРТИКАЛЬНОЙ ПОДДЕРЖКИ ROLL&amp;PRESS, РЕЗЕРВУАР ДЛЯ ВОДЫ 1 ЛИТР, ТЕЛЕСКОПИЧЕСКАЯ ТРУБКА, ВРЕМЯ НЕПРЕРЫВНОЙ РАБОТЫ 30 МИН., 3 НАСАДКИ (РУКОВИЦА, ЩЕТКА ДЛЯ ЧИСТКИ ТКАНИ, ПОДУШЕЧКА ДЛЯ ЧИСТКИ ОДЕЖДЫ</v>
          </cell>
        </row>
        <row r="388">
          <cell r="A388">
            <v>1830005412</v>
          </cell>
          <cell r="B388" t="str">
            <v>IS8340E1</v>
          </cell>
          <cell r="J388" t="str">
            <v>ОТПАРИВАТЕЛЬ ДЛЯ ОДЕЖДЫ INSTANT CONTROL, ВРЕМЯ НАГРЕВАНИЯ 45 СЕКУНД, МОЩНОСТЬ 1700 ВТ, РЕГУЛИРУЕМЫЙ ПАР 35 Г/МИН, 3 НАСТРОЕК РЕГУЛИРОВКИ ПАРА НА БАЗЕ, СИСТЕМА ВЕРТИКАЛЬНОЙ ПОДДЕРЖКИ ROLL&amp;PRESS, СЪЕМНЫЙ РЕЗЕРВУАР ДЛЯ ВОДЫ 1,7 ЛИТРА, ТЕЛЕСКОПИЧЕСКАЯ ТРУБКА, ВРЕМЯ АВТОНОМНОЙ РАБОТЫ 60 МИН., АВТООТКЛЮЧЕНИЕ, ИНДИКАТОР ГОТОВНОСТИ ПАРА,3 НАСАДКИ (РУКОВИЦА, ЩЕТКА ДЛЯ ДЕЛИКАТНЫХ ТКАНЕЙ, ПОДУШЕЧКА ДЛЯ ЧИСТКИ ОДЕЖДЫ), АКСЕССУАР ДЛЯ ПОДВЕШИВАНИЯ ОДЕЖДЫ</v>
          </cell>
        </row>
        <row r="389">
          <cell r="A389">
            <v>1830006259</v>
          </cell>
          <cell r="B389" t="str">
            <v>IT2110E1</v>
          </cell>
          <cell r="J389" t="str">
            <v>ОТПАРИВАТЕЛЬ ДЛЯ ОДЕЖДЫ INSTANT STEAM, ВРЕМЯ НАГРЕВА 60 СЕКУНД, МОЩНОСТЬ 1500 ВТ, РЕГУЛИРУЕМЫЙ ПАР 30 Г/МИН, 4 КОЛЕСА ДЛЯ ТРАНСПОРТИРОВКИ, СЪЕМНЫЙ РЕЗЕРВУАР ДЛЯ ВОДЫ 1,8 ЛИТРА, ТЕЛЕСКОПИЧЕСКАЯ ТРУБКА, ВРЕМЯ АВТОНОМНОЙ РАБОТЫ 60 МИН., СКЛАДЫВАЮЩАЯСЯ ВЕШАЛКА, 3 НАСАДКИ (ЩЕТКА ДЛЯ ТКАНИ, ЗАЖИМЫ ДЛЯ БРЮК, НАСАДКА ДЛЯ ФОРМИРОВАНИЯ СТРЕЛОК), КРЮЧОК ДЛЯ ПОДВЕШИВАНИЯ ОДЕЖДЫ</v>
          </cell>
        </row>
        <row r="390">
          <cell r="A390">
            <v>1830007627</v>
          </cell>
          <cell r="B390" t="str">
            <v>IT2440E0</v>
          </cell>
          <cell r="J390" t="str">
            <v>ОТПАРИВАТЕЛЬ ДЛЯ ОДЕЖДЫ PRO STYLE ONE, МОЩНОСТЬ 1700 ВТ, РЕГУЛИРУЕМЫЙ ПАР 30 Г/МИН, 2 РЕЖИМА ПОДАЧИ ПАРА, ШИРОКАЯ МЕТАЛИЧЕСКАЯ ПОДОШВА, СЪЕМНЫЙ РЕЗЕРВУАР ДЛЯ ВОДЫ 1.5 ЛИТРА, ТЕЛЕСКОПИЧЕСКАЯ ТРУБКА, НАСАДКА-ЩЕТКА ДЛЯ ЧИСТКИ ТКАНИ</v>
          </cell>
        </row>
        <row r="391">
          <cell r="A391">
            <v>1830007628</v>
          </cell>
          <cell r="B391" t="str">
            <v>IT2460E0</v>
          </cell>
          <cell r="J391" t="str">
            <v>ОТПАРИВАТЕЛЬ ДЛЯ ОДЕЖДЫ PRO STYLE ONE, МОЩНОСТЬ 1700 ВТ, РЕГУЛИРУЕМЫЙ ПАР 30 Г/МИН, 2 РЕЖИМА ПОДАЧИ ПАРА, ШИРОКАЯ МЕТАЛИЧЕСКАЯ ПОДОШВА, СЪЕМНЫЙ РЕЗЕРВУАР ДЛЯ ВОДЫ 1.5 ЛИТРА, НАСАДКА-ЩЕТКА ДЛЯ ЧИСТКИ ТКАНИ, ВАРЕЖКА ДЛЯ ЗАЩИТЫ РУК</v>
          </cell>
        </row>
        <row r="392">
          <cell r="A392">
            <v>1830007629</v>
          </cell>
          <cell r="B392" t="str">
            <v>IT2461E0</v>
          </cell>
          <cell r="J392" t="str">
            <v>ОТПАРИВАТЕЛЬ ДЛЯ ОДЕЖДЫ PRO STYLE ONE, ЭКСКЛЮЩИВНАЯ СИСТЕМА ВЕРТИКАЛЬНОЙ ПОДДЕРЖКИ ROLL&amp;PRESS, ВРЕМЯ НАГРЕВАНИЯ 45 СЕК, МОЩНОСТЬ 1700 ВТ, РЕГУЛИРУЕМЫЙ ПАР 30 Г/МИН, 2 РЕЖИМА ПОДАЧИ ПАРА, ШИРОКАЯ МЕТАЛИЧЕСКАЯ ПОДОШВА, СЪЕМНЫЙ РЕЗЕРВУАР ДЛЯ ВОДЫ 1.5 ЛИТРА, ТЕЛЕСКОПИЧЕСКАЯ ТРУБКА, НАСАДКА-ЩЕТКА ДЛЯ ЧИСТКИ ТКАНИ, ВАРЕЖКА ДЛЯ ЗАЩИТЫ РУК</v>
          </cell>
        </row>
        <row r="393">
          <cell r="A393">
            <v>1830006980</v>
          </cell>
          <cell r="B393" t="str">
            <v>IT3420E0</v>
          </cell>
          <cell r="J393" t="str">
            <v>ОТПАРИВАТЕЛЬ ДЛЯ ОДЕЖДЫ FASHION STEAM, ВРЕМЯ НАГРЕВАНИЯ 45 СЕК, МОЩНОСТЬ 1700 ВТ, РЕГУЛИРУЕМЫЙ ПАР 30 Г/МИН, 3 РЕЖИМА ПОДАЧИ ПАРА, ШИРОКАЯ МЕТАЛИЧЕСКАЯ ПОДОШВА, СЪЕМНЫЙ РЕЗЕРВУАР ДЛЯ ВОДЫ 1.5 ЛИТРА, ТЕЛЕСКОПИЧЕСКАЯ ТРУБКА, ВРЕМЯ НЕПРЕРЫВНОЙ РАБОТЫ ДО 50 МИН., НАСАДКА-ЩЕТКА ДЛЯ ЧИСТКИ ТКАНИ</v>
          </cell>
        </row>
        <row r="394">
          <cell r="A394">
            <v>1830007384</v>
          </cell>
          <cell r="B394" t="str">
            <v>IT3430E0</v>
          </cell>
          <cell r="J394" t="str">
            <v>ОТПАРИВАТЕЛЬ ДЛЯ ОДЕЖДЫ FASHION STEAM, ВРЕМЯ НАГРЕВАНИЯ 45 СЕК, МОЩНОСТЬ 1700 ВТ, РЕГУЛИРУЕМЫЙ ПАР 30 Г/МИН, 3 РЕЖИМА ПОДАЧИ ПАРА, ШИРОКАЯ МЕТАЛИЧЕСКАЯ ПОДОШВА, СЪЕМНЫЙ РЕЗЕРВУАР ДЛЯ ВОДЫ 1.5 ЛИТРА, ТЕЛЕСКОПИЧЕСКАЯ ТРУБКА, ВРЕМЯ НЕПРЕРЫВНОЙ РАБОТЫ ДО 50 МИН., НАСАДКА-ЩЕТКА ДЛЯ ЧИСТКИ ТКАНИ</v>
          </cell>
        </row>
        <row r="395">
          <cell r="A395">
            <v>1830006984</v>
          </cell>
          <cell r="B395" t="str">
            <v>IT3440E0</v>
          </cell>
          <cell r="J395" t="str">
            <v>ОТПАРИВАТЕЛЬ ДЛЯ ОДЕЖДЫ FASHION STEAM, ЭКСКЛЮЗИВНАЯ СИСТЕМА ВЕРТИКАЛЬНОЙ ПОДДЕРЖКИ ROLL&amp;PRESS, ВРЕМЯ НАГРЕВАНИЯ 45 СЕК, МОЩНОСТЬ 1700 ВТ, РЕГУЛИРУЕМЫЙ ПАР 30 Г/МИН, 3 РЕЖИМА ПОДАЧИ ПАРА, ШИРОКАЯ МЕТАЛИЧЕСКАЯ ПОДОШВА, СЪЕМНЫЙ РЕЗЕРВУАР ДЛЯ ВОДЫ 1.5 ЛИТРА, ТЕЛЕСКОПИЧЕСКАЯ ТРУБКА, ВРЕМЯ НЕПРЕРЫВНОЙ РАБОТЫ ДО 50 МИН., НАСАДКА-ЩЕТКА ДЛЯ ЧИСТКИ ТКАНИ</v>
          </cell>
        </row>
        <row r="396">
          <cell r="A396">
            <v>7211005120</v>
          </cell>
          <cell r="B396" t="str">
            <v>IT3280E1</v>
          </cell>
          <cell r="J396" t="str">
            <v>Складой отпариватель Origin Home. Отпариватель. Постоянная подача пара 42 г/мин. 35 минуты автономной работы. 45 с время нагрева. 1,4 л резервуар для воды. Длина провода 2 м. Насадка для плотных тканей, вертикальная доска, держатели для брюк в комплекте</v>
          </cell>
        </row>
        <row r="397">
          <cell r="A397">
            <v>7211005118</v>
          </cell>
          <cell r="B397" t="str">
            <v>IT3274E1</v>
          </cell>
          <cell r="J397" t="str">
            <v>Вертикальный отпариватель Origin Home.Мощнось 2000 Вт. Постоянная подача пара 42 г/мин. 35 минуты автономной работы. 45 с время нагрева. 1,4 л резервуар для воды. Эко-режим. 3 уровня подачи пара. Длина провода 2 м. Насадка для плотных тканей, перчатка в комплекте</v>
          </cell>
        </row>
        <row r="398">
          <cell r="A398">
            <v>1830007232</v>
          </cell>
          <cell r="B398" t="str">
            <v>IT3450E0</v>
          </cell>
          <cell r="J398" t="str">
            <v>ОТПАРИВАТЕЛЬ ДЛЯ ОДЕЖДЫ FASHION STEAM, ЭКСКЛЮЩИВНАЯ СИСТЕМА ВЕРТИКАЛЬНОЙ ПОДДЕРЖКИ ROLL&amp;PRESS, ВРЕМЯ НАГРЕВАНИЯ 45 СЕК, МОЩНОСТЬ 1800 ВТ, РЕГУЛИРУЕМЫЙ ПАР 30 Г/МИН, 3 РЕЖИМА ПОДАЧИ ПАРА, ШИРОКАЯ МЕТАЛИЧЕСКАЯ ПОДОШВА, СЪЕМНЫЙ РЕЗЕРВУАР ДЛЯ ВОДЫ 1.5 ЛИТРА, ТЕЛЕСКОПИЧЕСКАЯ ТРУБКА, ВРЕМЯ НЕПРЕРЫВНОЙ РАБОТЫ ДО 50 МИН., АКСЕСУАРЫ: НАСАДКА-ЩЕТКА ДЛЯ ЧИСТКИ ТКАНИ И НАСАДКА ДЛЯ ДЕЛИКАТНЫХ ТКАНЕЙ</v>
          </cell>
        </row>
        <row r="399">
          <cell r="A399">
            <v>1830007217</v>
          </cell>
          <cell r="B399" t="str">
            <v>IT3460E0</v>
          </cell>
          <cell r="J399" t="str">
            <v>ОТПАРИВАТЕЛЬ ДЛЯ ОДЕЖДЫ FASHION STEAM, ЭКСКЛЮЗИВНАЯ СИСТЕМА ВЕРТИКАЛЬНОЙ ПОДДЕРЖКИ ROLL&amp;PRESS, ВРЕМЯ НАГРЕВАНИЯ 45 СЕК, МОЩНОСТЬ 1800 ВТ, РЕГУЛИРУЕМЫЙ ПАР 30 Г/МИН, 3 РЕЖИМА ПОДАЧИ ПАРА, ШИРОКАЯ МЕТАЛИЧЕСКАЯ ПОДОШВА, СЪЕМНЫЙ РЕЗЕРВУАР ДЛЯ ВОДЫ 1.5 ЛИТРА, ТЕЛЕСКОПИЧЕСКАЯ ТРУБКА, ВРЕМЯ НЕПРЕРЫВНОЙ РАБОТЫ ДО 50 МИН., АКСЕСУАРЫ: НАСАДКА-ЩЕТКА ДЛЯ ЧИСТКИ ТКАНИ И ПЕРЧАТКА</v>
          </cell>
        </row>
        <row r="400">
          <cell r="A400">
            <v>1830007155</v>
          </cell>
          <cell r="B400" t="str">
            <v>IT8440E0</v>
          </cell>
          <cell r="J400" t="str">
            <v>ОТПАРИВАТЕЛЬ ДЛЯ ОДЕЖДЫ PRO STYLE CARE, ЭКСКЛЮЗИВНАЯ СИСТЕМА ВЕРТИКАЛЬНОЙ ПОДДЕРЖКИ ROLL&amp;PRESS, ВРЕМЯ НАГРЕВАНИЯ 45 СЕК, МОЩНОСТЬ 1800 ВТ, РЕГУЛИРУЕМЫЙ ПАР 35 Г/МИН, 5 ЕЛЕКТРОННЫХ РЕЖИМОВ ПОДАЧИ ПАРА, ШИРОКАЯ МЕТАЛИЧЕСКАЯ ПОДОШВА, СЪЕМНЫЙ РЕЗЕРВУАР ДЛЯ ВОДЫ 1.3 ЛИТРА, ТЕЛЕСКОПИЧЕСКАЯ ТРУБКА, ВРЕМЯ НЕПРЕРЫВНОЙ РАБОТЫ ДО 35 МИН., ЗВУКОВОЕ ОПОВЕЩЕНИЕ О НЕОБХОДИОСТИ ОЧИСТКИ ОТ НАКИПИ, КОЛЕСИКИ ДЛЯ УДОБНОЙ ТРАНСПОРТИРОВКИ, АКСЕСУАРЫ 5: НАСАДКА-ЩЕТКА ДЛЯ ЧИСТКИ ТКАНИ И НАСАДКА ДЛЯ ДЕЛИКАТНЫХ ТКАНЕЙ, ЗАЖИМИ ДЛЯ БРЮК.</v>
          </cell>
        </row>
        <row r="401">
          <cell r="A401">
            <v>1830009016</v>
          </cell>
          <cell r="B401" t="str">
            <v>IT3480E1</v>
          </cell>
          <cell r="J401" t="str">
            <v>Вертикальный отпариватель. Мощность 2000 Вт. Нагрев за 45 с. Подача пара 42 г/мин. Вертикальная поддержка Steam&amp;Press. 3 настроек подачи пара. Аксессуары в комплекте: Щетка для плотной ткани, насадка для отпаривания деликатных тканей и перчатка для защиты рук от горячего пара.</v>
          </cell>
        </row>
        <row r="402">
          <cell r="A402">
            <v>1830009015</v>
          </cell>
          <cell r="B402" t="str">
            <v>IT3470E1</v>
          </cell>
          <cell r="J402" t="str">
            <v>Вертикальный отпариватель. Мощность 2000 Вт. Нагрев за 45 с. Подача пара 42 г/мин. 3 настроек подачи пара. Аксессуары в комплекте: Щетка для плотной ткани, насадка для отпаривания деликатных тканей и перчатка для защиты рук от горячего пара.</v>
          </cell>
        </row>
        <row r="403">
          <cell r="A403">
            <v>1830007156</v>
          </cell>
          <cell r="B403" t="str">
            <v>IT8460E0</v>
          </cell>
          <cell r="J403" t="str">
            <v>ОТПАРИВАТЕЛЬ ДЛЯ ОДЕЖДЫ PRO STYLE CARE, ЭКСКЛЮЗИВНАЯ СИСТЕМА ВЕРТИКАЛЬНОЙ ПОДДЕРЖКИ ROLL&amp;PRESS, ВРЕМЯ НАГРЕВАНИЯ 45 СЕК, МОЩНОСТЬ 1800 ВТ, РЕГУЛИРУЕМЫЙ ПАР 35 Г/МИН, 5 ЕЛЕКТРОННЫХ РЕЖИМОВ ПОДАЧИ ПАРА, ШИРОКАЯ МЕТАЛИЧЕСКАЯ ПОДОШВА, СЪЕМНЫЙ РЕЗЕРВУАР ДЛЯ ВОДЫ 1.3 ЛИТРА, ТЕЛЕСКОПИЧЕСКАЯ ТРУБКА, ВРЕМЯ НЕПРЕРЫВНОЙ РАБОТЫ ДО 35 МИН., ЗВУКОВОЕ ОПОВЕЩЕНИЕ О НЕОБХОДИОСТИ ОЧИСТКИ ОТ НАКИПИ, КОЛЕСИКИ ДЛЯ УДОБНОЙ ТРАНСПОРТИРОВКИ, АКСЕСУАРЫ 5: НАСАДКА-ЩЕТКА ДЛЯ ЧИСТКИ ТКАНИ И НАСАДКА ДЛЯ ДЕЛИКАТНЫХ ТКАНЕЙ, ПЕРЧАТКА, ЩЕТКА ДЛЯ ОЧИСТКИ ОТ КАТЫШКОВ, ЗАЖИМИ ДЛЯ БРЮК.</v>
          </cell>
        </row>
        <row r="404">
          <cell r="A404">
            <v>1830007659</v>
          </cell>
          <cell r="B404" t="str">
            <v>IT8490E0</v>
          </cell>
          <cell r="J404" t="str">
            <v>ОТПАРИВАТЕЛЬ ДЛЯ ОДЕЖДЫ PRO STYLE CARE МОЩНОСТЬ 2000 ВТ, РЕГУЛИРУЕМЫЙ ПАР 40 Г/МИН, 5 РЕЖИМОВ ПОДАЧИ ПАРА, ШИРОКАЯ МЕТАЛИЧЕСКАЯ ПОДОШВА, СЪЕМНЫЙ РЕЗЕРВУАР ДЛЯ ВОДЫ 1.3 ЛИТРА, НАСТРОЙКИ НА РУЧКЕ, 5 АКСЕССУАРОВ В КОМПЛЕКТЕ</v>
          </cell>
        </row>
        <row r="405">
          <cell r="A405">
            <v>1830008996</v>
          </cell>
          <cell r="B405" t="str">
            <v>IT8480E0</v>
          </cell>
          <cell r="J405" t="str">
            <v>Вертикальный отпариватель. Мощность 2000 Вт. Нагрев за 45 с. Подача пара 42 г/мин. Вертикальная поддержка Steam&amp;Press. 5 настроек подачи пара. Аксессуары в комплекте: Щетка для плотной ткани, насадка для отпаривания деликатных тканей, насадка для создания стрелок на костюмах, насадка для удаления шерсти и пыли и перчатка для защиты рук от горячего пара.</v>
          </cell>
        </row>
        <row r="406">
          <cell r="A406">
            <v>1830009000</v>
          </cell>
          <cell r="B406" t="str">
            <v>IT8470E0</v>
          </cell>
          <cell r="J406" t="str">
            <v>Вертикальный отпариватель. Мощность 2000 Вт. Нагрев за 45 с. Подача пара 42 г/мин. Вертикальная поддержка Steam&amp;Press. 4 настройки подачи пара. Аксессуары в комплекте: Щетка для плотной ткани, насадка для создания стрелок на костюмах, насадка для удаления шерсти и пыли и перчатка для защиты рук от горячего пара.</v>
          </cell>
        </row>
        <row r="407">
          <cell r="A407">
            <v>2820950102</v>
          </cell>
          <cell r="B407" t="str">
            <v>IT9501E2</v>
          </cell>
          <cell r="J407" t="str">
            <v>ОТПАРИВАТЕЛЬ ДЛЯ ОДЕЖДЫ TEFAL EXPERT PRECISION, ВРЕМЯ НАГРЕВА 45 СЕКУНД, МОЩНОСТЬ 1800 ВТ, РЕГУЛИРУЕМЫЙ ПАР ДО 35 Г/МИН И МОЩНЫЙ ПАРОВОЙ УДАР, УДОБНАЯ ПЕДАЛЬ ДЛЯ ВЛЮЧЕНИЯ НОГОЙ СО СВЕТОВЫМ ИНДИКАТОРОМ, БОЛЬШАЯ МЕТАЛИЧЕСКАЯ ПОДОШВА, СИСТЕМА ВЕРТИКАЛЬНОЙ ПОДДЕРЖКИ ROLL&amp;PRESS, СЪЕМНЫЙ РЕЗЕРВУАР ДЛЯ ВОДЫ 3,2 ЛИТРА, ТЕЛЕСКОПИЧЕСКАЯ ТРУБКА, ВРЕМЯ АВТОНОМНОЙ РАБОТЫ ДО 90 МИН., УДОБНЫЙ ОТСЕК ДЛЯ ХРАНЕНИЯ АКСЕССУАРОВ (3 ШТУКИ: ЩЕТКА ДЛЯ ТКАНИ, ПОДУШЕЧКА ДЛЯ ЧИСТКИ ОДЕЖДЫ, НАСАДКА ДЛЯ ФОРМИРОВАНИЯ СТРЕЛОК), КАБЕЛЬ 2 МЕТРА</v>
          </cell>
        </row>
        <row r="408">
          <cell r="A408">
            <v>8010000210</v>
          </cell>
          <cell r="B408" t="str">
            <v>LT140811</v>
          </cell>
          <cell r="J408" t="str">
            <v>Тостер Moulinex UNO BLACK с 2 слотами</v>
          </cell>
        </row>
        <row r="409">
          <cell r="A409">
            <v>8010000209</v>
          </cell>
          <cell r="B409" t="str">
            <v>FG121811</v>
          </cell>
          <cell r="J409" t="str">
            <v>Капельная кофеварка Moulinex Uno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FG121811</v>
          </cell>
        </row>
        <row r="410">
          <cell r="A410">
            <v>7211003815</v>
          </cell>
          <cell r="B410" t="str">
            <v>AF215D10</v>
          </cell>
          <cell r="J410" t="str">
            <v>ФРИТЮРНИЦА UNO 1.8 Л</v>
          </cell>
        </row>
        <row r="411">
          <cell r="A411">
            <v>1830007717</v>
          </cell>
          <cell r="B411" t="str">
            <v>FV6810E0</v>
          </cell>
          <cell r="J411" t="str">
            <v>УТЮГ ULTRAGLISS PLUS FV6810E0</v>
          </cell>
        </row>
        <row r="412">
          <cell r="A412">
            <v>1830007718</v>
          </cell>
          <cell r="B412" t="str">
            <v>FV6812E0</v>
          </cell>
          <cell r="J412" t="str">
            <v>УТЮГ ULTRAGLISS PLUS FV6812E0</v>
          </cell>
        </row>
        <row r="413">
          <cell r="A413">
            <v>1830008239</v>
          </cell>
          <cell r="B413" t="str">
            <v>FV6813E0</v>
          </cell>
          <cell r="J413" t="str">
            <v>УТЮГ ULTRAGLISS PLUS FV6813E0</v>
          </cell>
        </row>
        <row r="414">
          <cell r="A414">
            <v>1830007810</v>
          </cell>
          <cell r="B414" t="str">
            <v>FV6820E0</v>
          </cell>
          <cell r="J414" t="str">
            <v>УТЮГ ULTRAGLISS PLUS, 2800 ВТ, ФИРМЕННАЯ ПОДОШВА DURILIUM AIRGLIDE, РЕГУЛИРУЕМЫЙ ПАР 0-50 Г/МИН, ПАРОВОЙ УДАР 260 Г/МИН, АВТООТКЛЮЧЕНИЕ, ПРОТИВОКАПЕЛЬНАЯ СИСТЕМА, ВЕРТИКАЛЬНЫЙ ПАР, ЭКО-РЕЖИМ, САМООЧИСТКА, ПРОТИВОИЗВЕСТКОВЫЙ СТЕРЖЕНЬ,ОПТИМАЛЬНОЕ РАСПРЕДЕЛЕНИЕ ПАРА, СПРЕЙ, УСТОЙЧИВАЯ ОТКРЫТАЯ ПЯТКА УТЮГА, СДЕЛАНО ВО ФРАНЦИИ</v>
          </cell>
        </row>
        <row r="415">
          <cell r="A415">
            <v>1830008240</v>
          </cell>
          <cell r="B415" t="str">
            <v>FV6824E0</v>
          </cell>
          <cell r="J415" t="str">
            <v>УТЮГ ULTRAGLISS PLUS FV6824E0</v>
          </cell>
        </row>
        <row r="416">
          <cell r="A416">
            <v>1830007715</v>
          </cell>
          <cell r="B416" t="str">
            <v>FV6830E0</v>
          </cell>
          <cell r="J416" t="str">
            <v>УТЮГ ULTRAGLISS AC PLUS, 2800 ВТ, ФИРМЕННАЯ ПОДОШВА DURILIUM AIRGLIDE, РЕГУЛИРУЕМЫЙ ПАР 0-50 Г/МИН, ПАРОВОЙ УДАР 250 Г/МИН, КОЛЛЕКТОР ДЛЯ СБОРА НАКИПИ, ПРОТИВОКАПЕЛЬНАЯ СИСТЕМА, ВЕРТИКАЛЬНЫЙ ПАР, САМООЧИСТКА, ПРОТИВОИЗВЕСТКОВЫЙ СТЕРЖЕНЬ,ОПТИМАЛЬНОЕ РАСПРЕДЕЛЕНИЕ ПАРА, СПРЕЙ, УСТОЙЧИВАЯ ОТКРЫТАЯ ПЯТКА УТЮГА, СДЕЛАНО ВО ФРАНЦИИ</v>
          </cell>
        </row>
        <row r="417">
          <cell r="A417">
            <v>1830007716</v>
          </cell>
          <cell r="B417" t="str">
            <v>FV6832E0</v>
          </cell>
          <cell r="J417" t="str">
            <v>УТЮГ ULTRAGLISS AC PLUS, 2800 ВТ, ФИРМЕННАЯ ПОДОШВА DURILIUM AIRGLIDE, РЕГУЛИРУЕМЫЙ ПАР 0-50 Г/МИН, ПАРОВОЙ УДАР 260 Г/МИН, КОЛЛЕКТОР ДЛЯ СБОРА НАКИПИ, ПРОТИВОКАПЕЛЬНАЯ СИСТЕМА, ВЕРТИКАЛЬНЫЙ ПАР, САМООЧИСТКА, ПРОТИВОИЗВЕСТКОВЫЙ СТЕРЖЕНЬ,ОПТИМАЛЬНОЕ РАСПРЕДЕЛЕНИЕ ПАРА, СПРЕЙ, УСТОЙЧИВАЯ ОТКРЫТАЯ ПЯТКА УТЮГА, СДЕЛАНО ВО ФРАНЦИИ</v>
          </cell>
        </row>
        <row r="418">
          <cell r="A418">
            <v>1830008241</v>
          </cell>
          <cell r="B418" t="str">
            <v>FV6833E0</v>
          </cell>
          <cell r="J418" t="str">
            <v>УТЮГ ULTRAGLISS PLUS FV6833E0</v>
          </cell>
        </row>
        <row r="419">
          <cell r="A419">
            <v>1830007809</v>
          </cell>
          <cell r="B419" t="str">
            <v>FV6840E0</v>
          </cell>
          <cell r="J419" t="str">
            <v>УТЮГ ULTRAGLISS AC PLUS, 2800 ВТ, ФИРМЕННАЯ ПОДОШВА DURILIUM AIRGLIDE, РЕГУЛИРУЕМЫЙ ПАР 0-50 Г/МИН, ПАРОВОЙ УДАР 260 Г/МИН, КОЛЛЕКТОР ДЛЯ СБОРА НАКИПИ, АВТООТКЛЮЧЕНИЕ, ПРОТИВОКАПЕЛЬНАЯ СИСТЕМА, ВЕРТИКАЛЬНЫЙ ПАР, САМООЧИСТКА, ПРОТИВОИЗВЕСТКОВЫЙ СТЕРЖЕНЬ,ОПТИМАЛЬНОЕ РАСПРЕДЕЛЕНИЕ ПАРА, СПРЕЙ, УСТОЙЧИВАЯ ОТКРЫТАЯ ПЯТКА УТЮГА, СДЕЛАНО ВО ФРАНЦИИ</v>
          </cell>
        </row>
        <row r="420">
          <cell r="A420">
            <v>1830007868</v>
          </cell>
          <cell r="B420" t="str">
            <v>FV6842E0</v>
          </cell>
          <cell r="J420" t="str">
            <v>УТЮГ ULTRAGLISS AC PLUS, 2800 ВТ, ФИРМЕННАЯ ПОДОШВА DURILIUM AIRGLIDE, РЕГУЛИРУЕМЫЙ ПАР 0-50 Г/МИН, ПАРОВОЙ УДАР 260 Г/МИН, КОЛЛЕКТОР ДЛЯ СБОРА НАКИПИ, АВТООТКЛЮЧЕНИЕ, ПРОТИВОКАПЕЛЬНАЯ СИСТЕМА, ВЕРТИКАЛЬНЫЙ ПАР, САМООЧИСТКА, ПРОТИВОИЗВЕСТКОВЫЙ СТЕРЖЕНЬ,ОПТИМАЛЬНОЕ РАСПРЕДЕЛЕНИЕ ПАРА, СПРЕЙ, УСТОЙЧИВАЯ ОТКРЫТАЯ ПЯТКА УТЮГА, СДЕЛАНО ВО ФРАНЦИИ</v>
          </cell>
        </row>
        <row r="421">
          <cell r="A421">
            <v>1830008242</v>
          </cell>
          <cell r="B421" t="str">
            <v>FV6844E0</v>
          </cell>
          <cell r="J421" t="str">
            <v>УТЮГ ULTRAGLISS PLUS FV6844E0</v>
          </cell>
        </row>
        <row r="422">
          <cell r="A422">
            <v>1830008018</v>
          </cell>
          <cell r="B422" t="str">
            <v>FV6872E0</v>
          </cell>
          <cell r="J422" t="str">
            <v>Утюг ULTRAGLISS PLUS, 2800 Вт, фирменная подошва Durilium Airglide, регулируемый пар 0-50 г/мин, паровой удар 260 г/мин, автоотключение, противокапельная система,  MONOTEMP - универсальная температура, вертикальный пар, самоочистка, противоизвестковый стержень,оптимальное распределение пара, спрей, устойчивая открытая пятка утюга, сделано во Франции</v>
          </cell>
        </row>
        <row r="423">
          <cell r="A423">
            <v>1830007895</v>
          </cell>
          <cell r="B423" t="str">
            <v>FV4913E4</v>
          </cell>
          <cell r="J423" t="str">
            <v>УТЮГ ULTRAGLISS 4 FV4913E4</v>
          </cell>
        </row>
        <row r="424">
          <cell r="A424">
            <v>1830006857</v>
          </cell>
          <cell r="B424" t="str">
            <v>FV4950E0</v>
          </cell>
          <cell r="J424" t="str">
            <v>УТЮГ ULTRAGLISS ANTI-CALC, 2500 ВТ, ФИРМЕННАЯ ПОДОШВА DURILIUM AIRGLIDE, РЕГУЛИРУЕМЫЙ ПАР 0-40 Г/МИН, ПАРОВОЙ УДАР 160 Г/МИН, АВТООТКЛЮЧЕНИЕ, ПРОТИВОКАПЕЛЬНАЯ СИСТЕМА, ВЕРТИКАЛЬНЫЙ ПАР, АВТОНАСТРОЙКА ПАРА В ЗАВИСИМОСТИ ОТ ВЫБРАННОГО ТЕМПЕРАТУРНОГО РЕЖИМА, РЕЗЕРВУАР ДЛЯ ВОДЫ 270 МЛ,  ИНТЕГРИРОВАННАЯ ЗАЩИТА ОТ НАКИПИ ANTI SCALE SYSTEM, САМООЧИСТКА, ПРОТИВОИЗВЕСТКОВЫЙ СТЕРЖЕНЬ, СПРЕЙ, УСТОЙЧИВАЯ ОТКРЫТАЯ ПЯТКА УТЮГА, СДЕЛАНО ВО ФРАНЦИИ</v>
          </cell>
        </row>
        <row r="425">
          <cell r="A425">
            <v>1830006849</v>
          </cell>
          <cell r="B425" t="str">
            <v>FV4952E0</v>
          </cell>
          <cell r="J425" t="str">
            <v>УТЮГ ULTRAGLISS ANTI-CALC, 2500 ВТ, ФИРМЕННАЯ ПОДОШВА DURILIUM AIRGLIDE, РЕГУЛИРУЕМЫЙ ПАР 0-40 Г/МИН, ПАРОВОЙ УДАР 180 Г/МИН, АВТООТКЛЮЧЕНИЕ, ПРОТИВОКАПЕЛЬНАЯ СИСТЕМА, ВЕРТИКАЛЬНЫЙ ПАР, АВТОНАСТРОЙКА ПАРА В ЗАВИСИМОСТИ ОТ ВЫБРАННОГО ТЕМПЕРАТУРНОГО РЕЖИМА, РЕЗЕРВУАР ДЛЯ ВОДЫ 270 МЛ,  ИНТЕГРИРОВАННАЯ ЗАЩИТА ОТ НАКИПИ ANTI SCALE SYSTEM, САМООЧИСТКА, ПРОТИВОИЗВЕСТКОВЫЙ СТЕРЖЕНЬ, СПРЕЙ, УСТОЙЧИВАЯ ОТКРЫТАЯ ПЯТКА УТЮГА, СДЕЛАНО ВО ФРАНЦИИ</v>
          </cell>
        </row>
        <row r="426">
          <cell r="A426">
            <v>1830006860</v>
          </cell>
          <cell r="B426" t="str">
            <v>FV4961E0</v>
          </cell>
          <cell r="J426" t="str">
            <v>УТЮГ ULTRAGLISS ANTI-CALC, 2500 ВТ, ФИРМЕННАЯ ПОДОШВА DURILIUM AIRGLIDE, РЕГУЛИРУЕМЫЙ ПАР 0-40 Г/МИН, ПАРОВОЙ УДАР 160 Г/МИН, ЭКСКЛЮЗИВНЫЙ КОЛЛЕКТОР ДЛЯ СБОРА НАКИПИ, ПРОТИВОКАПЕЛЬНАЯ СИСТЕМА, ВЕРТИКАЛЬНЫЙ ПАР, АВТОНАСТРОЙКА ПАРА В ЗАВИСИМОСТИ ОТ ВЫБРАННОГО ТЕМПЕРАТУРНОГО РЕЖИМА, РЕЗЕРВУАР ДЛЯ ВОДЫ 270 МЛ,  ИНТЕГРИРОВАННАЯ ЗАЩИТА ОТ НАКИПИ ANTI SCALE SYSTEM, САМООЧИСТКА, ПРОТИВОИЗВЕСТКОВЫЙ СТЕРЖЕНЬ, СПРЕЙ, УСТОЙЧИВАЯ ОТКРЫТАЯ ПЯТКА УТЮГА, СДЕЛАНО ВО ФРАНЦИИ</v>
          </cell>
        </row>
        <row r="427">
          <cell r="A427">
            <v>1830006863</v>
          </cell>
          <cell r="B427" t="str">
            <v>FV4964E0</v>
          </cell>
          <cell r="J427" t="str">
            <v>УТЮГ ULTRAGLISS ANTI-CALC, 2500 ВТ, ФИРМЕННАЯ ПОДОШВА DURILIUM AIRGLIDE, РЕГУЛИРУЕМЫЙ ПАР 0-40 Г/МИН, ПАРОВОЙ УДАР 180 Г/МИН, ЭКСКЛЮЗИВНЫЙ КОЛЛЕКТОР ДЛЯ СБОРА НАКИПИ, ПРОТИВОКАПЕЛЬНАЯ СИСТЕМА, ВЕРТИКАЛЬНЫЙ ПАР, АВТОНАСТРОЙКА ПАРА В ЗАВИСИМОСТИ ОТ ВЫБРАННОГО ТЕМПЕРАТУРНОГО РЕЖИМА, РЕЗЕРВУАР ДЛЯ ВОДЫ 270 МЛ,  ИНТЕГРИРОВАННАЯ ЗАЩИТА ОТ НАКИПИ ANTI SCALE SYSTEM, САМООЧИСТКА, ПРОТИВОИЗВЕСТКОВЫЙ СТЕРЖЕНЬ, СПРЕЙ, УСТОЙЧИВАЯ ОТКРЫТАЯ ПЯТКА УТЮГА, СДЕЛАНО ВО ФРАНЦИИ</v>
          </cell>
        </row>
        <row r="428">
          <cell r="A428">
            <v>1830006865</v>
          </cell>
          <cell r="B428" t="str">
            <v>FV4980E0</v>
          </cell>
          <cell r="J428" t="str">
            <v>УТЮГ SMART PROTECT FV4980E0</v>
          </cell>
        </row>
        <row r="429">
          <cell r="A429">
            <v>1830006866</v>
          </cell>
          <cell r="B429" t="str">
            <v>FV4981E0</v>
          </cell>
          <cell r="J429" t="str">
            <v>УТЮГ ULTRAGLISS SMART PROTECT, 2500 ВТ, ФИРМЕННАЯ ПОДОШВА DURILIUM AIRGLIDE, РЕГУЛИРУЕМЫЙ ПАР 0-40 Г/МИН, ПАРОВОЙ УДАР 180 Г/МИН, ПРОТИВОКАПЕЛЬНАЯ СИСТЕМА, АВТООТКЛЮЧЕНИЕ, ВЕРТИКАЛЬНЫЙ ПАР, CИСТЕМА SMART TECHNOLOGY - РЕГУЛИРОВКА НЕ ТРЕБУЕТСЯ (ОПТИМАЛЬНОЕ СОЧЕТАНИЕ ТЕМПЕРАТУРЫ И МОЩНОСТИ ПОДАЧИ ПАРА), РЕЗЕРВУАР ДЛЯ ВОДЫ 270 МЛ,  ИНТЕГРИРОВАННАЯ ЗАЩИТА ОТ НАКИПИ ANTI SCALE SYSTEM, ЭКО-РЕЖИМ, САМООЧИСТКА, ПРОТИВОИЗВЕСТКОВЫЙ СТЕРЖЕНЬ, СПРЕЙ, УСТОЙЧИВАЯ ОТКРЫТАЯ ПЯТКА УТЮГА, СДЕЛАНО ВО ФРАНЦИИ</v>
          </cell>
        </row>
        <row r="430">
          <cell r="A430">
            <v>1830007578</v>
          </cell>
          <cell r="B430" t="str">
            <v>FV4991E0</v>
          </cell>
          <cell r="J430" t="str">
            <v>УТЮГ ULTRAGLISS ANTI-CALC, 2600 ВТ, ФИРМЕННАЯ ПОДОШВА DURILIUM AIRGLIDE, РЕГУЛИРУЕМЫЙ ПАР 0-45 Г/МИН, ПАРОВОЙ УДАР 220 Г/МИН, АВТООТКЛЮЧЕНИЕ, ПРОТИВОКАПЕЛЬНАЯ СИСТЕМА, ВЕРТИКАЛЬНЫЙ ПАР, РЕЗЕРВУАР ДЛЯ ВОДЫ 270 МЛ,  ИНТЕГРИРОВАННАЯ ЗАЩИТА ОТ НАКИПИ ANTI SCALE SYSTEM, ЭКО-РЕЖИМ, САМООЧИСТКА, ПРОТИВОИЗВЕСТКОВЫЙ СТЕРЖЕНЬ, СПРЕЙ, УСТОЙЧИВАЯ ОТКРЫТАЯ ПЯТКА УТЮГА, СДЕЛАНО ВО ФРАНЦИИ</v>
          </cell>
        </row>
        <row r="431">
          <cell r="A431">
            <v>1830007579</v>
          </cell>
          <cell r="B431" t="str">
            <v>FV4993E0</v>
          </cell>
          <cell r="J431" t="str">
            <v>УТЮГ ULTRAGLISS ANTI-CALC, 2600 ВТ, ФИРМЕННАЯ ПОДОШВА DURILIUM AIRGLIDE, РЕГУЛИРУЕМЫЙ ПАР 0-45 Г/МИН, ПАРОВОЙ УДАР 220 Г/МИН, АВТООТКЛЮЧЕНИЕ, ПРОТИВОКАПЕЛЬНАЯ СИСТЕМА, ВЕРТИКАЛЬНЫЙ ПАР, РЕЗЕРВУАР ДЛЯ ВОДЫ 270 МЛ,  ИНТЕГРИРОВАННАЯ ЗАЩИТА ОТ НАКИПИ ANTI SCALE SYSTEM, ЭКО-РЕЖИМ, САМООЧИСТКА, ПРОТИВОИЗВЕСТКОВЫЙ СТЕРЖЕНЬ, СПРЕЙ, УСТОЙЧИВАЯ ОТКРЫТАЯ ПЯТКА УТЮГА, СДЕЛАНО ВО ФРАНЦИИ</v>
          </cell>
        </row>
        <row r="432">
          <cell r="A432">
            <v>1830007580</v>
          </cell>
          <cell r="B432" t="str">
            <v>FV4996E0</v>
          </cell>
          <cell r="J432" t="str">
            <v>УТЮГ ULTRAGLISS ANTI-CALC, 2600 ВТ, ФИРМЕННАЯ ПОДОШВА DURILIUM AIRGLIDE, РЕГУЛИРУЕМЫЙ ПАР 0-45 Г/МИН, ПАРОВОЙ УДАР 230 Г/МИН, ПРОТИВОКАПЕЛЬНАЯ СИСТЕМА, ВЕРТИКАЛЬНЫЙ ПАР, КОЛЛЕКТОР ДЛЯ СБОРА НАКИПИ, РЕЗЕРВУАР ДЛЯ ВОДЫ 270 МЛ,  ИНТЕГРИРОВАННАЯ ЗАЩИТА ОТ НАКИПИ ANTI SCALE SYSTEM, ЭКО-РЕЖИМ, САМООЧИСТКА, ПРОТИВОИЗВЕСТКОВЫЙ СТЕРЖЕНЬ, СПРЕЙ, УСТОЙЧИВАЯ ОТКРЫТАЯ ПЯТКА УТЮГА, СДЕЛАНО ВО ФРАНЦИИ</v>
          </cell>
        </row>
        <row r="433">
          <cell r="A433">
            <v>1830007581</v>
          </cell>
          <cell r="B433" t="str">
            <v>FV4998E0</v>
          </cell>
          <cell r="J433" t="str">
            <v>УТЮГ ULTRAGLISS ANTI-CALC, 2600 ВТ, ФИРМЕННАЯ ПОДОШВА DURILIUM AIRGLIDE, РЕГУЛИРУЕМЫЙ ПАР 0-45 Г/МИН, ПАРОВОЙ УДАР 230 Г/МИН, ПРОТИВОКАПЕЛЬНАЯ СИСТЕМА, ВЕРТИКАЛЬНЫЙ ПАР, КОЛЛЕКТОР ДЛЯ СБОРА НАКИПИ, РЕЗЕРВУАР ДЛЯ ВОДЫ 270 МЛ,  ИНТЕГРИРОВАННАЯ ЗАЩИТА ОТ НАКИПИ ANTI SCALE SYSTEM, ЭКО-РЕЖИМ, САМООЧИСТКА, ПРОТИВОИЗВЕСТКОВЫЙ СТЕРЖЕНЬ, СПРЕЙ, УСТОЙЧИВАЯ ОТКРЫТАЯ ПЯТКА УТЮГА, СДЕЛАНО ВО ФРАНЦИИ</v>
          </cell>
        </row>
        <row r="434">
          <cell r="A434">
            <v>2820449340</v>
          </cell>
          <cell r="B434" t="str">
            <v>FV4493E0</v>
          </cell>
          <cell r="J434" t="str">
            <v>УТЮГ STEAM IRON ULTRAGLIDE EASYCORD    FTI2</v>
          </cell>
        </row>
        <row r="435">
          <cell r="A435">
            <v>1510001937</v>
          </cell>
          <cell r="B435" t="str">
            <v>VC204810</v>
          </cell>
          <cell r="J435" t="str">
            <v>УЛЬТРАКОМПАКТНАЯ ПАРОВАРКА С 3 КОРЗИНАМИ, ТАЙМЕРОМ И ЧАШЕЙ ДЛЯ РИСА</v>
          </cell>
        </row>
        <row r="436">
          <cell r="A436">
            <v>1510001682</v>
          </cell>
          <cell r="B436" t="str">
            <v>SM159830</v>
          </cell>
          <cell r="J436" t="str">
            <v>ВАФЕЛЬНИЦА ULTRACOMPACT</v>
          </cell>
        </row>
        <row r="437">
          <cell r="A437">
            <v>1500636094</v>
          </cell>
          <cell r="B437" t="str">
            <v>SM159530</v>
          </cell>
          <cell r="J437" t="str">
            <v>SM159530 СЕНДВИЧНИЦА</v>
          </cell>
        </row>
        <row r="438">
          <cell r="A438">
            <v>2100068613</v>
          </cell>
          <cell r="B438" t="str">
            <v>SM154135</v>
          </cell>
          <cell r="J438" t="str">
            <v>СЕНДВИЧНИЦА ULTRACOMPACT, 700 ВТ, АНТИПРИГ.ПОКРЫТИЕ, СВЕТ.ИНДИКАТОР, ВЕРТИКАЛЬНОЕ ХРАНЕНИЕ, СЕРЕБРИСТЫЙ</v>
          </cell>
        </row>
        <row r="439">
          <cell r="A439">
            <v>8010001269</v>
          </cell>
          <cell r="B439" t="str">
            <v>SW383D10</v>
          </cell>
          <cell r="J439" t="str">
            <v>СЕНДВИЧНИЦА СЕРИИ ULTRACOMPACT, С 3-МЯ СМЕННЫМИ НАСАДКАМИ: ВАФЛИ, ПАНИНИ, СЕНДВИЧИ</v>
          </cell>
        </row>
        <row r="440">
          <cell r="A440">
            <v>8000036023</v>
          </cell>
          <cell r="B440" t="str">
            <v>LM936E10</v>
          </cell>
          <cell r="J440" t="str">
            <v>HI SPEED БЛЕНДЕР MOULINEX . МОЩНОСТЬ - 1500ВТ, СКОРОСТЬ ВРАЩЕНИЯ ЛЕЗВИЙ - 30 000 ОБ/МИН, 6 ЛЕЗВИЙ,  6 АВТОМАТИЧЕСКИХ ПРОГГРАМ (СМУЗИ, КОЛКА ЛЬДА, ГОРЯЧИЙ СУП, СОРБЕТ, ОРЕХИ, АВТООЧИСТКА), СВЕРХПРОЧНАЯ ЧАША ИЗ ТРИТАНА, ПОЛЕЗНЫЙ ОБЪЕМ 2Л, ВОЗМОЖНОСТЬ ПРИГОТОВЛЕНИЯ ГОРЯЧИХ СУПОВ, LCD ДИСПЛЕЙ, ВОЗМОЖНОСТЬ МЫТЬ В ПОСУДОМОЕЧНОЙ МАШИНЕ. СДЕЛАНО В КИТАЕ</v>
          </cell>
        </row>
        <row r="441">
          <cell r="A441">
            <v>8000036086</v>
          </cell>
          <cell r="B441" t="str">
            <v>LM935E10</v>
          </cell>
          <cell r="J441" t="str">
            <v>HIGH SPEED БЛЕНДЕР MOULINEX . МОЩНОСТЬ - 1500ВТ, СКОРОСТЬ ВРАЩЕНИЯ ЛЕЗВИЙ - 30 000 ОБ/МИН, 6 ЛЕЗВИЙ,  4 АВТОМАТИЧЕСКИХ ПРОГГРАМ (СМУЗИ, СОРБЕТ, ГОРЯЧИЙ СУП, АВТООЧИСТКА), СВЕРХПРОЧНАЯ ЧАША ИЗ ТРИТАНА, ПОЛЕЗНЫЙ ОБЪЕМ 2Л, ВОЗМОЖНОСТЬ ПРИГОТОВЛЕНИЯ ГОРЯЧИХ СУПОВ, LCD ДИСПЛЕЙ, ВОЗМОЖНОСТЬ МЫТЬ В ПОСУДОМОЕЧНОЙ МАШИНЕ. СДЕЛАНО В КИТАЕ</v>
          </cell>
        </row>
        <row r="442">
          <cell r="A442">
            <v>9100049013</v>
          </cell>
          <cell r="B442">
            <v>4223122</v>
          </cell>
          <cell r="J442" t="str">
            <v>Сковорода 22 Ultra+</v>
          </cell>
        </row>
        <row r="443">
          <cell r="A443">
            <v>9100049014</v>
          </cell>
          <cell r="B443">
            <v>4223124</v>
          </cell>
          <cell r="J443" t="str">
            <v>Сковорода 24 Ultra+</v>
          </cell>
        </row>
        <row r="444">
          <cell r="A444">
            <v>9100049015</v>
          </cell>
          <cell r="B444">
            <v>4223126</v>
          </cell>
          <cell r="J444" t="str">
            <v>Сковорода 26 Ultra+</v>
          </cell>
        </row>
        <row r="445">
          <cell r="A445">
            <v>9100049016</v>
          </cell>
          <cell r="B445">
            <v>4223128</v>
          </cell>
          <cell r="J445" t="str">
            <v>Сковорода 28 Ultra+</v>
          </cell>
        </row>
        <row r="446">
          <cell r="A446">
            <v>9100049017</v>
          </cell>
          <cell r="B446">
            <v>4223525</v>
          </cell>
          <cell r="J446" t="str">
            <v>Сковорода для блинов 25 Ultra+</v>
          </cell>
        </row>
        <row r="447">
          <cell r="A447">
            <v>9100049018</v>
          </cell>
          <cell r="B447">
            <v>4223628</v>
          </cell>
          <cell r="J447" t="str">
            <v>Сковорода ВОК 28 Ultra+</v>
          </cell>
        </row>
        <row r="448">
          <cell r="A448">
            <v>9100054298</v>
          </cell>
          <cell r="B448">
            <v>4238122</v>
          </cell>
          <cell r="J448" t="str">
            <v>Сковорода 22 Ultra+</v>
          </cell>
        </row>
        <row r="449">
          <cell r="A449">
            <v>9100054299</v>
          </cell>
          <cell r="B449">
            <v>4238124</v>
          </cell>
          <cell r="J449" t="str">
            <v>Сковорода 24 Ultra+</v>
          </cell>
        </row>
        <row r="450">
          <cell r="A450">
            <v>9100054300</v>
          </cell>
          <cell r="B450">
            <v>4238126</v>
          </cell>
          <cell r="J450" t="str">
            <v>Сковорода 26 Ultra+</v>
          </cell>
        </row>
        <row r="451">
          <cell r="A451">
            <v>9100054301</v>
          </cell>
          <cell r="B451">
            <v>4238128</v>
          </cell>
          <cell r="J451" t="str">
            <v>Сковорода 28 Ultra+</v>
          </cell>
        </row>
        <row r="452">
          <cell r="A452">
            <v>9100054302</v>
          </cell>
          <cell r="B452">
            <v>4238525</v>
          </cell>
          <cell r="J452" t="str">
            <v>Сковорода для блинов 25 Ultra+</v>
          </cell>
        </row>
        <row r="453">
          <cell r="A453">
            <v>9100054303</v>
          </cell>
          <cell r="B453">
            <v>4238628</v>
          </cell>
          <cell r="J453" t="str">
            <v>Сковорода ВОК 28 Ultra+</v>
          </cell>
        </row>
        <row r="454">
          <cell r="A454">
            <v>1830009096</v>
          </cell>
          <cell r="B454" t="str">
            <v>CV6430F0</v>
          </cell>
          <cell r="J454" t="str">
            <v>Hybrid technology: DC motor with AC characteristics, Efiwatts</v>
          </cell>
        </row>
        <row r="455">
          <cell r="A455">
            <v>8000035883</v>
          </cell>
          <cell r="B455" t="str">
            <v>TT330D30</v>
          </cell>
          <cell r="J455" t="str">
            <v>ТОСТЕР ULTRA MINI TT330D30</v>
          </cell>
        </row>
        <row r="456">
          <cell r="A456">
            <v>7211004635</v>
          </cell>
          <cell r="B456" t="str">
            <v>EY111B15</v>
          </cell>
          <cell r="J456" t="str">
            <v>Аэрогриль Ultra Fry, электронное управление, объем 4,2 л, 8 автоматических программ.</v>
          </cell>
        </row>
        <row r="457">
          <cell r="A457">
            <v>1830007649</v>
          </cell>
          <cell r="B457" t="str">
            <v>CV1720F0</v>
          </cell>
          <cell r="J457" t="str">
            <v>Фен дорожный Rowenta POCKET POWER: Мощность 1200 Вт, Скорость воздушного потока 90 км/час., 2 скоростных, холодный воздух, концентратор, очень легкий вес - 320г., рабочее напряжение 120/240 В</v>
          </cell>
        </row>
        <row r="458">
          <cell r="A458">
            <v>1500636348</v>
          </cell>
          <cell r="B458" t="str">
            <v>PC120870</v>
          </cell>
          <cell r="J458" t="str">
            <v>УЛЬТРАКОМПАКТНАЯ ЦИТРУСОВАЯ СОКОВЫЖИМАЛКА, МОЩНОСТЬ 25ВТ,ОБЪЕМ РЕЗЕРВУАРА  0.45Л, ЗАЩИТНАЯ КРЫШКА, ПАСТИКОВАЯ НАСАДКА КОНИЧЕСКОЙ ФОРМЫ С РЕШЕТКОЙ, АВТОМАТИЧЕСКОЕ ВРАЩЕНИЕ В ОБЕ СТОРОНЫ, ВСТРОЕННОЕ ХРАНЕНИЕ ШНУРА</v>
          </cell>
        </row>
        <row r="459">
          <cell r="A459">
            <v>1510002159</v>
          </cell>
          <cell r="B459" t="str">
            <v>PC120870</v>
          </cell>
          <cell r="J459" t="str">
            <v>Компактная соковыжималка для цитрусовых Moulinex Ultracompact. Автоматическое включение/выключение: определение уровня давления, вращение в 2 стороны для лучшей экстракции сока, легкая в использовании, легко мыть, мощность 25Вт, 0,45л объем резервуара, встроенное хранение шнура.</v>
          </cell>
        </row>
        <row r="460">
          <cell r="A460">
            <v>1830006723</v>
          </cell>
          <cell r="B460" t="str">
            <v>CV9620F0</v>
          </cell>
          <cell r="J460" t="str">
            <v>Фен ULTIMATE PRO Rowenta: Digital мотор, 2300 Вт, 2 скорости/3 температурных режима, холодный воздух, ионизатор, ультратонкий концентратор, классический диффузер</v>
          </cell>
        </row>
        <row r="461">
          <cell r="A461">
            <v>1830008904</v>
          </cell>
          <cell r="B461" t="str">
            <v>FV9E50E0</v>
          </cell>
          <cell r="J461" t="str">
            <v>Утюг ULTIMATE POWER PRO, мощность 3200 / 85/300, AO, MicroCalc Filter,</v>
          </cell>
        </row>
        <row r="462">
          <cell r="A462">
            <v>1830008390</v>
          </cell>
          <cell r="B462" t="str">
            <v>SF8230F0</v>
          </cell>
          <cell r="J462" t="str">
            <v>Выпрямитель SF8230F0: Ультрагладкое лакированное покрытие пластин; Две плавающие 3D-пластины; Технология Thermocontrol обеспечивает полный контроль за температурой и максимально равномерный нагрев ; Универсальный выпрямитель также подходит для создания кудрей, причесок в стиле «Флип» и волн; Длинный шнур с поворотом на 360 градусов ; Быстрый нагрев за 25 секунд ; Ручной, легкий и компактный дизайн ;</v>
          </cell>
        </row>
        <row r="463">
          <cell r="A463">
            <v>1830007515</v>
          </cell>
          <cell r="B463" t="str">
            <v>SF8210F0</v>
          </cell>
          <cell r="J463" t="str">
            <v xml:space="preserve">Профессиональный Выпрямитель Ultimate Expirience: ультрагладкое лаковое покрытие; чип, позволяющий поддерживать выбранную температуру на постоянном уровне; сохранение 100% кератина в волосах (клинически доказано); LED экран: 120/140/160/180/200°C - выбор температуры; время нагрева 25 сек.; длина шнура 2,7м.; Произведено в Корее; </v>
          </cell>
        </row>
        <row r="464">
          <cell r="A464">
            <v>1830007185</v>
          </cell>
          <cell r="B464" t="str">
            <v>SF8220F0</v>
          </cell>
          <cell r="J464" t="str">
            <v xml:space="preserve">Профессиональный Выпрямитель Ultimate Expirience: широкие пластины(3х9см); ультрагладкое лаковое покрытие; чип, позволяющий поддерживать выбранную температуру на постоянном уровне; сохранение 100% кератина в волосах (клинически доказано); LED экран: 120/140/160/180/200°C - выбор температуры; время нагрева 25 сек.; длина шнура 2,7м.; Произведено в Корее; </v>
          </cell>
        </row>
        <row r="465">
          <cell r="A465">
            <v>1830009197</v>
          </cell>
          <cell r="B465" t="str">
            <v>SF8120F0</v>
          </cell>
          <cell r="J465" t="str">
            <v>Завивка и выпрямление, ионизация, керамическое покрытие</v>
          </cell>
        </row>
        <row r="466">
          <cell r="A466">
            <v>1830009342</v>
          </cell>
          <cell r="B466" t="str">
            <v>CV9920F3</v>
          </cell>
          <cell r="J466" t="str">
            <v>Air-to-care технология ионизации. BLDC мотор, футляр в комплекте</v>
          </cell>
        </row>
        <row r="467">
          <cell r="A467">
            <v>1830009344</v>
          </cell>
          <cell r="B467" t="str">
            <v>CV9910F3</v>
          </cell>
          <cell r="J467" t="str">
            <v>Air-to-care технология ионизации. BLDC мотор, футляр в комплекте</v>
          </cell>
        </row>
        <row r="468">
          <cell r="A468">
            <v>1830009007</v>
          </cell>
          <cell r="B468" t="str">
            <v>CV9910F0</v>
          </cell>
          <cell r="J468" t="str">
            <v>HD T-SHAPE MAESTRIA ULTIMATE EXPERIENCE</v>
          </cell>
        </row>
        <row r="469">
          <cell r="A469">
            <v>1830007626</v>
          </cell>
          <cell r="B469" t="str">
            <v>CV9820F0</v>
          </cell>
          <cell r="J469" t="str">
            <v xml:space="preserve">ROwenta Фен                             </v>
          </cell>
        </row>
        <row r="470">
          <cell r="A470">
            <v>1830009259</v>
          </cell>
          <cell r="B470" t="str">
            <v>HY8310F0</v>
          </cell>
          <cell r="J470" t="str">
            <v>MAESTRIA NANO (Компактный мощный фен с BLDC мотором)</v>
          </cell>
        </row>
        <row r="471">
          <cell r="A471">
            <v>1830009261</v>
          </cell>
          <cell r="B471" t="str">
            <v>HY8120F0</v>
          </cell>
          <cell r="J471" t="str">
            <v>MAESTRIA NANO (Компактный мощный фен с BLDC мотором)</v>
          </cell>
        </row>
        <row r="472">
          <cell r="A472">
            <v>1830009260</v>
          </cell>
          <cell r="B472" t="str">
            <v>HY8140F0</v>
          </cell>
          <cell r="J472" t="str">
            <v>MAESTRIA NANO (Компактный мощный фен с BLDC мотором)</v>
          </cell>
        </row>
        <row r="473">
          <cell r="A473">
            <v>1830008888</v>
          </cell>
          <cell r="B473" t="str">
            <v>CF9940F0</v>
          </cell>
          <cell r="J473" t="str">
            <v>STEAM BRUSH HAIR THERAPIST</v>
          </cell>
        </row>
        <row r="474">
          <cell r="A474">
            <v>1830009371</v>
          </cell>
          <cell r="B474" t="str">
            <v>CF4620E0</v>
          </cell>
        </row>
        <row r="475">
          <cell r="A475">
            <v>1830007933</v>
          </cell>
          <cell r="B475" t="str">
            <v>CF4310F0</v>
          </cell>
          <cell r="J475" t="str">
            <v>ULTIMATE EXPERIENCE</v>
          </cell>
        </row>
        <row r="476">
          <cell r="A476">
            <v>8910000017</v>
          </cell>
          <cell r="B476" t="str">
            <v>1790556030</v>
          </cell>
          <cell r="J476" t="str">
            <v>Набор кастрюль Ultimate COOL+ 5 пр.</v>
          </cell>
        </row>
        <row r="477">
          <cell r="A477">
            <v>8910000010</v>
          </cell>
          <cell r="B477" t="str">
            <v>1795206030</v>
          </cell>
          <cell r="J477" t="str">
            <v>Высокая кастрюля Ultimate COOL+ 20 см</v>
          </cell>
        </row>
        <row r="478">
          <cell r="A478">
            <v>8910000011</v>
          </cell>
          <cell r="B478" t="str">
            <v>1795246030</v>
          </cell>
          <cell r="J478" t="str">
            <v>Высокая кастрюля Ultimate COOL+ 24 см</v>
          </cell>
        </row>
        <row r="479">
          <cell r="A479">
            <v>8910000015</v>
          </cell>
          <cell r="B479" t="str">
            <v>1798166030</v>
          </cell>
          <cell r="J479" t="str">
            <v>Ultimate COOL+ 16 см с крышкой</v>
          </cell>
        </row>
        <row r="480">
          <cell r="A480">
            <v>1830007082</v>
          </cell>
          <cell r="B480" t="str">
            <v>FV9834E0</v>
          </cell>
          <cell r="J480" t="str">
            <v>УТЮГ ULTIMATE PURE, 3000 ВТ, ПАРОВОЙ УДАР 240 Г/МИН, РЕГУЛИРУЕМЫЙ ПАР 0-55 Г/МИН, ФИЛЬТР ОЧИСТКИ ПАРА,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81">
          <cell r="A481">
            <v>1830007088</v>
          </cell>
          <cell r="B481" t="str">
            <v>FV9835E0</v>
          </cell>
          <cell r="J481" t="str">
            <v>УТЮГ ULTIMATE PURE, 3000 ВТ, ПАРОВОЙ УДАР 240 Г/МИН, РЕГУЛИРУЕМЫЙ ПАР 0-55 Г/МИН, ФИЛЬТР ОЧИСТКИ ПАРА,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82">
          <cell r="A482">
            <v>1830007142</v>
          </cell>
          <cell r="B482" t="str">
            <v>FV9837E0</v>
          </cell>
          <cell r="J482" t="str">
            <v>УТЮГ ULTIMATE PURE, 3000 ВТ, ПАРОВОЙ УДАР 250 Г/МИН, РЕГУЛИРУЕМЫЙ ПАР 0-55 Г/МИН, ФИЛЬТР ОЧИСТКИ ПАРА,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83">
          <cell r="A483">
            <v>1830006927</v>
          </cell>
          <cell r="B483" t="str">
            <v>FV9845E0</v>
          </cell>
          <cell r="J483" t="str">
            <v>STEAM IRON ULTIMATE ANTI-CALC</v>
          </cell>
        </row>
        <row r="484">
          <cell r="A484">
            <v>1830007152</v>
          </cell>
          <cell r="B484" t="str">
            <v>FV9848E0</v>
          </cell>
          <cell r="J484" t="str">
            <v>STEAM IRONS ULTIMATE 3</v>
          </cell>
        </row>
        <row r="485">
          <cell r="A485">
            <v>1830007145</v>
          </cell>
          <cell r="B485" t="str">
            <v>FV9865E0</v>
          </cell>
          <cell r="J485" t="str">
            <v>УТЮГ ULTIMATE PURE, 3000 ВТ, ПАРОВОЙ УДАР 260 Г/МИН, РЕГУЛИРУЕМЫЙ ПАР 0-60 Г/МИН, ФИЛЬТР ОЧИСТКИ ПАРА,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НАСАДКА ДЛЯ ДЕЛИКАТНЫХ ТКАНЕЙ,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86">
          <cell r="A486">
            <v>1830007146</v>
          </cell>
          <cell r="B486" t="str">
            <v>FV9867E0</v>
          </cell>
          <cell r="J486" t="str">
            <v>УТЮГ ULTIMATE PURE, 3000 ВТ, ПАРОВОЙ УДАР 260 Г/МИН, РЕГУЛИРУЕМЫЙ ПАР 0-60 Г/МИН, ФИЛЬТР ОЧИСТКИ ПАРА,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НАСАДКА ДЛЯ ДЕЛИКАТНЫХ ТКАНЕЙ,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87">
          <cell r="A487">
            <v>1830006300</v>
          </cell>
          <cell r="B487" t="str">
            <v>FV9727E0</v>
          </cell>
          <cell r="J487" t="str">
            <v>УТЮГ ULTIMATE ANTI-CALC, 2800 ВТ, ПАРОВОЙ УДАР 220 Г/МИН, РЕГУЛИРУЕМЫЙ ПАР 0-55 Г/МИН, СТЕРЖЕНЬ-КОЛЛЕКТОР ДЛЯ СБОРА НАКИПИ, АВТООТКЛЮЧЕНИЕ, ПОДОШВА DURILIUM, ИНТЕГРИРОВАННАЯ ЗАЩИТА ОТ НАКИПИ, СИСТЕМА EASYCORD - ШНУР НЕ СМИНАЕТ ТКАНЬ,  ВЕРТИКАЛЬНЫЙ ПАР, БОЛЬШОЕ ОТВЕРСТИЕ ДЛЯ ЗАЛИВА ВОДЫ, СПРЕЙ, РЕЗЕРВУАР ДЛЯ ВОДЫ 300 МЛ,  УСТОЙЧИВАЯ ОТКРЫТАЯ ПЯТКА УТЮГА, САМООЧИСТКА, СДЕЛАНО ВО ФРАНЦИИ</v>
          </cell>
        </row>
        <row r="488">
          <cell r="A488">
            <v>1830006037</v>
          </cell>
          <cell r="B488" t="str">
            <v>FV9736E0</v>
          </cell>
          <cell r="J488" t="str">
            <v>УТЮГ ULTIMATE ANTI-CALC, 2800 ВТ, ПАРОВОЙ УДАР 220 Г/МИН, РЕГУЛИРУЕМЫЙ ПАР 0-55 Г/МИН, СТЕРЖЕНЬ-КОЛЛЕКТОР ДЛЯ СБОРА НАКИПИ, АВТООТКЛЮЧЕНИЕ, САМООЧИЩАЮЩАЯСЯ ПОДОШВА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300 МЛ,  УСТОЙЧИВАЯ ОТКРЫТАЯ ПЯТКА УТЮГА, САМООЧИСТКА, СДЕЛАНО ВО ФРАНЦИИ</v>
          </cell>
        </row>
        <row r="489">
          <cell r="A489">
            <v>1830006128</v>
          </cell>
          <cell r="B489" t="str">
            <v>FV9747E0</v>
          </cell>
          <cell r="J489" t="str">
            <v>УТЮГ ULTIMATE ANTI-CALC, 2800 ВТ, ПАРОВОЙ УДАР 230 Г/МИН, РЕГУЛИРУЕМЫЙ ПАР 0-55 Г/МИН, СТЕРЖЕНЬ-КОЛЛЕКТОР ДЛЯ СБОРА НАКИПИ, АВТООТКЛЮЧЕНИЕ, САМООЧИЩАЮЩАЯСЯ ПОДОШВА AUTOCLEAN, НАСАДКА ДЛЯ ДЕЛИКАТНЫХ ТКАНЕЙ, ИНТЕГРИРОВАННАЯ ЗАЩИТА ОТ НАКИПИ, СИСТЕМА EASYCORD - ШНУР НЕ СМИНАЕТ ТКАНЬ,  ВЕРТИКАЛЬНЫЙ ПАР, БОЛЬШОЕ ОТВЕРСТИЕ ДЛЯ ЗАЛИВА ВОДЫ, СПРЕЙ, РЕЗЕРВУАР ДЛЯ ВОДЫ 300 МЛ,  УСТОЙЧИВАЯ ОТКРЫТАЯ ПЯТКА УТЮГА, САМООЧИСТКА, СДЕЛАНО ВО ФРАНЦИИ</v>
          </cell>
        </row>
        <row r="490">
          <cell r="A490">
            <v>1830006550</v>
          </cell>
          <cell r="B490" t="str">
            <v>FV9775E0</v>
          </cell>
          <cell r="J490" t="str">
            <v>УТЮГ ULTIMATE ANTI-CALC, 3000 ВТ, ПАРОВОЙ УДАР 220 Г/МИН, РЕГУЛИРУЕМЫЙ ПАР 0-55 Г/МИН, КОЛЛЕКТОР ДЛЯ СБОРА НАКИПИ,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91">
          <cell r="A491">
            <v>1830006563</v>
          </cell>
          <cell r="B491" t="str">
            <v>FV9776E0</v>
          </cell>
          <cell r="J491" t="str">
            <v>УТЮГ ULTIMATE ANTI-CALC, 3000 ВТ, ПАРОВОЙ УДАР 230 Г/МИН, РЕГУЛИРУЕМЫЙ ПАР 0-55 Г/МИН, КОЛЛЕКТОР ДЛЯ СБОРА НАКИПИ,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92">
          <cell r="A492">
            <v>1830006517</v>
          </cell>
          <cell r="B492" t="str">
            <v>FV9785E0</v>
          </cell>
          <cell r="J492" t="str">
            <v>УТЮГ ULTIMATE ANTI-CALC, 3000 ВТ, ПАРОВОЙ УДАР 230 Г/МИН, РЕГУЛИРУЕМЫЙ ПАР 0-55 Г/МИН, КОЛЛЕКТОР ДЛЯ СБОРА НАКИПИ, НАСАДКА ДЛЯ ДЕЛИКАТНЫХ ТКАНЕЙ,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93">
          <cell r="A493">
            <v>1830006518</v>
          </cell>
          <cell r="B493" t="str">
            <v>FV9787E0</v>
          </cell>
          <cell r="J493" t="str">
            <v>УТЮГ ULTIMATE ANTI-CALC, 3000 ВТ, ПАРОВОЙ УДАР 230 Г/МИН, РЕГУЛИРУЕМЫЙ ПАР 0-55 Г/МИН, КОЛЛЕКТОР ДЛЯ СБОРА НАКИПИ, НАСАДКА ДЛЯ ДЕЛИКАТНЫХ ТКАНЕЙ, АВТООТКЛЮЧЕНИЕ, ПРОТИВОКАПЕЛЬНАЯ ФУНКЦИЯ, АВТОНАСТРОЙКА МОЩНОСТИ ПАРА В ЗАВИСИМОСТИ ОТ ВЫБРАННОГО ТЕМПЕРАТУРНОГО РЕЖИМА, ЛУЧШАЯ ПОДОШВА TEFAL C САМООЧИСТКОЙ DURILIUM AIRGLIDE AUTOCLEAN, ИНТЕГРИРОВАННАЯ ЗАЩИТА ОТ НАКИПИ, СИСТЕМА EASYCORD - ШНУР НЕ СМИНАЕТ ТКАНЬ,  ВЕРТИКАЛЬНЫЙ ПАР, БОЛЬШОЕ ОТВЕРСТИЕ ДЛЯ ЗАЛИВА ВОДЫ, СПРЕЙ, РЕЗЕРВУАР ДЛЯ ВОДЫ 350 МЛ,  УСТОЙЧИВАЯ ОТКРЫТАЯ ПЯТКА УТЮГА, САМООЧИСТКА, СДЕЛАНО ВО ФРАНЦИИ</v>
          </cell>
        </row>
        <row r="494">
          <cell r="A494">
            <v>2100123788</v>
          </cell>
          <cell r="B494" t="str">
            <v>K2643074</v>
          </cell>
          <cell r="J494" t="str">
            <v>Овощечистка Ultimate</v>
          </cell>
        </row>
        <row r="495">
          <cell r="A495">
            <v>2100122983</v>
          </cell>
          <cell r="B495" t="str">
            <v>K1700274</v>
          </cell>
          <cell r="J495" t="str">
            <v>Шеф-нож Ultimate 20CM</v>
          </cell>
        </row>
        <row r="496">
          <cell r="A496">
            <v>2100122979</v>
          </cell>
          <cell r="B496" t="str">
            <v>K1701274</v>
          </cell>
          <cell r="J496" t="str">
            <v xml:space="preserve">Нож универсальный Ultimate 20CM </v>
          </cell>
        </row>
        <row r="497">
          <cell r="A497">
            <v>2100122985</v>
          </cell>
          <cell r="B497" t="str">
            <v>K1700674</v>
          </cell>
          <cell r="J497" t="str">
            <v>Нож сантоку Ultimate 18CM</v>
          </cell>
        </row>
        <row r="498">
          <cell r="A498">
            <v>2100122980</v>
          </cell>
          <cell r="B498" t="str">
            <v>K1701174</v>
          </cell>
          <cell r="J498" t="str">
            <v xml:space="preserve">Нож для овощей Ultimate 8CM </v>
          </cell>
        </row>
        <row r="499">
          <cell r="A499">
            <v>2100122984</v>
          </cell>
          <cell r="B499" t="str">
            <v>K1700574</v>
          </cell>
          <cell r="J499" t="str">
            <v xml:space="preserve">Нож универсальный Ultimate 12CM </v>
          </cell>
        </row>
        <row r="500">
          <cell r="A500">
            <v>2100123023</v>
          </cell>
          <cell r="B500" t="str">
            <v>K2640574</v>
          </cell>
          <cell r="J500" t="str">
            <v>Точилка для ножей TEFAL</v>
          </cell>
        </row>
        <row r="501">
          <cell r="A501">
            <v>2100123735</v>
          </cell>
          <cell r="B501" t="str">
            <v>K1701374</v>
          </cell>
          <cell r="J501" t="str">
            <v>Кухонные ножницы TEFAL</v>
          </cell>
        </row>
        <row r="502">
          <cell r="A502">
            <v>3100513441</v>
          </cell>
          <cell r="B502">
            <v>513441</v>
          </cell>
          <cell r="J502" t="str">
            <v>Аксесс.кухонные TURBOLINE Сушилка для салата 4,5л нерж сталь</v>
          </cell>
        </row>
        <row r="503">
          <cell r="A503">
            <v>1830008190</v>
          </cell>
          <cell r="B503" t="str">
            <v>VF5880F0</v>
          </cell>
          <cell r="J503" t="str">
            <v>Вентилятор TURBO SILENCE EXTREME</v>
          </cell>
        </row>
        <row r="504">
          <cell r="A504">
            <v>1830008158</v>
          </cell>
          <cell r="B504" t="str">
            <v>VF5870F0</v>
          </cell>
          <cell r="J504" t="str">
            <v>Вентилятор TURBO SILENCE EXTREME</v>
          </cell>
        </row>
        <row r="505">
          <cell r="A505">
            <v>1830007692</v>
          </cell>
          <cell r="B505" t="str">
            <v>VF5770F0</v>
          </cell>
          <cell r="J505" t="str">
            <v>TURBO SILENCE EXTREME (replaces VF5670)</v>
          </cell>
        </row>
        <row r="506">
          <cell r="A506">
            <v>1830008612</v>
          </cell>
          <cell r="B506" t="str">
            <v>VF5640F2</v>
          </cell>
          <cell r="J506" t="str">
            <v>TURBO SILENCE VF5640</v>
          </cell>
        </row>
        <row r="507">
          <cell r="A507">
            <v>1830006377</v>
          </cell>
          <cell r="B507" t="str">
            <v>VF5670F0</v>
          </cell>
          <cell r="J507" t="str">
            <v>VF5670F0 Вентилятор</v>
          </cell>
        </row>
        <row r="508">
          <cell r="A508">
            <v>1830007486</v>
          </cell>
          <cell r="B508" t="str">
            <v>FV5603E0</v>
          </cell>
          <cell r="J508" t="str">
            <v>УТЮГ TURBO PRO, 2600 ВТ, ФИРМЕННАЯ ПОДОШВА AUTOCLEAN AIRGLIDE, РЕГУЛИРУЕМЫЙ ПАР ДО 50 Г/МИН, ПАРОВОЙ УДАР ДО 190 Г/МИН, ПРОТИВОКАПЕЛЬНАЯ СИСТЕМА, ВЕРТИКАЛЬНЫЙ ПАР, АВТОМАТИЧЕСКАЯ НАСТРОЙКА ПАРА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09">
          <cell r="A509">
            <v>1830006258</v>
          </cell>
          <cell r="B509" t="str">
            <v>FV5615E0</v>
          </cell>
          <cell r="J509" t="str">
            <v>УТЮГ TURBO PRO, 2600 ВТ, ФИРМЕННАЯ ПОДОШВА AUTOCLEAN AIRGLIDE, РЕГУЛИРУЕМЫЙ ПАР 0-50 Г/МИН, ПАРОВОЙ УДАР 200 Г/МИН, ПРОТИВОКАПЕЛЬНАЯ СИСТЕМА, АВТООТКЛЮЧЕНИЕ,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0">
          <cell r="A510">
            <v>1830006436</v>
          </cell>
          <cell r="B510" t="str">
            <v>FV5625E0</v>
          </cell>
          <cell r="J510" t="str">
            <v>УТЮГ TURBO PRO</v>
          </cell>
        </row>
        <row r="511">
          <cell r="A511">
            <v>1830006257</v>
          </cell>
          <cell r="B511" t="str">
            <v>FV5630E0</v>
          </cell>
          <cell r="J511" t="str">
            <v>УТЮГ TURBO PRO, 2600 ВТ, ФИРМЕННАЯ ПОДОШВА AUTOCLEAN AIRGLIDE, РЕГУЛИРУЕМЫЙ ПАР 0-50 Г/МИН, ПАРОВОЙ УДАР 200 Г/МИН, КОЛЛЕКТОР ДЛЯ СБОРА НАКИПИ, ПРОТИВОКАПЕЛЬНАЯ СИСТЕМА,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2">
          <cell r="A512">
            <v>1830006311</v>
          </cell>
          <cell r="B512" t="str">
            <v>FV5635E0</v>
          </cell>
          <cell r="J512" t="str">
            <v>УТЮГ TURBO PRO, 2600 ВТ, ФИРМЕННАЯ ПОДОШВА AUTOCLEAN AIRGLIDE, РЕГУЛИРУЕМЫЙ ПАР 0-50 Г/МИН, ПАРОВОЙ УДАР 200 Г/МИН, КОЛЛЕКТОР ДЛЯ СБОРА НАКИПИ, ПРОТИВОКАПЕЛЬНАЯ СИСТЕМА, АВТООТКЛЮЧЕНИЕ,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3">
          <cell r="A513">
            <v>1830006359</v>
          </cell>
          <cell r="B513" t="str">
            <v>FV5640E0</v>
          </cell>
          <cell r="J513" t="str">
            <v>УТЮГ TURBO PRO, 2600 ВТ, ФИРМЕННАЯ ПОДОШВА AUTOCLEAN AIRGLIDE, РЕГУЛИРУЕМЫЙ ПАР ДО 50 Г/МИН, ПАРОВОЙ УДАР ДО 210 Г/МИН, ПРОТИВОКАПЕЛЬНАЯ СИСТЕМА, ЭКСКЛЮЗИВНЫЙ КОЛЛЕКТОР ДЛЯ СБОРА НАКИПИ, ВЕРТИКАЛЬНЫЙ ПАР, АВТОМАТИЧЕСКАЯ НАСТРОЙКА ПАРА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4">
          <cell r="A514">
            <v>1830006356</v>
          </cell>
          <cell r="B514" t="str">
            <v>FV5648E0</v>
          </cell>
          <cell r="J514" t="str">
            <v>УТЮГ TURBO PRO, 2600 ВТ, ФИРМЕННАЯ ПОДОШВА AUTOCLEAN AIRGLIDE, РЕГУЛИРУЕМЫЙ ПАР 0-50 Г/МИН, ПАРОВОЙ УДАР 220 Г/МИН, КОЛЛЕКТОР ДЛЯ СБОРА НАКИПИ, ПРОТИВОКАПЕЛЬНАЯ СИСТЕМА, АВТООТКЛЮЧЕНИЕ,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5">
          <cell r="A515">
            <v>1830006561</v>
          </cell>
          <cell r="B515" t="str">
            <v>FV5654E0</v>
          </cell>
          <cell r="J515" t="str">
            <v>УТЮГ TURBO PRO, 2600 ВТ, ФИРМЕННАЯ ПОДОШВА AUTOCLEAN AIRGLIDE, РЕГУЛИРУЕМЫЙ ПАР 0-50 Г/МИН, ПАРОВОЙ УДАР 210 Г/МИН, НАСАДКА ДЛЯ ДЕЛИКАТНЫХ ТКАНЕЙ, КОЛЛЕКТОР ДЛЯ СБОРА НАКИПИ, ПРОТИВОКАПЕЛЬНАЯ СИСТЕМА, АВТООТКЛЮЧЕНИЕ,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6">
          <cell r="A516">
            <v>1830006435</v>
          </cell>
          <cell r="B516" t="str">
            <v>FV5655E0</v>
          </cell>
          <cell r="J516" t="str">
            <v>УТЮГ TURBO PRO, 2600 ВТ, ФИРМЕННАЯ ПОДОШВА AUTOCLEAN AIRGLIDE, РЕГУЛИРУЕМЫЙ ПАР 0-50 Г/МИН, ПАРОВОЙ УДАР 220 Г/МИН, НАСАДКА ДЛЯ ДЕЛИКАТНЫХ ТКАНЕЙ, КОЛЛЕКТОР ДЛЯ СБОРА НАКИПИ, ПРОТИВОКАПЕЛЬНАЯ СИСТЕМА, АВТООТКЛЮЧЕНИЕ, ВЕРТИКАЛЬНЫЙ ПАР, АВТОМАТИЧЕСКАЯ НАСТРОЙКА  В ЗАВИСИМОСТИ ОТ ВЫБРАННОГО ТЕМПЕРАТУРНОГО РЕЖИМА, РЕЗЕРВУАР ДЛЯ ВОДЫ 300 МЛ,  ИНТЕГРИРОВАННАЯ ЗАЩИТА ОТ НАКИПИ ANTI SCALE SYSTEM, ЭКО ФУНКЦИЯ, САМООЧИСТКА, ПРОТИВОИЗВЕСТКОВЫЙ СТЕРЖЕНЬ, СПРЕЙ, УСТОЙЧИВАЯ ОТКРЫТАЯ ПЯТКА УТЮГА, СДЕЛАНО ВО ФРАНЦИИ</v>
          </cell>
        </row>
        <row r="517">
          <cell r="A517">
            <v>1830007590</v>
          </cell>
          <cell r="B517" t="str">
            <v>FV5687E0</v>
          </cell>
          <cell r="J517" t="str">
            <v>УТЮГ EASYGLISS, 2800 ВТ, ПОДОШВА DURILIUM AIRGLIDE AUTOCLEAN,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КОЛЛЕКТОР ДЛЯ СБОРА НАКИПИ, СПРЕЙ, ЦВЕТ БЕЛЫЙ/ЗОЛОТОЙ</v>
          </cell>
        </row>
        <row r="518">
          <cell r="A518">
            <v>1830007084</v>
          </cell>
          <cell r="B518" t="str">
            <v>FV5688E0</v>
          </cell>
          <cell r="J518" t="str">
            <v>УТЮГ EASYGLISS, 2800 ВТ, ПОДОШВА DURILIUM AIRGLIDE AUTOCLEAN,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КОЛЛЕКТОР ДЛЯ СБОРА НАКИПИ, СПРЕЙ, ЦВЕТ БЕЛЫЙ/ЗОЛОТОЙ</v>
          </cell>
        </row>
        <row r="519">
          <cell r="A519">
            <v>1830007591</v>
          </cell>
          <cell r="B519" t="str">
            <v>FV5689E0</v>
          </cell>
          <cell r="J519" t="str">
            <v>УТЮГ EASYGLISS, 2800 ВТ, ПОДОШВА DURILIUM AIRGLIDE AUTOCLEAN,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КОЛЛЕКТОР ДЛЯ СБОРА НАКИПИ, СПРЕЙ, ЦВЕТ БЕЛЫЙ/ГОЛУБОЙ</v>
          </cell>
        </row>
        <row r="520">
          <cell r="A520">
            <v>1830007642</v>
          </cell>
          <cell r="B520" t="str">
            <v>FV5695E1</v>
          </cell>
          <cell r="J520" t="str">
            <v>УТЮГ TURBOPRO ANTI-CALC 3000W, 3000 ВТ, ФИРМЕННАЯ ПОДОШВА DURILIUM AIRGLIDE AUTOCLEAN, РЕГУЛИРУЕМЫЙ ПАР 0-50 Г/МИН, ПАРОВОЙ УДАР 270 Г/МИН, АВТООТКЛЮЧЕНИЕ, КОЛЛЕКТОР ДЛЯ СБОРА НАКИПИ, ПРОТИВОКАПЕЛЬНАЯ СИСТЕМА, ВЕРТИКАЛЬНЫЙ ПАР, РЕЗЕРВУАР ДЛЯ ВОДЫ 300 МЛ,  ИНТЕГРИРОВАННАЯ ЗАЩИТА ОТ НАКИПИ ANTI SCALE SYSTEM, ЭКО-РЕЖИМ, САМООЧИСТКА, ПРОТИВОИЗВЕСТКОВЫЙ СТЕРЖЕНЬ, СПРЕЙ, УСТОЙЧИВАЯ ОТКРЫТАЯ ПЯТКА УТЮГА, ДЛИНА ШНУРА ПИТАНИЯ 2 МЕТРА,  СДЕЛАНО ВО ФРАНЦИИ</v>
          </cell>
        </row>
        <row r="521">
          <cell r="A521">
            <v>1830007643</v>
          </cell>
          <cell r="B521" t="str">
            <v>FV5696E0</v>
          </cell>
          <cell r="J521" t="str">
            <v>УТЮГ TURBOPRO ANTI-CALC 3000W, 3000 ВТ, ФИРМЕННАЯ ПОДОШВА DURILIUM AIRGLIDE AUTOCLEAN, РЕГУЛИРУЕМЫЙ ПАР 0-50 Г/МИН, ПАРОВОЙ УДАР 270 Г/МИН, АВТООТКЛЮЧЕНИЕ, КОЛЛЕКТОР ДЛЯ СБОРА НАКИПИ, ПРОТИВОКАПЕЛЬНАЯ СИСТЕМА, ВЕРТИКАЛЬНЫЙ ПАР, РЕЗЕРВУАР ДЛЯ ВОДЫ 300 МЛ,  ИНТЕГРИРОВАННАЯ ЗАЩИТА ОТ НАКИПИ ANTI SCALE SYSTEM, ЭКО-РЕЖИМ, САМООЧИСТКА, ПРОТИВОИЗВЕСТКОВЫЙ СТЕРЖЕНЬ, СПРЕЙ, УСТОЙЧИВАЯ ОТКРЫТАЯ ПЯТКА УТЮГА, ДЛИНА ШНУРА ПИТАНИЯ 2 МЕТРА,  СДЕЛАНО ВО ФРАНЦИИ</v>
          </cell>
        </row>
        <row r="522">
          <cell r="A522">
            <v>1830007645</v>
          </cell>
          <cell r="B522" t="str">
            <v>FV5697E1</v>
          </cell>
          <cell r="J522" t="str">
            <v>УТЮГ TURBOPRO ANTI-CALC 3000W, 3000 ВТ, ФИРМЕННАЯ ПОДОШВА DURILIUM AIRGLIDE AUTOCLEAN, РЕГУЛИРУЕМЫЙ ПАР 0-50 Г/МИН, ПАРОВОЙ УДАР 270 Г/МИН, АВТООТКЛЮЧЕНИЕ, КОЛЛЕКТОР ДЛЯ СБОРА НАКИПИ, ПРОТИВОКАПЕЛЬНАЯ СИСТЕМА, ВЕРТИКАЛЬНЫЙ ПАР, РЕЗЕРВУАР ДЛЯ ВОДЫ 300 МЛ,  ИНТЕГРИРОВАННАЯ ЗАЩИТА ОТ НАКИПИ ANTI SCALE SYSTEM, ЭКО-РЕЖИМ, САМООЧИСТКА, ПРОТИВОИЗВЕСТКОВЫЙ СТЕРЖЕНЬ, СПРЕЙ, УСТОЙЧИВАЯ ОТКРЫТАЯ ПЯТКА УТЮГА, ДЛИНА ШНУРА ПИТАНИЯ 2 МЕТРА,  СДЕЛАНО ВО ФРАНЦИИ</v>
          </cell>
        </row>
        <row r="523">
          <cell r="A523">
            <v>1830008172</v>
          </cell>
          <cell r="B523" t="str">
            <v>FV5698E0</v>
          </cell>
          <cell r="J523" t="str">
            <v>УТЮГ TURBOPRO ANTI-CALC 3000W, 3000 ВТ, ФИРМЕННАЯ ПОДОШВА DURILIUM AIRGLIDE AUTOCLEAN, РЕГУЛИРУЕМЫЙ ПАР 0-50 Г/МИН, ПАРОВОЙ УДАР 270 Г/МИН, АВТООТКЛЮЧЕНИЕ, КОЛЛЕКТОР ДЛЯ СБОРА НАКИПИ, ПРОТИВОКАПЕЛЬНАЯ СИСТЕМА, ВЕРТИКАЛЬНЫЙ ПАР, РЕЗЕРВУАР ДЛЯ ВОДЫ 300 МЛ,  ИНТЕГРИРОВАННАЯ ЗАЩИТА ОТ НАКИПИ ANTI SCALE SYSTEM, ЭКО-РЕЖИМ, САМООЧИСТКА, ПРОТИВОИЗВЕСТКОВЫЙ СТЕРЖЕНЬ, СПРЕЙ, УСТОЙЧИВАЯ ОТКРЫТАЯ ПЯТКА УТЮГА, ДЛИНА ШНУРА ПИТАНИЯ 2 МЕТРА,  СДЕЛАНО ВО ФРАНЦИИ</v>
          </cell>
        </row>
        <row r="524">
          <cell r="A524">
            <v>1830008169</v>
          </cell>
          <cell r="B524" t="str">
            <v>FV5699E0</v>
          </cell>
          <cell r="J524" t="str">
            <v>УТЮГ TURBOPRO ANTI-CALC 3000W, 3000 ВТ, ФИРМЕННАЯ ПОДОШВА DURILIUM AIRGLIDE AUTOCLEAN, РЕГУЛИРУЕМЫЙ ПАР 0-50 Г/МИН, ПАРОВОЙ УДАР 270 Г/МИН, АВТООТКЛЮЧЕНИЕ, КОЛЛЕКТОР ДЛЯ СБОРА НАКИПИ, ПРОТИВОКАПЕЛЬНАЯ СИСТЕМА, ВЕРТИКАЛЬНЫЙ ПАР, РЕЗЕРВУАР ДЛЯ ВОДЫ 300 МЛ,  ИНТЕГРИРОВАННАЯ ЗАЩИТА ОТ НАКИПИ ANTI SCALE SYSTEM, ЭКО-РЕЖИМ, САМООЧИСТКА, ПРОТИВОИЗВЕСТКОВЫЙ СТЕРЖЕНЬ, СПРЕЙ, УСТОЙЧИВАЯ ОТКРЫТАЯ ПЯТКА УТЮГА, ДЛИНА ШНУРА ПИТАНИЯ 2 МЕТРА,  СДЕЛАНО ВО ФРАНЦИИ</v>
          </cell>
        </row>
        <row r="525">
          <cell r="A525">
            <v>1830008286</v>
          </cell>
          <cell r="B525" t="str">
            <v>CV9920F0</v>
          </cell>
          <cell r="J525" t="str">
            <v>Премиальный фен Rowenta Ultimate Experience Maestria-Сочетание мощного цифрового мотора и тонкого концентратора 5 мм создает направленный поток воздуха для идеальной укладки без усилий. Скорость потока воздуха 180 км/ч. Стильный легкий корпус делает сушку волос невероятно комфортной, а двойная ионизация Air-To-Care придаст волосам непривзойденное сияние. В комплекте диффузор, 2 концентратора.</v>
          </cell>
        </row>
        <row r="526">
          <cell r="A526">
            <v>1830009103</v>
          </cell>
          <cell r="B526" t="str">
            <v>SF4641F0</v>
          </cell>
          <cell r="J526" t="str">
            <v>8 встроенных температурных режимов, гладкое керамическое покрытие для безупречного скольжения и ионизация</v>
          </cell>
        </row>
        <row r="527">
          <cell r="A527">
            <v>1830009112</v>
          </cell>
          <cell r="B527" t="str">
            <v>CV8861F0</v>
          </cell>
          <cell r="J527" t="str">
            <v xml:space="preserve">Фен Rowenta Pro Expert, Мощный АС мотор профессионального
уровня 2200 Вт
Благодаря передовым технологиям профессиональное качество
сушки стало доступным прямо у вас дома. Фен Pro Expert от
Rowenta обеспечивает превосходный результат сушки и укладки
благодаря мощному и надежному АС мотору профессионального
уровня. </v>
          </cell>
        </row>
        <row r="528">
          <cell r="A528">
            <v>7211001545</v>
          </cell>
          <cell r="B528" t="str">
            <v>KO120B30</v>
          </cell>
          <cell r="J528" t="str">
            <v>Чайник Travel-o-city, 0,4л, 650 Вт, переключение 220/110 В, скрытый нагревательный элемент, цвет- серый</v>
          </cell>
        </row>
        <row r="529">
          <cell r="A529">
            <v>7211001544</v>
          </cell>
          <cell r="B529" t="str">
            <v>KO120130</v>
          </cell>
          <cell r="J529" t="str">
            <v xml:space="preserve">Чайник Travel-o-city, 0,4л, 650 Вт, переключение 220/110 В, скрытый нагревательный элемент, цвет- бело-бежевый  </v>
          </cell>
        </row>
        <row r="530">
          <cell r="A530">
            <v>3100515682</v>
          </cell>
          <cell r="B530">
            <v>515682</v>
          </cell>
          <cell r="J530" t="str">
            <v>Термокружка TRAVEL MUG GRANDE 0,5 л белая</v>
          </cell>
        </row>
        <row r="531">
          <cell r="A531">
            <v>3100515618</v>
          </cell>
          <cell r="B531">
            <v>515618</v>
          </cell>
          <cell r="J531" t="str">
            <v>Термокружка TRAVEL MUG GRANDE 0.5л синяя</v>
          </cell>
        </row>
        <row r="532">
          <cell r="A532">
            <v>3100515617</v>
          </cell>
          <cell r="B532">
            <v>515617</v>
          </cell>
          <cell r="J532" t="str">
            <v>Термокружка TRAVEL MUG GRANDE 0.5л красная</v>
          </cell>
        </row>
        <row r="533">
          <cell r="A533">
            <v>3100515616</v>
          </cell>
          <cell r="B533">
            <v>515616</v>
          </cell>
          <cell r="J533" t="str">
            <v>Термокружка TRAVEL MUG GRANDE 0.5л коричневая</v>
          </cell>
        </row>
        <row r="534">
          <cell r="A534">
            <v>3100515615</v>
          </cell>
          <cell r="B534">
            <v>515615</v>
          </cell>
          <cell r="J534" t="str">
            <v>Термокружка TRAVEL MUG GRANDE 0.5л черная</v>
          </cell>
        </row>
        <row r="535">
          <cell r="A535">
            <v>3100515614</v>
          </cell>
          <cell r="B535">
            <v>515614</v>
          </cell>
          <cell r="J535" t="str">
            <v>Термокружка TRAVEL MUG GRANDE 0.5л нержавеющая сталь</v>
          </cell>
        </row>
        <row r="536">
          <cell r="A536">
            <v>3100515108</v>
          </cell>
          <cell r="B536">
            <v>515108</v>
          </cell>
          <cell r="J536" t="str">
            <v>Термокружка  TRAVEL MUG 0.36л белая</v>
          </cell>
        </row>
        <row r="537">
          <cell r="A537">
            <v>3100513552</v>
          </cell>
          <cell r="B537">
            <v>513552</v>
          </cell>
          <cell r="J537" t="str">
            <v>Термокружка TRAVEL MUG 0,36л голуб</v>
          </cell>
        </row>
        <row r="538">
          <cell r="A538">
            <v>3100513550</v>
          </cell>
          <cell r="B538">
            <v>513550</v>
          </cell>
          <cell r="J538" t="str">
            <v>Термокружка  TRAVEL MUG 0.36л розовая</v>
          </cell>
        </row>
        <row r="539">
          <cell r="A539">
            <v>3100513548</v>
          </cell>
          <cell r="B539">
            <v>513548</v>
          </cell>
          <cell r="J539" t="str">
            <v>Термокружка TRAVEL MUG 0,36л зел</v>
          </cell>
        </row>
        <row r="540">
          <cell r="A540">
            <v>3100513361</v>
          </cell>
          <cell r="B540">
            <v>513361</v>
          </cell>
          <cell r="J540" t="str">
            <v>Термокружка TRAVEL MUG 0,36л черн</v>
          </cell>
        </row>
        <row r="541">
          <cell r="A541">
            <v>3100513360</v>
          </cell>
          <cell r="B541">
            <v>513360</v>
          </cell>
          <cell r="J541" t="str">
            <v>Термокружка  TRAVEL MUG 0.36л коричневая</v>
          </cell>
        </row>
        <row r="542">
          <cell r="A542">
            <v>3100513359</v>
          </cell>
          <cell r="B542">
            <v>513359</v>
          </cell>
          <cell r="J542" t="str">
            <v>Термокружка TRAVEL MUG 0,36л фиол</v>
          </cell>
        </row>
        <row r="543">
          <cell r="A543">
            <v>3100513357</v>
          </cell>
          <cell r="B543">
            <v>513357</v>
          </cell>
          <cell r="J543" t="str">
            <v>Термокружка  TRAVEL MUG 0.36л синий</v>
          </cell>
        </row>
        <row r="544">
          <cell r="A544">
            <v>3100513356</v>
          </cell>
          <cell r="B544">
            <v>513356</v>
          </cell>
          <cell r="J544" t="str">
            <v>Термокружка TRAVEL MUG 0,36л красн</v>
          </cell>
        </row>
        <row r="545">
          <cell r="A545">
            <v>3100513351</v>
          </cell>
          <cell r="B545">
            <v>513351</v>
          </cell>
          <cell r="J545" t="str">
            <v>Термокружка  TRAVEL MUG 0.36л нерж.сталь</v>
          </cell>
        </row>
        <row r="546">
          <cell r="A546">
            <v>3100518067</v>
          </cell>
          <cell r="B546" t="str">
            <v>K3072114</v>
          </cell>
          <cell r="J546" t="str">
            <v>Термокружка Travel Mug Fun 0.36л Tefal K3072114 (Красный)</v>
          </cell>
        </row>
        <row r="547">
          <cell r="A547">
            <v>3100517967</v>
          </cell>
          <cell r="B547" t="str">
            <v>K3070114</v>
          </cell>
          <cell r="J547" t="str">
            <v>Термокружка Travel Mug Fun 0.36л Tefal K3070114 (Белый)</v>
          </cell>
        </row>
        <row r="548">
          <cell r="A548">
            <v>3100514178</v>
          </cell>
          <cell r="B548">
            <v>514178</v>
          </cell>
          <cell r="J548" t="str">
            <v>Термокружка TRAVEL MUG FUN 0.36л розовый</v>
          </cell>
        </row>
        <row r="549">
          <cell r="A549">
            <v>3100514176</v>
          </cell>
          <cell r="B549">
            <v>514176</v>
          </cell>
          <cell r="J549" t="str">
            <v>Термокружка TRAVEL MUG FUN 0.36л белый/зеленый</v>
          </cell>
        </row>
        <row r="550">
          <cell r="A550">
            <v>3100514179</v>
          </cell>
          <cell r="B550">
            <v>514179</v>
          </cell>
          <cell r="J550" t="str">
            <v>Термокружка TRAVEL MUG FUN 0.36л черный</v>
          </cell>
        </row>
        <row r="551">
          <cell r="A551">
            <v>3100514177</v>
          </cell>
          <cell r="B551">
            <v>514177</v>
          </cell>
          <cell r="J551" t="str">
            <v>Термокружка TRAVEL MUG FUN 0.36л темно-зеленый/зеленый</v>
          </cell>
        </row>
        <row r="552">
          <cell r="A552">
            <v>3110601276</v>
          </cell>
          <cell r="B552" t="str">
            <v>N2161144</v>
          </cell>
          <cell r="J552" t="str">
            <v>Термокружка Travel Mug Compact Krups, 0,3 л черная</v>
          </cell>
        </row>
        <row r="553">
          <cell r="A553">
            <v>3100515681</v>
          </cell>
          <cell r="B553">
            <v>515681</v>
          </cell>
          <cell r="J553" t="str">
            <v>Термокружка с силиконовым ободом Travel Cup EMSA</v>
          </cell>
        </row>
        <row r="554">
          <cell r="A554">
            <v>3100515679</v>
          </cell>
          <cell r="B554">
            <v>515679</v>
          </cell>
          <cell r="J554" t="str">
            <v>Термокружка с силиконовым ободом Travel Cup EMSA</v>
          </cell>
        </row>
        <row r="555">
          <cell r="A555">
            <v>3100514517</v>
          </cell>
          <cell r="B555">
            <v>514517</v>
          </cell>
          <cell r="J555" t="str">
            <v>Термостакан 0.2 л розовый</v>
          </cell>
        </row>
        <row r="556">
          <cell r="A556">
            <v>3100514516</v>
          </cell>
          <cell r="B556">
            <v>514516</v>
          </cell>
          <cell r="J556" t="str">
            <v>Термостакан 0.2 л зеленый</v>
          </cell>
        </row>
        <row r="557">
          <cell r="A557">
            <v>3100514515</v>
          </cell>
          <cell r="B557">
            <v>514515</v>
          </cell>
          <cell r="J557" t="str">
            <v>Термостакан 0.2 л синий</v>
          </cell>
        </row>
        <row r="558">
          <cell r="A558">
            <v>3100514514</v>
          </cell>
          <cell r="B558">
            <v>514514</v>
          </cell>
          <cell r="J558" t="str">
            <v>Термостакан 0.2 л черный</v>
          </cell>
        </row>
        <row r="559">
          <cell r="A559">
            <v>2100116548</v>
          </cell>
          <cell r="B559" t="str">
            <v>E2184634</v>
          </cell>
          <cell r="J559" t="str">
            <v>Кастрюля  24+крышка из литого алюминия  + силиконовые ручки TRATTORIA</v>
          </cell>
        </row>
        <row r="560">
          <cell r="A560">
            <v>2100107960</v>
          </cell>
          <cell r="B560" t="str">
            <v>E2184414</v>
          </cell>
          <cell r="J560" t="str">
            <v>Кастрюля из литого алюминия 20 см + стекл. крышка TRATTORIA</v>
          </cell>
        </row>
        <row r="561">
          <cell r="A561">
            <v>7211003960</v>
          </cell>
          <cell r="B561" t="str">
            <v>LT300A30</v>
          </cell>
          <cell r="J561" t="str">
            <v>ТОСТЕР SOLEIL LT300A</v>
          </cell>
        </row>
        <row r="562">
          <cell r="A562">
            <v>7211419430</v>
          </cell>
          <cell r="B562" t="str">
            <v>TT3228E0</v>
          </cell>
          <cell r="J562" t="str">
            <v>Тостер 7 уровней управления, цифровая панель</v>
          </cell>
        </row>
        <row r="563">
          <cell r="A563">
            <v>1830009470</v>
          </cell>
          <cell r="B563" t="str">
            <v>HY7120E0</v>
          </cell>
          <cell r="J563" t="str">
            <v>Компактный фен с BLDC мотором Tiny</v>
          </cell>
        </row>
        <row r="564">
          <cell r="A564">
            <v>1830009438</v>
          </cell>
          <cell r="B564" t="str">
            <v>SF7120E0</v>
          </cell>
          <cell r="J564" t="str">
            <v>Обеспечивает бережное обращение с волосами и эргономичность за счет плавающих пластин и керамического покрытия с добавлением частиц титана.</v>
          </cell>
        </row>
        <row r="565">
          <cell r="A565">
            <v>1830009436</v>
          </cell>
          <cell r="B565" t="str">
            <v>SF5120E0</v>
          </cell>
          <cell r="J565" t="str">
            <v>Эргономичный дизайн, покрытие пластин с добавлением титана, плавающие пластины, рабочую температуру от 150 до 230 градусов.</v>
          </cell>
        </row>
        <row r="566">
          <cell r="A566">
            <v>1500813213</v>
          </cell>
          <cell r="B566" t="str">
            <v>AR110830</v>
          </cell>
          <cell r="J566" t="str">
            <v>ИЗМЕЛЬЧИТЕЛЬ И КОФЕМОЛКА 2-В-1. МОЩНОСТЬ 180ВТ. КОМПАКТНЫЙ РАЗМЕР. ЕМКОСТЬ 50 ГР. ПРОЗРАЧНАЯ КРЫШКА. ЦВЕТ - ЧЕРНЫЙ.</v>
          </cell>
        </row>
        <row r="567">
          <cell r="A567">
            <v>7211004315</v>
          </cell>
          <cell r="B567" t="str">
            <v>KO693110</v>
          </cell>
          <cell r="J567" t="str">
            <v>Чайник Tefal Sense 1.5 л, встроенный цифровой дисплей, 5 настроек температуры от 40°C до 100°C, кнопка кипячения одним касанием</v>
          </cell>
        </row>
        <row r="568">
          <cell r="A568">
            <v>8000036072</v>
          </cell>
          <cell r="B568" t="str">
            <v>KI730D30</v>
          </cell>
          <cell r="J568" t="str">
            <v>Стеклянный чайник Tefal, мощность 2200 Вт, объем 1,7 литра, фильтр против накипи, индикатор уровня воды, скрытый нагревательный элемент, материал - стекло. Цвет -нержавеющая сталь</v>
          </cell>
        </row>
        <row r="569">
          <cell r="A569">
            <v>8010000473</v>
          </cell>
          <cell r="B569" t="str">
            <v>KI730132</v>
          </cell>
          <cell r="J569" t="str">
            <v>Стеклянный чайник Tefal, мощность 2200 Вт, объем 1,7 литра, подстветка, скрытый нагревательный элемент, материал - стекло. Цвет -белый</v>
          </cell>
        </row>
        <row r="570">
          <cell r="A570">
            <v>8000035803</v>
          </cell>
          <cell r="B570" t="str">
            <v>KI720830</v>
          </cell>
          <cell r="J570" t="str">
            <v>Чайник Glass kettle, мощность 2400 Вт, объем 1,7 литра, фильтр против накипи, индикатор уровня воды, скрытый нагревательный элемент, материал - жаропрочное стекло. Цвет -нержавеющая сталь</v>
          </cell>
        </row>
        <row r="571">
          <cell r="A571">
            <v>2100109057</v>
          </cell>
          <cell r="B571" t="str">
            <v>K1410274</v>
          </cell>
          <cell r="J571" t="str">
            <v>Шеф-нож CHARACTER 20 см</v>
          </cell>
        </row>
        <row r="572">
          <cell r="A572">
            <v>2100109058</v>
          </cell>
          <cell r="B572" t="str">
            <v>K1410574</v>
          </cell>
          <cell r="J572" t="str">
            <v>Универсальный нож CHARACTER 12,5 см</v>
          </cell>
        </row>
        <row r="573">
          <cell r="A573">
            <v>2100109055</v>
          </cell>
          <cell r="B573" t="str">
            <v>K1410174</v>
          </cell>
          <cell r="J573" t="str">
            <v xml:space="preserve">Нож для овощей CHARACTER 9 см </v>
          </cell>
        </row>
        <row r="574">
          <cell r="A574">
            <v>3100514413</v>
          </cell>
          <cell r="B574">
            <v>514413</v>
          </cell>
          <cell r="J574" t="str">
            <v>Фляжка питьевая детская  0.6 л EMSA (Усы)</v>
          </cell>
        </row>
        <row r="575">
          <cell r="A575">
            <v>7211005021</v>
          </cell>
          <cell r="B575" t="str">
            <v>TW2913EA</v>
          </cell>
          <cell r="J575" t="str">
            <v>Безмешковый пылесос Swift Power, мощность 750 Ватт, уровень шума 77 дБ, объем контейнера 1,2 л, фильтр HEPA10, насадки: пол/ковер, щелевая щетка, цвет красный</v>
          </cell>
        </row>
        <row r="576">
          <cell r="A576">
            <v>2211400646</v>
          </cell>
          <cell r="B576" t="str">
            <v>TW2913EA</v>
          </cell>
          <cell r="J576" t="str">
            <v>Безмешковый пылесос Swift Power, мощность 750 Ватт, уровень шума 77 дБ, объем контейнера 1,2 л, фильтр HEPA10, насадки: пол/ковер, щелевая щетка, цвет красный</v>
          </cell>
        </row>
        <row r="577">
          <cell r="A577">
            <v>7211005022</v>
          </cell>
          <cell r="B577" t="str">
            <v>TW2922EA</v>
          </cell>
          <cell r="J577" t="str">
            <v>Безмешковый пылесос Swift Power, мощность 750 Ватт, уровень шума 77 дБ, объем контейнера 1,2 л, фильтр HEPA10, насадки: пол/ковер, щелевая щетка,  для мягкой мебели, цвет бирюзовый</v>
          </cell>
        </row>
        <row r="578">
          <cell r="A578">
            <v>2211400647</v>
          </cell>
          <cell r="B578" t="str">
            <v>TW2922EA</v>
          </cell>
          <cell r="J578" t="str">
            <v>Безмешковый пылесос Swift Power, мощность 750 Ватт, уровень шума 77 дБ, объем контейнера 1,2 л, фильтр HEPA10, насадки: пол/ковер, щелевая щетка,  для мягкой мебели, цвет бирюзовый</v>
          </cell>
        </row>
        <row r="579">
          <cell r="A579">
            <v>7211004387</v>
          </cell>
          <cell r="B579" t="str">
            <v>TW2925EA</v>
          </cell>
          <cell r="J579" t="str">
            <v>Безмешковый пылесос Swift Power мощность 750 Вт,  уровень шума 77 дБ, котнейнер 1,2 л, HEPA10 насадки: пол/ковер, щелевая, для мягкой мебели</v>
          </cell>
        </row>
        <row r="580">
          <cell r="A580">
            <v>2211400883</v>
          </cell>
          <cell r="B580" t="str">
            <v>TW2925EA</v>
          </cell>
          <cell r="J580" t="str">
            <v>Безмешковый пылесос Swift Power мощность 750 Вт,  уровень шума 77 дБ, котнейнер 1,2 л, HEPA10 насадки: пол/ковер, щелевая, для мягкой мебели</v>
          </cell>
        </row>
        <row r="581">
          <cell r="A581">
            <v>7211004729</v>
          </cell>
          <cell r="B581" t="str">
            <v>TW2943EA</v>
          </cell>
          <cell r="J581" t="str">
            <v>Безмешковый пылесос Swift Power, мощность 750 Ватт, уровень шума 77 дБ, объем контейнера 1,2 л, фильтр HEPA10, насадки: пол/ковер, щелевая щетка, паркетная щетка, цвет бордо</v>
          </cell>
        </row>
        <row r="582">
          <cell r="A582">
            <v>2211400648</v>
          </cell>
          <cell r="B582" t="str">
            <v>TW2943EA</v>
          </cell>
          <cell r="J582" t="str">
            <v>Безмешковый пылесос Swift Power, мощность 750 Ватт, уровень шума 77 дБ, объем контейнера 1,2 л, фильтр HEPA10, насадки: пол/ковер, щелевая щетка, паркетная щетка, цвет бордо</v>
          </cell>
        </row>
        <row r="583">
          <cell r="A583">
            <v>7211005023</v>
          </cell>
          <cell r="B583" t="str">
            <v>TW2947EA</v>
          </cell>
          <cell r="J583" t="str">
            <v>Безмешковый пылесос Swift Power, мощность 750 Ватт, уровень шума 77 дБ, объем контейнера 1,2 л, фильтр HEPA10, насадки: пол/ковер, щелевая щетка, паркетная щетка, цвет белый</v>
          </cell>
        </row>
        <row r="584">
          <cell r="A584">
            <v>2211400649</v>
          </cell>
          <cell r="B584" t="str">
            <v>TW2947EA</v>
          </cell>
          <cell r="J584" t="str">
            <v>Безмешковый пылесос Swift Power, мощность 750 Ватт, уровень шума 77 дБ, объем контейнера 1,2 л, фильтр HEPA10, насадки: пол/ковер, щелевая щетка, паркетная щетка, цвет белый</v>
          </cell>
        </row>
        <row r="585">
          <cell r="A585">
            <v>7211005024</v>
          </cell>
          <cell r="B585" t="str">
            <v>TW2971EA</v>
          </cell>
          <cell r="J585" t="str">
            <v>Безмешковый пылесос Swift Power, мощность 750 Ватт, уровень шума 77 дБ, объем контейнера 1,2 л, фильтр HEPA10, насадки: пол/ковер, щелевая щетка, паркетная щетка,  мини турбо щетка,   для мягкой мебели, цвет синий</v>
          </cell>
        </row>
        <row r="586">
          <cell r="A586">
            <v>2211400650</v>
          </cell>
          <cell r="B586" t="str">
            <v>TW2971EA</v>
          </cell>
          <cell r="J586" t="str">
            <v>Безмешковый пылесос Swift Power, мощность 750 Ватт, уровень шума 77 дБ, объем контейнера 1,2 л, фильтр HEPA10, насадки: пол/ковер, щелевая щетка, паркетная щетка,  мини турбо щетка,   для мягкой мебели, цвет синий</v>
          </cell>
        </row>
        <row r="587">
          <cell r="A587">
            <v>3100517099</v>
          </cell>
          <cell r="B587">
            <v>517099</v>
          </cell>
          <cell r="J587" t="str">
            <v>Набор из 3 контейнеров SUPERLINE 0.5л/1.2л/2.2л прямоугольные</v>
          </cell>
        </row>
        <row r="588">
          <cell r="A588">
            <v>3100517097</v>
          </cell>
          <cell r="B588">
            <v>517097</v>
          </cell>
          <cell r="J588" t="str">
            <v>Набор из 3 контейнеров SUPERLINE  0.8л/1.4л/2.4л круглые</v>
          </cell>
        </row>
        <row r="589">
          <cell r="A589">
            <v>3100503646</v>
          </cell>
          <cell r="B589">
            <v>503646</v>
          </cell>
          <cell r="J589" t="str">
            <v>Контейнер SUPERLINE переноска для торта с охлад. белая</v>
          </cell>
        </row>
        <row r="590">
          <cell r="A590">
            <v>3100503647</v>
          </cell>
          <cell r="B590">
            <v>503647</v>
          </cell>
          <cell r="J590" t="str">
            <v>Контейнер SUPERLINE переноска для торта с охлад. голубая</v>
          </cell>
        </row>
        <row r="591">
          <cell r="A591">
            <v>1510002834</v>
          </cell>
          <cell r="B591" t="str">
            <v>GC520DE0</v>
          </cell>
          <cell r="J591" t="str">
            <v>SuperGrill 3-in-1 XL</v>
          </cell>
        </row>
        <row r="592">
          <cell r="A592">
            <v>1510002832</v>
          </cell>
          <cell r="B592" t="str">
            <v>GC5108E0</v>
          </cell>
          <cell r="J592" t="str">
            <v>SuperGrill 3-in-1 Black</v>
          </cell>
        </row>
        <row r="593">
          <cell r="A593">
            <v>1510002831</v>
          </cell>
          <cell r="B593" t="str">
            <v>GC510DE0</v>
          </cell>
          <cell r="J593" t="str">
            <v>SuperGrill 3-in-1</v>
          </cell>
        </row>
        <row r="594">
          <cell r="A594">
            <v>7211004190</v>
          </cell>
          <cell r="B594" t="str">
            <v>AM314010</v>
          </cell>
          <cell r="J594" t="str">
            <v>Фритюрница, 2л, 1800Вт</v>
          </cell>
        </row>
        <row r="595">
          <cell r="A595">
            <v>7211419526</v>
          </cell>
          <cell r="B595" t="str">
            <v>TT5S18E0</v>
          </cell>
          <cell r="J595" t="str">
            <v>ТОСТЕР 1200 Вт, 7 уровней управления</v>
          </cell>
        </row>
        <row r="596">
          <cell r="A596">
            <v>7211419524</v>
          </cell>
          <cell r="B596" t="str">
            <v>TT5S1DE0</v>
          </cell>
          <cell r="J596" t="str">
            <v>ТОСТЕР 1200 Вт, 7 уровней управления</v>
          </cell>
        </row>
        <row r="597">
          <cell r="A597">
            <v>7211419520</v>
          </cell>
          <cell r="B597" t="str">
            <v>KO5S08E0</v>
          </cell>
          <cell r="J597" t="str">
            <v>Металлический чайник 1,7 л, 2400 Вт</v>
          </cell>
        </row>
        <row r="598">
          <cell r="A598">
            <v>7211419519</v>
          </cell>
          <cell r="B598" t="str">
            <v>KO5S0DE0</v>
          </cell>
          <cell r="J598" t="str">
            <v>Металлический чайник 1,7 л, 2400 Вт</v>
          </cell>
        </row>
        <row r="599">
          <cell r="A599">
            <v>7211419548</v>
          </cell>
          <cell r="B599" t="str">
            <v>CM5S0DE0</v>
          </cell>
          <cell r="J599" t="str">
            <v>Капельная кофеварка Tefal Subito 5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CM5S0DE0</v>
          </cell>
        </row>
        <row r="600">
          <cell r="A600">
            <v>7211002374</v>
          </cell>
          <cell r="B600" t="str">
            <v>KI270D30</v>
          </cell>
          <cell r="J600" t="str">
            <v>Чайник CONFIDENCE, мощность 2400 Вт, объем 1,7 литра, фильтр против накипи, индикатор уровня воды, скрытый нагревательный элемент, материал - нержавеющая сталь. Цвет -нержавеющая сталь</v>
          </cell>
        </row>
        <row r="601">
          <cell r="A601">
            <v>7211002432</v>
          </cell>
          <cell r="B601" t="str">
            <v>KI270930</v>
          </cell>
          <cell r="J601" t="str">
            <v>Чайник CONFIDENCE, мощность 2400 Вт, объем 1,7 литра, фильтр против накипи, индикатор уровня воды, скрытый нагревательный элемент, материал - нержавеющая сталь. Цвет -графит</v>
          </cell>
        </row>
        <row r="602">
          <cell r="A602">
            <v>7211002431</v>
          </cell>
          <cell r="B602" t="str">
            <v>KI270530</v>
          </cell>
          <cell r="J602" t="str">
            <v>Чайник SUBITO IV, мощность 2400 Вт, объем 1,7 литра, фильтр против накипи, индикатор уровня воды, скрытый нагревательный элемент, материал - нержавеющая сталь. Цвет -красный</v>
          </cell>
        </row>
        <row r="603">
          <cell r="A603">
            <v>7211002007</v>
          </cell>
          <cell r="B603" t="str">
            <v>LT260830</v>
          </cell>
          <cell r="J603" t="str">
            <v>TOAS SUBITO3 2S INOXBR/BLK EST.</v>
          </cell>
        </row>
        <row r="604">
          <cell r="A604">
            <v>7211002005</v>
          </cell>
          <cell r="B604" t="str">
            <v>LT260D30</v>
          </cell>
          <cell r="J604" t="str">
            <v>ТОСТЕР SUBITO 3 LT260D30</v>
          </cell>
        </row>
        <row r="605">
          <cell r="A605">
            <v>7211001304</v>
          </cell>
          <cell r="B605" t="str">
            <v>FG360D10</v>
          </cell>
          <cell r="J605" t="str">
            <v>Кофеварка 10-15 чашек, 1,25Л., стеклянный кувшин, держатель для фильтра из нержавеющей стали красного цвета, хорошо видимый уровень воды, функция "капля-стоп"</v>
          </cell>
        </row>
        <row r="606">
          <cell r="A606">
            <v>7211002513</v>
          </cell>
          <cell r="B606" t="str">
            <v>CM361E38</v>
          </cell>
          <cell r="J606" t="str">
            <v>Кофеварка 10-15 чашек, 1,25Л., стеклянный кувшин, держатель для фильтра из нержавеющей стали, хорошо видимый уровень воды, функция "капля-стоп", цвет- красный</v>
          </cell>
        </row>
        <row r="607">
          <cell r="A607">
            <v>7211001550</v>
          </cell>
          <cell r="B607" t="str">
            <v>FG360830</v>
          </cell>
          <cell r="J607" t="str">
            <v>Капельная кофеварка Moulinex Subito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FG360830</v>
          </cell>
        </row>
        <row r="608">
          <cell r="A608">
            <v>7211002512</v>
          </cell>
          <cell r="B608" t="str">
            <v>CM361838</v>
          </cell>
          <cell r="J608" t="str">
            <v>Капельная кофеварка Tefal Subito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CM361838</v>
          </cell>
        </row>
        <row r="609">
          <cell r="A609">
            <v>7211001044</v>
          </cell>
          <cell r="B609" t="str">
            <v>BY540D30</v>
          </cell>
          <cell r="J609" t="str">
            <v xml:space="preserve">Чайник Subito II. Технические характеристики: мощность  2400 Вт,  объем 1,7л, скрытый нагревательный элемент, один индикатор уровня воды, кнопка индикация включения. Материал корпуса: нержавеющая сталь.  </v>
          </cell>
        </row>
        <row r="610">
          <cell r="A610">
            <v>7211001761</v>
          </cell>
          <cell r="B610" t="str">
            <v>BY530F30</v>
          </cell>
          <cell r="J610" t="str">
            <v xml:space="preserve">Чайник SUBITO II, мощность 2200 Вт, объем 1,7 литра, фильтр против накипи, скрытый нагревательный элемент, материал - нержавеющая сталь. Цвет - нержавеющая сталь. </v>
          </cell>
        </row>
        <row r="611">
          <cell r="A611">
            <v>7211001948</v>
          </cell>
          <cell r="B611" t="str">
            <v>BY530630</v>
          </cell>
          <cell r="J611" t="str">
            <v xml:space="preserve">Чайник SUBITO II, мощность 2400 Вт, объем 1,7 литра, фильтр против накипи, индикатор уровня воды, скрытый нагревательный элемент, материал - нержавеющая сталь. Цвет - ягодный. </v>
          </cell>
        </row>
        <row r="612">
          <cell r="A612">
            <v>7211000766</v>
          </cell>
          <cell r="B612" t="str">
            <v>BY530531</v>
          </cell>
          <cell r="J612" t="str">
            <v>Чайник Subito II, 2400 Вт, 1,7л, нержавеющая сталь, покрытая красным  лаком, скрытый нагревательный элемент</v>
          </cell>
        </row>
        <row r="613">
          <cell r="A613">
            <v>1830007001</v>
          </cell>
          <cell r="B613" t="str">
            <v>TN2850F4</v>
          </cell>
          <cell r="J613" t="str">
            <v>BEARD TRIMMER STYLIS Titanium</v>
          </cell>
        </row>
        <row r="614">
          <cell r="A614">
            <v>1830008168</v>
          </cell>
          <cell r="B614" t="str">
            <v>TN2809F0</v>
          </cell>
          <cell r="J614" t="str">
            <v>STYLIS</v>
          </cell>
        </row>
        <row r="615">
          <cell r="A615">
            <v>1830008212</v>
          </cell>
          <cell r="B615" t="str">
            <v>TN2801F4</v>
          </cell>
          <cell r="J615" t="str">
            <v>STYLIS</v>
          </cell>
        </row>
        <row r="616">
          <cell r="A616">
            <v>1830006845</v>
          </cell>
          <cell r="B616" t="str">
            <v>TN2800F4</v>
          </cell>
          <cell r="J616" t="str">
            <v>BEARD TRIMMER STYLIS</v>
          </cell>
        </row>
        <row r="617">
          <cell r="A617">
            <v>1830008355</v>
          </cell>
          <cell r="B617" t="str">
            <v>CV5836F0</v>
          </cell>
          <cell r="J617" t="str">
            <v>Фен Rowenta Studio Dry, Ионизация, Энергоэффективная технология Effiwatts, 6 настроек, Технология Thermo Control для защиты волос, Концентратор, Диффузор, Обдув холодным воздухом, CV5836F0</v>
          </cell>
        </row>
        <row r="618">
          <cell r="A618">
            <v>1830007920</v>
          </cell>
          <cell r="B618" t="str">
            <v>CV5831F0</v>
          </cell>
          <cell r="J618" t="str">
            <v>STUDIO DRY 4 CV5830+31+36</v>
          </cell>
        </row>
        <row r="619">
          <cell r="A619">
            <v>1830007804</v>
          </cell>
          <cell r="B619" t="str">
            <v>CV5830F0</v>
          </cell>
          <cell r="J619" t="str">
            <v>Фен Rowenta DC мотор, Мощность 2300EW,  3 температурных режима/ 2 скоростных, ионизация, холодный воздух, диффузор, концентратор, съемная решетка</v>
          </cell>
        </row>
        <row r="620">
          <cell r="A620">
            <v>1830007698</v>
          </cell>
          <cell r="B620" t="str">
            <v>CV5820F0</v>
          </cell>
          <cell r="J620" t="str">
            <v>Фен Rowenta DC мотор, Мощность 2200W,  3 температурных режима/ 2 скоростных, ионизация, холодный воздух, концентратор, съемная решетка, покрытие корпуса Soft Touch</v>
          </cell>
        </row>
        <row r="621">
          <cell r="A621">
            <v>1830007697</v>
          </cell>
          <cell r="B621" t="str">
            <v>CV5812F0</v>
          </cell>
          <cell r="J621" t="str">
            <v>Фен Rowenta DC мотор, Мощность 2300EW,  3 температурных режима/ 2 скоростных, холодный воздух, концентратор 14мм, съемная решетка</v>
          </cell>
        </row>
        <row r="622">
          <cell r="A622">
            <v>1830008448</v>
          </cell>
          <cell r="B622" t="str">
            <v>CV5803F0</v>
          </cell>
          <cell r="J622" t="str">
            <v>STUDIO DRY 4 CV5803</v>
          </cell>
        </row>
        <row r="623">
          <cell r="A623">
            <v>1830008506</v>
          </cell>
          <cell r="B623" t="str">
            <v>CV581LF0</v>
          </cell>
          <cell r="J623" t="str">
            <v>STUDIO DRY CV581L</v>
          </cell>
        </row>
        <row r="624">
          <cell r="A624">
            <v>1830007438</v>
          </cell>
          <cell r="B624" t="str">
            <v>CV5460F0</v>
          </cell>
          <cell r="J624" t="str">
            <v>HAIR DR.STUDIO DRY EFFIWATTS DIFFU</v>
          </cell>
        </row>
        <row r="625">
          <cell r="A625">
            <v>1830007439</v>
          </cell>
          <cell r="B625" t="str">
            <v>CV5440F0</v>
          </cell>
          <cell r="J625" t="str">
            <v>HAIR DR.STUDIO DRY EFFIWATTS DIFFU</v>
          </cell>
        </row>
        <row r="626">
          <cell r="A626">
            <v>1830006520</v>
          </cell>
          <cell r="B626" t="str">
            <v>CV5432F0</v>
          </cell>
          <cell r="J626" t="str">
            <v>HAIR DR.STUDIO DRY EFFIWATTS DIFFU</v>
          </cell>
        </row>
        <row r="627">
          <cell r="A627">
            <v>1830006519</v>
          </cell>
          <cell r="B627" t="str">
            <v>CV5422F0</v>
          </cell>
          <cell r="J627" t="str">
            <v>Фен Rowenta STUDIO DRY+DC мотор 2300EffiWatts (1800W), Скорость 85 Км/ч, Ионизация, 3 температурных режима/ 2 скоростных, холодный воздух, концентратор,  Elite collection</v>
          </cell>
        </row>
        <row r="628">
          <cell r="A628">
            <v>1830006643</v>
          </cell>
          <cell r="B628" t="str">
            <v>CV5384F0</v>
          </cell>
          <cell r="J628" t="str">
            <v>HD STUDIO DRY EFFIWATTS LIPSTICK RED</v>
          </cell>
        </row>
        <row r="629">
          <cell r="A629">
            <v>1830006017</v>
          </cell>
          <cell r="B629" t="str">
            <v>CV5361F0</v>
          </cell>
          <cell r="J629" t="str">
            <v>Фен линейки Premium Care 2100Вт  Режим бережной сушки  Ионизация  3 режима Холодный воздух  Концентратор Съемная решётка  Ушко для подвешивания</v>
          </cell>
        </row>
        <row r="630">
          <cell r="A630">
            <v>1830004815</v>
          </cell>
          <cell r="B630" t="str">
            <v>CV5330F0</v>
          </cell>
          <cell r="J630" t="str">
            <v>Фен Studio Dry: 2100 Вт, ионизация, 3 режима, холодный воздух, концентратор</v>
          </cell>
        </row>
        <row r="631">
          <cell r="A631">
            <v>9100052158</v>
          </cell>
          <cell r="B631">
            <v>4231122</v>
          </cell>
          <cell r="J631" t="str">
            <v>Сковорода 22 STRENGTH</v>
          </cell>
        </row>
        <row r="632">
          <cell r="A632">
            <v>9100052159</v>
          </cell>
          <cell r="B632">
            <v>4231124</v>
          </cell>
          <cell r="J632" t="str">
            <v>Сковорода 24 STRENGTH</v>
          </cell>
        </row>
        <row r="633">
          <cell r="A633">
            <v>9100052160</v>
          </cell>
          <cell r="B633">
            <v>4231126</v>
          </cell>
          <cell r="J633" t="str">
            <v>Сковорода 26 STRENGTH</v>
          </cell>
        </row>
        <row r="634">
          <cell r="A634">
            <v>9100052161</v>
          </cell>
          <cell r="B634">
            <v>4231128</v>
          </cell>
          <cell r="J634" t="str">
            <v>Сковорода 28 STRENGTH</v>
          </cell>
        </row>
        <row r="635">
          <cell r="A635">
            <v>9100052162</v>
          </cell>
          <cell r="B635">
            <v>4231522</v>
          </cell>
          <cell r="J635" t="str">
            <v>Сковорода 22бл STRENGTH</v>
          </cell>
        </row>
        <row r="636">
          <cell r="A636">
            <v>9100052163</v>
          </cell>
          <cell r="B636">
            <v>4231628</v>
          </cell>
          <cell r="J636" t="str">
            <v>Сковорода ВОК 28 STRENGTH</v>
          </cell>
        </row>
        <row r="637">
          <cell r="A637">
            <v>9100052894</v>
          </cell>
          <cell r="B637">
            <v>4231810</v>
          </cell>
          <cell r="J637" t="str">
            <v>Набор ск.22/26 STRENGTH</v>
          </cell>
        </row>
        <row r="638">
          <cell r="A638">
            <v>1830005200</v>
          </cell>
          <cell r="B638" t="str">
            <v>SF4402F0</v>
          </cell>
          <cell r="J638" t="str">
            <v>Выпрямитель Curl Elite: эксклюзивный дизайн, специальная форма внешней части пластин для удобства завивки, высокая температура нагрева 230°С, ЖК дисплей, цифровая регулировка температуры 130-230°С, запатентованное профессиональное покрытие Ultrashine Nanoceramic</v>
          </cell>
        </row>
        <row r="639">
          <cell r="A639">
            <v>1830003217</v>
          </cell>
          <cell r="B639" t="str">
            <v>SF4412D4</v>
          </cell>
          <cell r="J639" t="str">
            <v>Выпрямитель Curl Elite: специальная форма внешней части пластин для удобства завивки, высокая температура нагрева 230°С, ЖК дисплей, цифровая регулировка температуры 130-230°С, запатентованное профессиональное покрытие Ultrashine Nanoceramic</v>
          </cell>
        </row>
        <row r="640">
          <cell r="A640">
            <v>1830009051</v>
          </cell>
          <cell r="B640" t="str">
            <v>CV1851F0</v>
          </cell>
          <cell r="J640" t="str">
            <v>Powerful and ultra-compact hair dryer for a fast and easy
blow-out</v>
          </cell>
        </row>
        <row r="641">
          <cell r="A641">
            <v>8000036018</v>
          </cell>
          <cell r="B641" t="str">
            <v>DD883D10</v>
          </cell>
          <cell r="J641" t="str">
            <v>ПОГРУЖНОЙ БЛЕНДЕР MOULINEX STEELFORCE, МОЩНОСТЬ 1000 ВТ, 20 СКОРОСТЕЙ + ТУРБО-РЕЖИМ,  МЕТАЛЛИЧЕСКАЯ НОГА, МЕТАЛЛИЧЕСКИЙ КОРПУС, ПРОЧНЫЕ НОЖИ С ТИТАНОВЫМ ПОКРЫТИЕМ, ИЗМЕЛЬЧИТЕЛЬ РАЗМЕРА XXL 800МЛ, ВЕНЧИК, МЕРНЫЙ СТАКАН 800МЛ.</v>
          </cell>
        </row>
        <row r="642">
          <cell r="A642">
            <v>8000036188</v>
          </cell>
          <cell r="B642" t="str">
            <v>DD885D39</v>
          </cell>
          <cell r="J642" t="str">
            <v>ПОГРУЖНОЙ БЛЕНДЕР MOULINEX STEELFORCE, МОЩНОСТЬ 1000 ВТ, 10 СКОРОСТЕЙ + ТУРБО-РЕЖИМ,  МЕТАЛЛИЧЕСКАЯ НОГА, МЕТАЛЛИЧЕСКИЙ КОРПУС, ПРОЧНЫЕ НОЖИ С ТИТАНОВЫМ ПОКРЫТИЕМ, ИЗМЕЛЬЧИТЕЛЬ РАЗМЕРА XXL 800МЛ, ВЕНЧИК, МЕРНЫЙ СТАКАН 800МЛ.</v>
          </cell>
        </row>
        <row r="643">
          <cell r="A643">
            <v>2820300830</v>
          </cell>
          <cell r="B643" t="str">
            <v>VC300830</v>
          </cell>
          <cell r="J643" t="str">
            <v>ПАРОВАРКА STEAM'N'LIGHT, 3 ЧАШИ, 2 СО СЪЕМНЫМИ РЕШЕТКАМИ, ОБЪЕМ 10 Л, 6 ПРОГРАММ ПРИГОТОВЛЕНИЯ С ЦВЕТОВЫМ ИНДИКАТОРОМ, ФОРМА ДЛЯ КЕКСОВ/МАФФИНОВ В КОМПЛЕКТЕ, ФУНКЦИЯ РАЗМОРОЗКИ, УЛЬТРАКОМПАКТНОЕ ХРАНЕНИЕ, АВТОМАТИЧЕСКОЕ ПОДДЕРЖАНИЕ В ТЕПЛОМ СОСТОЯНИИ, ЦИФРОВОЙ ТАЙМЕР НА 60 МИН, УРОВЕНЬ ВОДЫ, ВОЗМОЖНОСТЬ ДОЛИВА В ПРОЦЕССЕ ПРИГОТОВЛЕНИЯ, МОЩНОСТЬ 900 ВТ</v>
          </cell>
        </row>
        <row r="644">
          <cell r="A644">
            <v>1110030825</v>
          </cell>
          <cell r="B644" t="str">
            <v>DW9226D1</v>
          </cell>
          <cell r="J644" t="str">
            <v>УТЮГ STEAMFORCE DW9226D1</v>
          </cell>
        </row>
        <row r="645">
          <cell r="A645">
            <v>1110030556</v>
          </cell>
          <cell r="B645" t="str">
            <v>DW9230D1</v>
          </cell>
          <cell r="J645" t="str">
            <v>УТЮГ STEAM FORCE, МОЩНОСТЬ 2750 ВТ, ВСТРОЕННЫЙ ПАРОГЕНЕРАТОР – НА 30% БОЛЬШЕ ПАРА В САМОЕ СЕРДЦЕ ТКАНИ, ПАРОВОЙ УДАР: 220Г/МИН, РЕГУЛИРУЕМЫЙ ПАР: 50Г/МИН, ЭЛЕКТРОННОЕ УПРАВЛЕНИЕ – ЛЕГКОЕ НАЖАТИЕ КНОПКИ ПОДАЧИ ПАРА, ПОДОШВА MICROSTEAM 400 PROFILE, ПАРОВОЙ НОСИК , АВТООТКЛЮЧЕНИЕ, КАПЛЯ-СТОП, ВЕРТИКАЛЬНОЕ ОТПАРИВАНИЕ, СИСТЕМА САМООЧИСТКИ, ЗАЩИТА ОТ НАКИПИ, СПРЕЙ, ОБЪЕМ РЕЗЕРВУАРА ДЛЯ ВОДЫ : 350МЛ, СДЕЛАНО В ГЕРМАНИИ</v>
          </cell>
        </row>
        <row r="646">
          <cell r="A646">
            <v>1110030598</v>
          </cell>
          <cell r="B646" t="str">
            <v>DW9240F1</v>
          </cell>
          <cell r="J646" t="str">
            <v>УТЮГ СО ВСТРОЕННЫМ ПАРОГЕНЕРАТОРОМ STEAM FORCE, МОЩНОСТЬ 3100 ВТ, ПАРОВОЙ УДАР: 230Г/МИН, РЕГУЛИРУЕМЫЙ ПАР: 65Г/МИН, ЭЛЕКТРОННОЕ УПРАВЛЕНИЕ, СВЕТОДИОДНЫЙ ДИСПЛЕЙ НА РУССКОМ ЯЗЫКА, ПОДОШВА MICROSTEAM 400 PROFILE, ПАРОВОЙ НОСИК, АВТООТКЛЮЧЕНИЕ, ДАТЧИК ДВИЖЕНИЯ ПОДАЧИ ПАРА, КАПЛЯ-СТОП, ВЕРТИКАЛЬНОЕ ОТПАРИВАНИЕ, СИСТЕМА САМООЧИСТКИ, ЗАЩИТА ОТ НАКИПИ, ОБЪЕМ РЕЗЕРВУАРА ДЛЯ ВОДЫ 350МЛ, СДЕЛАНО В ГЕРМАНИИ</v>
          </cell>
        </row>
        <row r="647">
          <cell r="A647">
            <v>2820100630</v>
          </cell>
          <cell r="B647" t="str">
            <v>VC100630</v>
          </cell>
          <cell r="J647" t="str">
            <v>ПАРОВАРКА.МОЩНОСТЬ 900 ВТ, ЗАПАТЕНТОВАННАЯ СИСТЕМА УЛЬТРАКОМПАКТНОГО ХРАНЕНИЯ, 3 ЧАШИ СО СЪЕМНЫМИ РЕШЕТКАМИ С ДЕРЖАТЕЛЯМИ ДЛЯ ЯИЦ,  МЕХАНИЧЕСКИЙ ТАЙМЕР НА 60 МИНУТ С АВТООТКЛЮЧЕНИЕМ, ТУРБО КОЛЬЦО С ИНТЕГРИРОВАННОЙ СИСТЕМОЙ ОЧИСТКИ ОТ НАКИПИ, ШИРОКОЕ ОКНО В РЕЗЕРВУАРЕ ДЛЯ ВОДЫ, УДОБНЫЙ ДОЛИВ ВОДЫ,  ЧАША ДЛЯ РИСА.</v>
          </cell>
        </row>
        <row r="648">
          <cell r="A648">
            <v>1830007138</v>
          </cell>
          <cell r="B648" t="str">
            <v>DG9248F0</v>
          </cell>
          <cell r="J648" t="str">
            <v>ПАРОГЕНЕРАТОР SILENT STEAM ECO INTELLIGENCE, ЭЛЕКТРОННАЯ ПАНЕЛЬ УПРАВЛЕНИЯ: 5 НАСТРОЕК ДЛЯ РАЗНЫХ ТИПОВ ТКАНИ, НИЗКИЙ УРОВЕНЬ ШУМА, ДАВЛЕНИЕ ПАРА 8 БАР, ПОСТОЯННЫЙ ПАР 150 Г/МИН, ПАРОВОЙ УДАР 600 Г/МИН, ПОДОШВА MICROSTEAM 400 LASER 3DE, ЭКО ФУНКЦИЯ, АВТООТКЛЮЧЕНИЕ, АВТОМАТИЧЕСКОЕ СМАТЫВАНИЕ ШНУРА, СИСТЕМА FAST HEAT UP, СТЕРЖЕНЬ-КОЛЛЕКТОР ДЛЯ СБОРА НАКИПИ, СПЕЦИАЛЬНЫЙ ОТСЕК ДЛЯ ХРАНЕНИЯ ШНУРА ДЛЯ ПОДАЧИ ПАРА, УНИКАЛЬНАЯ СИСТЕМА ЗАЩЕЛКИВАНИЯ УТЮГА, СЪЕМНЫЙ РЕЗЕРВУАР ДЛЯ ВОДЫ 1,4 Л, МОЩНОСТЬ 2400 ВТ, ДЛИНА ЭЛЕКТРОПРОВОДА 1,98 М, ПРОИЗВОДСТВО ФРАНЦИЯ</v>
          </cell>
        </row>
        <row r="649">
          <cell r="A649">
            <v>1830006721</v>
          </cell>
          <cell r="B649" t="str">
            <v>XD9070E0</v>
          </cell>
          <cell r="J649" t="str">
            <v>Картридж-фильтр для парогенератора Tefal SV70*</v>
          </cell>
        </row>
        <row r="650">
          <cell r="A650">
            <v>2211400294</v>
          </cell>
          <cell r="B650" t="str">
            <v>VP6555RH</v>
          </cell>
          <cell r="J650" t="str">
            <v>Паровой очиститель</v>
          </cell>
        </row>
        <row r="651">
          <cell r="A651">
            <v>2211400293</v>
          </cell>
          <cell r="B651" t="str">
            <v>VP6557RH</v>
          </cell>
          <cell r="J651" t="str">
            <v>Паровой очиститель</v>
          </cell>
        </row>
        <row r="652">
          <cell r="A652">
            <v>1830008321</v>
          </cell>
          <cell r="B652" t="str">
            <v>FV1955E0</v>
          </cell>
          <cell r="J652" t="str">
            <v>Утюг Steam Essential  1400 /20 / 100</v>
          </cell>
        </row>
        <row r="653">
          <cell r="A653">
            <v>1830005972</v>
          </cell>
          <cell r="B653" t="str">
            <v>CF3810F0</v>
          </cell>
          <cell r="J653" t="str">
            <v>Steam Curler - плойка с функцией пара, благодаря которой локоны получаются более стойкими и упругими, но волосы при этом не теряют жизненно необходимую влагу. Плойка самого популярного размера - 25 мм</v>
          </cell>
        </row>
        <row r="654">
          <cell r="A654">
            <v>3201010261</v>
          </cell>
          <cell r="B654" t="str">
            <v>1771286021</v>
          </cell>
          <cell r="J654" t="str">
            <v>Сковорода 28 см STEAK PROFI</v>
          </cell>
        </row>
        <row r="655">
          <cell r="A655">
            <v>3201010260</v>
          </cell>
          <cell r="B655" t="str">
            <v>1771246021</v>
          </cell>
          <cell r="J655" t="str">
            <v>Сковорода 24 см STEAK PROFI</v>
          </cell>
        </row>
        <row r="656">
          <cell r="A656">
            <v>8010000023</v>
          </cell>
          <cell r="B656" t="str">
            <v>KI760D30</v>
          </cell>
          <cell r="J656" t="str">
            <v>Стеклянный чайник Tefal, мощность 2400 Вт, объем 1,7 литра, подстветка, фильтр против накипи, индикатор уровня воды, скрытый нагревательный элемент, материал - стекло. Цвет -нержавеющая сталь</v>
          </cell>
        </row>
        <row r="657">
          <cell r="A657">
            <v>1510001904</v>
          </cell>
          <cell r="B657" t="str">
            <v>TT520D10</v>
          </cell>
          <cell r="J657" t="str">
            <v>ТОСТЕР STAINLESS STEEL 2S TOAST</v>
          </cell>
        </row>
        <row r="658">
          <cell r="A658">
            <v>1510002909</v>
          </cell>
          <cell r="B658" t="str">
            <v>TT520D10</v>
          </cell>
          <cell r="J658" t="str">
            <v>ТОСТЕР STAINLESS STEEL 2S TOAST</v>
          </cell>
        </row>
        <row r="659">
          <cell r="A659">
            <v>1510001898</v>
          </cell>
          <cell r="B659" t="str">
            <v>BI520D10</v>
          </cell>
          <cell r="J659" t="str">
            <v>Электрический чайник из нержавеющей стали объемом 1,7 л</v>
          </cell>
        </row>
        <row r="660">
          <cell r="A660">
            <v>2100089708</v>
          </cell>
          <cell r="B660" t="str">
            <v>L9933015</v>
          </cell>
          <cell r="J660" t="str">
            <v>Съемная ручка Ingenio 5 Classic для посуды Ingenio 5</v>
          </cell>
        </row>
        <row r="661">
          <cell r="A661">
            <v>9100041333</v>
          </cell>
          <cell r="B661">
            <v>4200820</v>
          </cell>
          <cell r="J661" t="str">
            <v>Съемная ручка Ingenio 5</v>
          </cell>
        </row>
        <row r="662">
          <cell r="A662">
            <v>2100119135</v>
          </cell>
          <cell r="B662" t="str">
            <v>L6390672</v>
          </cell>
          <cell r="J662" t="str">
            <v>Сковорода 28 Emotion</v>
          </cell>
        </row>
        <row r="663">
          <cell r="A663">
            <v>2100118972</v>
          </cell>
          <cell r="B663" t="str">
            <v>L9480574</v>
          </cell>
          <cell r="J663" t="str">
            <v>Сковорода 26 Emotion</v>
          </cell>
        </row>
        <row r="664">
          <cell r="A664">
            <v>2100115262</v>
          </cell>
          <cell r="B664" t="str">
            <v>L9252874</v>
          </cell>
          <cell r="J664" t="str">
            <v>Ковш 16 Emotion</v>
          </cell>
        </row>
        <row r="665">
          <cell r="A665">
            <v>2100115307</v>
          </cell>
          <cell r="B665" t="str">
            <v>L9480374</v>
          </cell>
          <cell r="J665" t="str">
            <v>Сковорода 22 Emotion</v>
          </cell>
        </row>
        <row r="666">
          <cell r="A666">
            <v>9100027686</v>
          </cell>
          <cell r="B666">
            <v>4181820</v>
          </cell>
          <cell r="J666" t="str">
            <v>Набор сковород Tefal Ingenio Black 3 пр.</v>
          </cell>
        </row>
        <row r="667">
          <cell r="A667">
            <v>9100024805</v>
          </cell>
          <cell r="B667">
            <v>4175820</v>
          </cell>
          <cell r="J667" t="str">
            <v>Набор сковород Tefal Ingenio Red 3 пр.</v>
          </cell>
        </row>
        <row r="668">
          <cell r="A668">
            <v>9100024804</v>
          </cell>
          <cell r="B668">
            <v>4175810</v>
          </cell>
          <cell r="J668" t="str">
            <v>Набор сковород TEFAL Ingenio RED 5 22/26 см</v>
          </cell>
        </row>
        <row r="669">
          <cell r="A669">
            <v>9100015891</v>
          </cell>
          <cell r="B669">
            <v>4131820</v>
          </cell>
          <cell r="J669" t="str">
            <v xml:space="preserve">Набор ск.24/28 INGENIO с ручкой   </v>
          </cell>
        </row>
        <row r="670">
          <cell r="A670">
            <v>9100015892</v>
          </cell>
          <cell r="B670">
            <v>4131830</v>
          </cell>
          <cell r="J670" t="str">
            <v xml:space="preserve">Набор к.16/20 INGENIO с ручкой    </v>
          </cell>
        </row>
        <row r="671">
          <cell r="A671">
            <v>9100015789</v>
          </cell>
          <cell r="B671">
            <v>4131810</v>
          </cell>
          <cell r="J671" t="str">
            <v xml:space="preserve">Набор ск.22/26 INGENIO с ручкой   </v>
          </cell>
        </row>
        <row r="672">
          <cell r="A672">
            <v>9100054082</v>
          </cell>
          <cell r="B672">
            <v>4238810</v>
          </cell>
          <cell r="J672" t="str">
            <v xml:space="preserve">Набор ск.22/26 INGENIO с ручкой   </v>
          </cell>
        </row>
        <row r="673">
          <cell r="A673">
            <v>9100054083</v>
          </cell>
          <cell r="B673">
            <v>4238820</v>
          </cell>
          <cell r="J673" t="str">
            <v xml:space="preserve">Набор ск.24/28 INGENIO с ручкой   </v>
          </cell>
        </row>
        <row r="674">
          <cell r="A674">
            <v>9100054084</v>
          </cell>
          <cell r="B674">
            <v>4238830</v>
          </cell>
          <cell r="J674" t="str">
            <v>Набор сковород Tefal Ingenio Black 3 пр.</v>
          </cell>
        </row>
        <row r="675">
          <cell r="A675">
            <v>9100054085</v>
          </cell>
          <cell r="B675">
            <v>4238840</v>
          </cell>
          <cell r="J675" t="str">
            <v>Набор сковород Tefal Ingenio Black 3 пр.</v>
          </cell>
        </row>
        <row r="676">
          <cell r="A676">
            <v>3100518093</v>
          </cell>
          <cell r="B676">
            <v>518093</v>
          </cell>
          <cell r="J676" t="str">
            <v>SQUEEZE BOTTLE 0.6L BUTTERFLIES</v>
          </cell>
        </row>
        <row r="677">
          <cell r="A677">
            <v>3100518092</v>
          </cell>
          <cell r="B677">
            <v>518092</v>
          </cell>
          <cell r="J677" t="str">
            <v>SQUEEZE BOTTLE 0.6L GOAL</v>
          </cell>
        </row>
        <row r="678">
          <cell r="A678">
            <v>3100518091</v>
          </cell>
          <cell r="B678">
            <v>518091</v>
          </cell>
          <cell r="J678" t="str">
            <v>SQUEEZE BOTTLE 0.6L GORILLA</v>
          </cell>
        </row>
        <row r="679">
          <cell r="A679">
            <v>3100518090</v>
          </cell>
          <cell r="B679">
            <v>518090</v>
          </cell>
          <cell r="J679" t="str">
            <v>SQUEEZE BOTTLE 0.6L BIG OWL</v>
          </cell>
        </row>
        <row r="680">
          <cell r="A680">
            <v>3100518089</v>
          </cell>
          <cell r="B680">
            <v>518089</v>
          </cell>
          <cell r="J680" t="str">
            <v>SQUEEZE BOTTLE 0.6L UNICORN</v>
          </cell>
        </row>
        <row r="681">
          <cell r="A681">
            <v>3100518088</v>
          </cell>
          <cell r="B681">
            <v>518088</v>
          </cell>
          <cell r="J681" t="str">
            <v>SQUEEZE BOTTLE 0.6L GREEN</v>
          </cell>
        </row>
        <row r="682">
          <cell r="A682">
            <v>3100518087</v>
          </cell>
          <cell r="B682">
            <v>518087</v>
          </cell>
          <cell r="J682" t="str">
            <v>SQUEEZE BOTTLE 0.6L BLUE</v>
          </cell>
        </row>
        <row r="683">
          <cell r="A683">
            <v>3100518086</v>
          </cell>
          <cell r="B683">
            <v>518086</v>
          </cell>
          <cell r="J683" t="str">
            <v>SQUEEZE BOTTLE 0.6L ANTHRACITE</v>
          </cell>
        </row>
        <row r="684">
          <cell r="A684">
            <v>3100518085</v>
          </cell>
          <cell r="B684">
            <v>518085</v>
          </cell>
          <cell r="J684" t="str">
            <v>SQUEEZE BOTTLE 0.6L PINK</v>
          </cell>
        </row>
        <row r="685">
          <cell r="A685">
            <v>3201112303</v>
          </cell>
          <cell r="B685" t="str">
            <v>1882159992</v>
          </cell>
          <cell r="J685" t="str">
            <v>Набор ножей 6 пр. с блоком SPITZENKLASSE</v>
          </cell>
        </row>
        <row r="686">
          <cell r="A686">
            <v>3200001159</v>
          </cell>
          <cell r="B686">
            <v>415360711</v>
          </cell>
          <cell r="J686" t="str">
            <v>ПАРОВАРКА LONO SOUS-VIDE</v>
          </cell>
        </row>
        <row r="687">
          <cell r="A687">
            <v>3200000464</v>
          </cell>
          <cell r="B687">
            <v>415360011</v>
          </cell>
          <cell r="J687" t="str">
            <v>ПАРОВАРКА LONO SOUS-VIDE</v>
          </cell>
        </row>
        <row r="688">
          <cell r="A688">
            <v>1830007603</v>
          </cell>
          <cell r="B688" t="str">
            <v>LV4020F0</v>
          </cell>
          <cell r="J688" t="str">
            <v>Radiance Booster Facial Brush</v>
          </cell>
        </row>
        <row r="689">
          <cell r="A689">
            <v>1830007337</v>
          </cell>
          <cell r="B689" t="str">
            <v>LV4010F0</v>
          </cell>
          <cell r="J689" t="str">
            <v>Anti-Blemish Facial Brush</v>
          </cell>
        </row>
        <row r="690">
          <cell r="A690">
            <v>1510001553</v>
          </cell>
          <cell r="B690" t="str">
            <v>DJ360A10</v>
          </cell>
          <cell r="J690" t="str">
            <v>МИНИ-ИЗМЕЛЬЧИТЕЛЬ SOLEIL</v>
          </cell>
        </row>
        <row r="691">
          <cell r="A691">
            <v>7211003267</v>
          </cell>
          <cell r="B691" t="str">
            <v>LM355A10</v>
          </cell>
          <cell r="J691" t="str">
            <v>СТАЦИОНАРНЫЙ БЛЕНДЕР MOULINEX. МОЩНОСТЬ - 500 ВТ,  6 СЪЕМНЫХ НОЖЕЙ,   2 СКОРОСТИ И ИМПУЛЬСНЫЙ РЕЖИМ,   ЧАША ОБЪЕМОМ 1,5 Л (ПОЛЕЗНЫЙ ОБЪЕМ 1,25 Л), СИСТЕМА ЗАЩИТЫ SECURE LOCK, МЕРНЫЙ КОЛПАЧОК.</v>
          </cell>
        </row>
        <row r="692">
          <cell r="A692">
            <v>7211419732</v>
          </cell>
          <cell r="B692" t="str">
            <v>KO3558E0</v>
          </cell>
          <cell r="J692" t="str">
            <v>Пластиковый чайник Tefal Soleil, мощность 2400 Вт, объем 1,7 литра, фильтр против накипи, индикатор уровня воды, скрытый нагревательный элемент, материал - пластик. Цвет - черный. Регулировка температуры.</v>
          </cell>
        </row>
        <row r="693">
          <cell r="A693">
            <v>1830007952</v>
          </cell>
          <cell r="B693" t="str">
            <v>EP5720F1</v>
          </cell>
          <cell r="J693" t="str">
            <v>Caress soft Эпилятор EP5720</v>
          </cell>
        </row>
        <row r="694">
          <cell r="A694">
            <v>1830008006</v>
          </cell>
          <cell r="B694" t="str">
            <v>EP5700F1</v>
          </cell>
          <cell r="J694" t="str">
            <v>Caress soft Эпилятор EP5700</v>
          </cell>
        </row>
        <row r="695">
          <cell r="A695">
            <v>3100514502</v>
          </cell>
          <cell r="B695">
            <v>514502</v>
          </cell>
          <cell r="J695" t="str">
            <v>Термос-чайник SOFT GRIP 1.5л, зеленый</v>
          </cell>
        </row>
        <row r="696">
          <cell r="A696">
            <v>3100514501</v>
          </cell>
          <cell r="B696">
            <v>514501</v>
          </cell>
          <cell r="J696" t="str">
            <v>Термос-чайник SOFT GRIP 1.5л, малина</v>
          </cell>
        </row>
        <row r="697">
          <cell r="A697">
            <v>3100514500</v>
          </cell>
          <cell r="B697">
            <v>514500</v>
          </cell>
          <cell r="J697" t="str">
            <v>Термос-чайник SOFT GRIP 1.5л, ежевика</v>
          </cell>
        </row>
        <row r="698">
          <cell r="A698">
            <v>3100514499</v>
          </cell>
          <cell r="B698">
            <v>514499</v>
          </cell>
          <cell r="J698" t="str">
            <v>Термос-чайник SOFT GRIP 1.5л, черный</v>
          </cell>
        </row>
        <row r="699">
          <cell r="A699">
            <v>1830004504</v>
          </cell>
          <cell r="B699" t="str">
            <v>EP8710D0</v>
          </cell>
          <cell r="J699" t="str">
            <v>Эпилятор Soft Extreme: запатентованная технология «Activ-Stim» (1400 импульсов за секунду), обезболивание прохладным воздухом (запатентованная технология AIR PULSE), технология «Микро-контакт», 24 высокоточных пинцета запатентованной формы, плавающая головка, подсветка Vision, 2 скорости, съемная моющаяся головка, массажные шарики для обезболивания, сумочка для хранения и переноски, 4 аксессуара: бикини-триммер, бритвенная насадка, насадка для пилинга, насадка для эпиляции деликатных зон</v>
          </cell>
        </row>
        <row r="700">
          <cell r="A700">
            <v>1830004498</v>
          </cell>
          <cell r="B700" t="str">
            <v>EP7530D0</v>
          </cell>
          <cell r="J700" t="str">
            <v>Эпилятор Soft Extreme: запатентованная технология «Soft Sensation» (1400 импульсов за секунду), обезболивание прохладным воздухом, технология «Микро-контакт», 24 высокоточных пинцета запатентованной формы, плавающая головка, подсветка Vision, 2 скорости, съемная моющаяся головка, массажные шарики для обезболивания, сумочка для хранения и переноски, 2 аксессуара: бритвенная насадка, насадка для эпиляции деликатных зон</v>
          </cell>
        </row>
        <row r="701">
          <cell r="A701">
            <v>1830008124</v>
          </cell>
          <cell r="B701" t="str">
            <v>PP1700V0</v>
          </cell>
          <cell r="J701" t="str">
            <v>Напольные весы Tefal Softline перевернут ваши представления о современном дизайне. Яркий LED дисплей с крупными "парящими" цифрами придаст вашей ванной чувственный и лаконичный вид, а предел взвешивания до 160 кг и точность до 100 г обеспечат удобство и простоту использования. Круглый дизайн.</v>
          </cell>
        </row>
        <row r="702">
          <cell r="A702">
            <v>2100132748</v>
          </cell>
          <cell r="B702" t="str">
            <v>H0560342</v>
          </cell>
          <cell r="J702" t="str">
            <v>Сковорода 22 So Light</v>
          </cell>
        </row>
        <row r="703">
          <cell r="A703">
            <v>2100132749</v>
          </cell>
          <cell r="B703" t="str">
            <v>H0560442</v>
          </cell>
          <cell r="J703" t="str">
            <v>Сковорода 24 So Light</v>
          </cell>
        </row>
        <row r="704">
          <cell r="A704">
            <v>2100132750</v>
          </cell>
          <cell r="B704" t="str">
            <v>H0560542</v>
          </cell>
          <cell r="J704" t="str">
            <v>Сковорода 26 So Light</v>
          </cell>
        </row>
        <row r="705">
          <cell r="A705">
            <v>2100132751</v>
          </cell>
          <cell r="B705" t="str">
            <v>H0560642</v>
          </cell>
          <cell r="J705" t="str">
            <v>Сковорода 28 So Light</v>
          </cell>
        </row>
        <row r="706">
          <cell r="A706">
            <v>2100132745</v>
          </cell>
          <cell r="B706" t="str">
            <v>H0563842</v>
          </cell>
          <cell r="J706" t="str">
            <v>Блинная сковорода 25 So Light</v>
          </cell>
        </row>
        <row r="707">
          <cell r="A707">
            <v>2100132747</v>
          </cell>
          <cell r="B707" t="str">
            <v>H0561942</v>
          </cell>
          <cell r="J707" t="str">
            <v>Вок 28 So light</v>
          </cell>
        </row>
        <row r="708">
          <cell r="A708">
            <v>2100131607</v>
          </cell>
          <cell r="B708" t="str">
            <v>C2900402</v>
          </cell>
          <cell r="J708" t="str">
            <v>Сковорода 24  So Expert</v>
          </cell>
        </row>
        <row r="709">
          <cell r="A709">
            <v>2100131608</v>
          </cell>
          <cell r="B709" t="str">
            <v>C2900602</v>
          </cell>
          <cell r="J709" t="str">
            <v>Сковорода 28  So Expert</v>
          </cell>
        </row>
        <row r="710">
          <cell r="A710">
            <v>2100131611</v>
          </cell>
          <cell r="B710" t="str">
            <v>C2903202</v>
          </cell>
          <cell r="J710" t="str">
            <v>Сотейник с крышкой 24 So Expert</v>
          </cell>
        </row>
        <row r="711">
          <cell r="A711">
            <v>1830006977</v>
          </cell>
          <cell r="B711" t="str">
            <v>CF3730F0</v>
          </cell>
          <cell r="J711" t="str">
            <v>Автоматическая плойка SO CURLS Premium Care 3 Режима завивки - Таймер - Керамическое покрытие с добавлением турмалина - Ионизация
3 Режима завивки - Таймер - Керамическое покрытие с добавлением турмалина - Ионизация</v>
          </cell>
        </row>
        <row r="712">
          <cell r="A712">
            <v>1830006966</v>
          </cell>
          <cell r="B712" t="str">
            <v>CF3712F0</v>
          </cell>
          <cell r="J712" t="str">
            <v>Автоматическая плойка SO CURLS Elite 3 Режима завивки - Таймер - Керамическое покрытие с добавлением турмалина</v>
          </cell>
        </row>
        <row r="713">
          <cell r="A713">
            <v>1830005832</v>
          </cell>
          <cell r="B713" t="str">
            <v>CF3710F0</v>
          </cell>
          <cell r="J713" t="str">
            <v>Автоматическая плойка SO CURLS 3 Режима завивки - Таймер - Керамическое покрытие с добавлением турмалина</v>
          </cell>
        </row>
        <row r="714">
          <cell r="A714">
            <v>1830005371</v>
          </cell>
          <cell r="B714" t="str">
            <v>CF3610D0</v>
          </cell>
          <cell r="J714" t="str">
            <v>Автоматическая плойка для волос с тремя температурными режимами (170-200-230 градусов), выбором направления вращения, сисемой оповещения о готовности локона, 4 временными режимами (6-8-10-12 секунд), покрытие цилиндра керамика-турмалин, диаметр цилиндра 23 мм.</v>
          </cell>
        </row>
        <row r="715">
          <cell r="A715">
            <v>1830008585</v>
          </cell>
          <cell r="B715" t="str">
            <v>CF9720F0</v>
          </cell>
          <cell r="J715" t="str">
            <v>Вращающаяся фен-щетка Ultimate Care от Rowenta – ваш надежный помощник для создания укладки
салонного уровня с идеальным объемом. Технология Careful Heat защищает ваши волосы, не позволяя
воздушному потоку нагреваться выше 80 °C, а покрытие Quartz Ceramic и ионизация придают блеск и
сияние</v>
          </cell>
        </row>
        <row r="716">
          <cell r="A716">
            <v>7211000828</v>
          </cell>
          <cell r="B716" t="str">
            <v>KO330830</v>
          </cell>
          <cell r="J716" t="str">
            <v xml:space="preserve">Чайник SNOW, 2400 Вт, 1,7 л, съемный фильтр против накипи, автооткрывание крышки, световой индикатор, 2 окошка - уровень воды, вставки из нержавеющей стали, цвет - черный, материал - пластик </v>
          </cell>
        </row>
        <row r="717">
          <cell r="A717">
            <v>7211001086</v>
          </cell>
          <cell r="B717" t="str">
            <v>KO330130</v>
          </cell>
          <cell r="J717" t="str">
            <v>Чайник SNOW, 2400 Вт, 1,7 л, съемный фильтр против накипи, автооткрывание крышки, световой индикатор, 2 окошка - уровень воды, вставки из нержавеющей сталию Цвет - белый, материал - пластик</v>
          </cell>
        </row>
        <row r="718">
          <cell r="A718">
            <v>7211003769</v>
          </cell>
          <cell r="B718" t="str">
            <v>TT640810</v>
          </cell>
          <cell r="J718" t="str">
            <v xml:space="preserve">ТОСТЕР DISPLAY, МОЩНОСТЬ 850 ВТ, 7 СТЕПЕНЕЙ ПОДЖАРИВАНИЯ ТОСТОВ, КНОПКИ "СТОП", "ПОДОГРЕВ", "РАЗМОРОЗКА", ЦИФРОВОЙ ДИСПЛЕЙ С ОТСЧЕТОМ ВРЕМЕНИ, ПАМЯТЬ НА 2 ЛЮБИМЫХ РЕЦЕПТА, ВЫСОКИЙ ПОДЪЕМ ТОСТОВ, ПОДДОН ДЛЯ КРОШЕК, МАТЕРИАЛ КОРПУСА - ПЛАСТИК. ЦВЕТ - ЧЕРНЫЙ.    </v>
          </cell>
        </row>
        <row r="719">
          <cell r="A719">
            <v>7211003998</v>
          </cell>
          <cell r="B719" t="str">
            <v>CM600810</v>
          </cell>
          <cell r="J719" t="str">
            <v xml:space="preserve">Капельная кофеварка объемом 1,25 л, черная, Smart&amp;Light </v>
          </cell>
        </row>
        <row r="720">
          <cell r="A720">
            <v>7211003827</v>
          </cell>
          <cell r="B720" t="str">
            <v>KO851830</v>
          </cell>
          <cell r="J720" t="str">
            <v>Чайник Tefal с двойными стенками, которые предотвращают ожоги, внутренняя колба-нержавеющая сталь, внешние стенки чайника - глянцевый пластик, мощность 1800 Вт, объем 1,7 литра, фильтр против накипи, скрытый нагревательный элемент, электронный дисплей, втроенный в корпус, 5 режимов температуры, подогрев 30 мин. Цвет - черный.</v>
          </cell>
        </row>
        <row r="721">
          <cell r="A721">
            <v>3100514558</v>
          </cell>
          <cell r="B721">
            <v>514558</v>
          </cell>
          <cell r="J721" t="str">
            <v>Аксесс.кухонные SMART KITCHEN Экран защитный от брызг 31см зеленый</v>
          </cell>
        </row>
        <row r="722">
          <cell r="A722">
            <v>3100514557</v>
          </cell>
          <cell r="B722">
            <v>514557</v>
          </cell>
          <cell r="J722" t="str">
            <v>Аксесс.кухонные SMART KITCHEN Экран защитный от брызг 26см зеленый</v>
          </cell>
        </row>
        <row r="723">
          <cell r="A723">
            <v>8000035865</v>
          </cell>
          <cell r="B723" t="str">
            <v>DJ450B10</v>
          </cell>
          <cell r="J723" t="str">
            <v>МИНИ-ИЗМЕЛЬЧИТЕЛЬ MOULINEX MASTERCHOP XL DJ450. МОЩНОСТЬ - 500ВТ, 4 ЛЕЗВИЯ ИЗ НЕРЖАВЕЮЩЕЙ СТАЛИ, ПОЛЕЗНЫЙ ОБЪЕМ - 500 МЛ, БЕЗОПАСНАЯ СИСТЕМА БЛОКИРОВКИ, ЧАШУ И НОЖИ МОЖНО МЫТЬ В ПОСУДОМОЕЧНОЙ МАШИНЕ.</v>
          </cell>
        </row>
        <row r="724">
          <cell r="A724">
            <v>1830007955</v>
          </cell>
          <cell r="B724" t="str">
            <v>EP2910F1</v>
          </cell>
          <cell r="J724" t="str">
            <v>Skin Spirit</v>
          </cell>
        </row>
        <row r="725">
          <cell r="A725">
            <v>1830006821</v>
          </cell>
          <cell r="B725" t="str">
            <v>EP2910F0</v>
          </cell>
          <cell r="J725" t="str">
            <v>Skin Spirit</v>
          </cell>
        </row>
        <row r="726">
          <cell r="A726">
            <v>1830008015</v>
          </cell>
          <cell r="B726" t="str">
            <v>EP2902F1</v>
          </cell>
          <cell r="J726" t="str">
            <v>Skin Spirit</v>
          </cell>
        </row>
        <row r="727">
          <cell r="A727">
            <v>1830007954</v>
          </cell>
          <cell r="B727" t="str">
            <v>EP2900F1</v>
          </cell>
          <cell r="J727" t="str">
            <v>Skin Spirit</v>
          </cell>
        </row>
        <row r="728">
          <cell r="A728">
            <v>1830006895</v>
          </cell>
          <cell r="B728" t="str">
            <v>EP2900F0</v>
          </cell>
          <cell r="J728" t="str">
            <v>Skin Spirit</v>
          </cell>
        </row>
        <row r="729">
          <cell r="A729">
            <v>1830008427</v>
          </cell>
          <cell r="B729" t="str">
            <v>LV8030F0</v>
          </cell>
          <cell r="J729" t="str">
            <v>Ultrasonic and heating technology Scrubber</v>
          </cell>
        </row>
        <row r="730">
          <cell r="A730">
            <v>1830006343</v>
          </cell>
          <cell r="B730" t="str">
            <v>EP8060F0</v>
          </cell>
          <cell r="J730" t="str">
            <v>Wet&amp;Dry Эпилятор серии SKIN RESPECT EP8060: полностью водонепроницаемый, технология SKIN RESPECT с бережным отношением к коже (минимизирует раздражение), эпиляция под любым углом благодаря новой форме эпилирующей головки, оптимальная скорость вращения для эффективного удаления волос,  работает 40 мин автономно, насадки.....(добавить)..... + чехол-сумочка</v>
          </cell>
        </row>
        <row r="731">
          <cell r="A731">
            <v>1830006342</v>
          </cell>
          <cell r="B731" t="str">
            <v>EP8050F0</v>
          </cell>
          <cell r="J731" t="str">
            <v>Wet&amp;Dry Эпилятор серии SKIN RESPECT EP8050: полностью водонепроницаемый, технология SKIN RESPECT с бережным отношением к коже (минимизирует раздражение), эпиляция под любым углом благодаря новой форме эпилирующей головки, оптимальная скорость вращения для эффективного удаления волос,  работает 40 мин автономно, насадка для чувствительных зон + чехол-сумочка</v>
          </cell>
        </row>
        <row r="732">
          <cell r="A732">
            <v>1830006340</v>
          </cell>
          <cell r="B732" t="str">
            <v>EP8020F0</v>
          </cell>
          <cell r="J732" t="str">
            <v>Wet&amp;Dry Эпилятор серии SKIN RESPECT EP8020: полностью водонепроницаемый, технология SKIN RESPECT с бережным отношением к коже (минимизирует раздражение), эпиляция под любым углом благодаря новой форме эпилирующей головки, оптимальная скорость вращения для эффективного удаления волос,  работает 40 мин автономно, насадка для чувствительных зон + чехол-сумочка</v>
          </cell>
        </row>
        <row r="733">
          <cell r="A733">
            <v>1830006341</v>
          </cell>
          <cell r="B733" t="str">
            <v>EP8002F0</v>
          </cell>
          <cell r="J733" t="str">
            <v>Wet&amp;Dry Эпилятор серии SKIN RESPECT EP8002: полностью водонепроницаемый, технология SKIN RESPECT с бережным отношением к коже (минимизирует раздражение), эпиляция под любым углом благодаря новой форме эпилирующей головки, оптимальная скорость вращения для эффективного удаления волос,  работает 40 мин автономно</v>
          </cell>
        </row>
        <row r="734">
          <cell r="A734">
            <v>7211004435</v>
          </cell>
          <cell r="B734" t="str">
            <v>MK622832</v>
          </cell>
          <cell r="J734" t="str">
            <v>МУЛЬТИВАРКА SIMPLY COOK PLUS MK622832 BLACK</v>
          </cell>
        </row>
        <row r="735">
          <cell r="A735">
            <v>1830007874</v>
          </cell>
          <cell r="B735" t="str">
            <v>BC8000V1</v>
          </cell>
          <cell r="J735" t="str">
            <v>SIMPLY 10</v>
          </cell>
        </row>
        <row r="736">
          <cell r="A736">
            <v>1830007276</v>
          </cell>
          <cell r="B736" t="str">
            <v>DG9268F0</v>
          </cell>
          <cell r="J736" t="str">
            <v>ROWENTA SILENCE STEAM PRO DG9268F0 Парогенератор высокого давления</v>
          </cell>
        </row>
        <row r="737">
          <cell r="A737">
            <v>1830006413</v>
          </cell>
          <cell r="B737" t="str">
            <v>DG8985F0</v>
          </cell>
          <cell r="J737" t="str">
            <v>ПАРОГЕНЕРАТОР SILENT STEAM ECO INTELLIGENCE, ЭЛЕКТРОННАЯ ПАНЕЛЬ УПРАВЛЕНИЯ: 5 НАСТРОЕК ДЛЯ РАЗНЫХ ТИПОВ ТКАНИ, НИЗКИЙ УРОВЕНЬ ШУМА, ДАВЛЕНИЕ ПАРА 7,5 БАР, ПОСТОЯННЫЙ ПАР 120 Г/МИН, ПАРОВОЙ УДАР 500 Г/МИН, ПОДОШВА MICROSTEAM 400 LASER 3DE, ЭКО ФУНКЦИЯ, АВТООТКЛЮЧЕНИЕ, АВТОМАТИЧЕСКОЕ СМАТЫВАНИЕ ШНУРА, СИСТЕМА FAST HEAT UP, СТЕРЖЕНЬ-КОЛЛЕКТОР ДЛЯ СБОРА НАКИПИ, СПЕЦИАЛЬНЫЙ ОТСЕК ДЛЯ ХРАНЕНИЯ ШНУРА ДЛЯ ПОДАЧИ ПАРА, УНИКАЛЬНАЯ СИСТЕМА ЗАЩЕЛКИВАНИЯ УТЮГА, СЪЕМНЫЙ РЕЗЕРВУАР ДЛЯ ВОДЫ 1,4 Л, МОЩНОСТЬ 2400 ВТ, ДЛИНА ЭЛЕКТРОПРОВОДА 1,98 М, ПРОИЗВОДСТВО ФРАНЦИЯ</v>
          </cell>
        </row>
        <row r="738">
          <cell r="A738">
            <v>1830008005</v>
          </cell>
          <cell r="B738" t="str">
            <v>EP5660D1</v>
          </cell>
          <cell r="J738" t="str">
            <v>Эпилятор Silence:  Уникальная система Silencе, массажная система шариков для обезболивания, технология «Микро-контакт», подсветка Vision, широкая эргономичная эпилирующая головка, 2 скорости, съемная моющаяся головка, сумочка для хранения и переноски, 5 насадок: бикини-триммер, бритвенная насадка, пилинг, 2 насадки для эпиляции деликатных зон</v>
          </cell>
        </row>
        <row r="739">
          <cell r="A739">
            <v>1830005072</v>
          </cell>
          <cell r="B739" t="str">
            <v>EP5660D0</v>
          </cell>
          <cell r="J739" t="str">
            <v>Эпилятор Silence:  Уникальная система Silencе, массажная система шариков для обезболивания, технология «Микро-контакт», подсветка Vision, широкая эргономичная эпилирующая головка, 2 скорости, съемная моющаяся головка, сумочка для хранения и переноски, 5 насадок: бикини-триммер, бритвенная насадка, пилинг, 2 насадки для эпиляции деликатных зон</v>
          </cell>
        </row>
        <row r="740">
          <cell r="A740">
            <v>1830008007</v>
          </cell>
          <cell r="B740" t="str">
            <v>EP5620D1</v>
          </cell>
          <cell r="J740" t="str">
            <v>Эпилятор Silence:  Уникальная система Silencе, массажная система шариков для обезболивания, технология «Микро-контакт», подсветка Vision, широкая эргономичная эпилирующая головка, 2 скорости, съемная моющаяся головка, сумочка для хранения и переноски, 3 насадки: пилинг, 2 насадки для эпиляции деликатных зон</v>
          </cell>
        </row>
        <row r="741">
          <cell r="A741">
            <v>1830005073</v>
          </cell>
          <cell r="B741" t="str">
            <v>EP5620D0</v>
          </cell>
          <cell r="J741" t="str">
            <v>Эпилятор Silence:  Уникальная система Silencе, массажная система шариков для обезболивания, технология «Микро-контакт», подсветка Vision, широкая эргономичная эпилирующая головка, 2 скорости, съемная моющаяся головка, сумочка для хранения и переноски, 3 насадки: пилинг, 2 насадки для эпиляции деликатных зон</v>
          </cell>
        </row>
        <row r="742">
          <cell r="A742">
            <v>2211400248</v>
          </cell>
          <cell r="B742" t="str">
            <v>TW8359EA</v>
          </cell>
          <cell r="J742" t="str">
            <v>Безмешковый пылесос SILENCE FORCE MULTICYCLONIC, мощность 750 W (= 2100 W), уровень шума 68 дБ, объем контейнера 2 л, фильтр HEPA 13, насадки: пол/ковер, щелевая, для мягкой мебели, мини турбо щетка, паркетная щетка</v>
          </cell>
        </row>
        <row r="743">
          <cell r="A743">
            <v>2211400068</v>
          </cell>
          <cell r="B743" t="str">
            <v>TW8370RA</v>
          </cell>
          <cell r="J743" t="str">
            <v>Безмешковый пылесос SILENCE FORCE MULTICYCLONIC, мощность 750 W (= 2100 W), уровень шума 68 дБ, объем контейнера 2 л, фильтр HEPA 13, насадки: пол/ковер, щелевая, паркетная, мини турбо щетка, макси турбо щетка</v>
          </cell>
        </row>
        <row r="744">
          <cell r="A744">
            <v>2211400684</v>
          </cell>
          <cell r="B744" t="str">
            <v>TW8396EA</v>
          </cell>
          <cell r="J744" t="str">
            <v>Безмешковый пылесос SILENCE FORCE MULTICYCLONIC, мощность 750 W (= 2100 W), уровень шума 68 дБ, объем контейнера 2 л, фильтр HEPA 13, насадки: пол/ковер, щелевая, для мягкой мебели, макси турбо щетка, 4A</v>
          </cell>
        </row>
        <row r="745">
          <cell r="A745">
            <v>2211401265</v>
          </cell>
          <cell r="B745" t="str">
            <v>TW7941EA</v>
          </cell>
          <cell r="J745" t="str">
            <v xml:space="preserve">Безмешковый пылесос Silence Force Cyclonic Effitech TW7976EA, мощность 500 Вт, уровень шума 59 дБ, длина шнура питания 8,4 м, объем контейнера для пыли 2,5 л, в комплекте: электрощетка, насадка для мебели, щелевая насадка </v>
          </cell>
        </row>
        <row r="746">
          <cell r="A746">
            <v>2211401250</v>
          </cell>
          <cell r="B746" t="str">
            <v>TW7976EA</v>
          </cell>
          <cell r="J746" t="str">
            <v xml:space="preserve">Безмешковый пылесос Silence Force Cyclonic Effitech TW7976EA, мощность 500 Вт, уровень шума 59 дБ, длина шнура питания 8,4 м, объем контейнера для пыли 2,5 л, в комплекте: электрощетка, щетка для пола и ковров, мини-электрощетка, насадка для мебели, щелевая насадка </v>
          </cell>
        </row>
        <row r="747">
          <cell r="A747">
            <v>2211400150</v>
          </cell>
          <cell r="B747" t="str">
            <v>TW6383EA</v>
          </cell>
          <cell r="J747" t="str">
            <v>Мешковый пылесос Silence Force 4A  compact, мощность 750 W( = 2200 W), уровень шума 68 дБ, объем мешка 3,5 л, фильтр HEPA 11, насадки: пол/ковер, щелевая, паркетная, мини турбощетка</v>
          </cell>
        </row>
        <row r="748">
          <cell r="A748">
            <v>2211400161</v>
          </cell>
          <cell r="B748" t="str">
            <v>TW6843EA</v>
          </cell>
          <cell r="J748" t="str">
            <v>Мешковый пылесос X TREM POWER 4A, мощность 750 W( = 2200 W), уровень шума 75 дБ, объем мешка 4,5 л, фильтр HEPA 11, насадки: пол/ковер, щелевая, паркетная</v>
          </cell>
        </row>
        <row r="749">
          <cell r="A749">
            <v>2211400605</v>
          </cell>
          <cell r="B749" t="str">
            <v>TW6856EA</v>
          </cell>
          <cell r="J749" t="str">
            <v>Мешковый пылесос X TREM POWER 3A+, мощность 550 W, уровень шума 77 дБ, объем мешка 4,5 л, фильтр высокой фильтрации, насадки: пол/ковер, щелевая насадка , для мягкой мебели,  паркетная щетка</v>
          </cell>
        </row>
        <row r="750">
          <cell r="A750">
            <v>2211400601</v>
          </cell>
          <cell r="B750" t="str">
            <v>TW6886EA</v>
          </cell>
          <cell r="J750" t="str">
            <v>Мешковый пылесос X TREM POWER 4A, мощность 750 W( = 2200 W), уровень шума 75 дБ, объем мешка 4,5 л, фильтр HEPA 11, насадки: пол/ковер, щелевая, для мягкой мебели, мини турбощетка, паркетная щетка</v>
          </cell>
        </row>
        <row r="751">
          <cell r="A751">
            <v>2211401018</v>
          </cell>
          <cell r="B751" t="str">
            <v>TW7222EA</v>
          </cell>
          <cell r="J751" t="str">
            <v>Безмешковый пылесос мощностью 550 Вт, циклонная технология, уровень шума 69 дБ, объем контейнера для пыли 2.5 л, насадка для мягкой мебели, щелевая насадка, интегрированная щетка  EASY BRUSH</v>
          </cell>
        </row>
        <row r="752">
          <cell r="A752">
            <v>2211400529</v>
          </cell>
          <cell r="B752" t="str">
            <v>TW7232EA</v>
          </cell>
          <cell r="J752" t="str">
            <v>XTREM POWER 4A+,  Green Toy boy, PARQUET</v>
          </cell>
        </row>
        <row r="753">
          <cell r="A753">
            <v>2211401014</v>
          </cell>
          <cell r="B753" t="str">
            <v>TW7233EA</v>
          </cell>
          <cell r="J753" t="str">
            <v>Безмешковый пылесос мощностью 550 Вт, циклонная технология, уровень шума 67 дБ, объем контейнера для пыли 2.5 л, насадка для паркета, насадка для мягкой мебели, щелевая насадка интегрированная щетка  EASY BRUSH</v>
          </cell>
        </row>
        <row r="754">
          <cell r="A754">
            <v>2211400812</v>
          </cell>
          <cell r="B754" t="str">
            <v>TW7253EA</v>
          </cell>
          <cell r="J754" t="str">
            <v>Безмешковый пылесос мощностью 550 В, циклонная технология, уровень шума 67 дБ, объем контейнера для пыли 2,5 л, насадка для паркета, насадка для мягкой мебели, щелевая насадка XXL, интегрированная щетка  EASY BRUSH</v>
          </cell>
        </row>
        <row r="755">
          <cell r="A755">
            <v>2211400854</v>
          </cell>
          <cell r="B755" t="str">
            <v>TW7256EA</v>
          </cell>
          <cell r="J755" t="str">
            <v>Безмешковый пылесос мощностью 550 В, циклонная технология, уровень шума 67 дБ, объем контейнера для пыли 2,5 л, насадка для паркета, насадка для мягкой мебели, щелевая насадка XXL, интегрированная щетка  EASY BRUSH</v>
          </cell>
        </row>
        <row r="756">
          <cell r="A756">
            <v>2211400811</v>
          </cell>
          <cell r="B756" t="str">
            <v>TW7260EA</v>
          </cell>
          <cell r="J756" t="str">
            <v>Безмешковый пылесос мощностью 550 В, циклонная технология, подходит для владельцев домашних животных, уровень шума 67 дБ, объем контейнера для пыли 2,5 л, насадка для паркета, Mini турбощетка, насадка для мягкой мебели, телескопическая щелевая насадка, интегрированная щетка  EASY BRUSH</v>
          </cell>
        </row>
        <row r="757">
          <cell r="A757">
            <v>2211400464</v>
          </cell>
          <cell r="B757" t="str">
            <v>TW7266EA</v>
          </cell>
          <cell r="J757" t="str">
            <v>XTREM POWER 4A+,  Cigarillo, ANIMAL CARE</v>
          </cell>
        </row>
        <row r="758">
          <cell r="A758">
            <v>2211400844</v>
          </cell>
          <cell r="B758" t="str">
            <v>TW7272EA</v>
          </cell>
          <cell r="J758" t="str">
            <v>Безмешковый пылесос мощностью 550 В, циклонная технология, подходит для владельцев домашних животных, уровень шума 67 дБ, объем контейнера для пыли 2,5 л, большая турбощетка, насадка для мягкой мебели, гибкая щелевая насадка, интегрированная щетка  EASY BRUSH</v>
          </cell>
        </row>
        <row r="759">
          <cell r="A759">
            <v>2211400067</v>
          </cell>
          <cell r="B759" t="str">
            <v>TW6477RA</v>
          </cell>
          <cell r="J759" t="str">
            <v>Мешковой пылесос Silence Force 4A, мощность 750 W( = 2200 W), уровень шума 64 дБ, объем мешка 4,5 л, фильтр HEPA 11, насадки: пол/ковер, щелевая, паркетная, мини турбо щетка, макси турбо щетка, 2 мешка в комплекте</v>
          </cell>
        </row>
        <row r="760">
          <cell r="A760">
            <v>2211400565</v>
          </cell>
          <cell r="B760" t="str">
            <v>TW7621EA</v>
          </cell>
          <cell r="J760" t="str">
            <v>Безмешковый пылесос SILENCE FORCE 4A, мощность 750 Ватт, уровень шума 67 дБ, объем контейнера 2,5 л, высокоэффективный фильтр, насадки: пол/ковер, щелевая, для мягкой мебели, паркетная щетка,цвет голубой</v>
          </cell>
        </row>
        <row r="761">
          <cell r="A761">
            <v>2211400351</v>
          </cell>
          <cell r="B761" t="str">
            <v>TW7647EA</v>
          </cell>
          <cell r="J761" t="str">
            <v>Безмешковый пылесос SILENCE FORCE 4A, мощность 750 Ватт, уровень шума 67 дБ, объем контейнера 2,5 л, высокоэффективный фильтр, насадки: пол/ковер, щелевая, для мягкой мебели, паркетная щетка,цвет белый</v>
          </cell>
        </row>
        <row r="762">
          <cell r="A762">
            <v>2211400560</v>
          </cell>
          <cell r="B762" t="str">
            <v>TW7681EA</v>
          </cell>
          <cell r="J762" t="str">
            <v>Безмешковый пылесос SILENCE FORCE 4A, мощность 750 Ватт, уровень шума 67 дБ, объем контейнера 2,5 л, высокоэффективный фильтр, насадки: пол/ковер, щелевая, для мягкой мебели, мини турбо щетка, большая турбо щетка, паркетная щетка</v>
          </cell>
        </row>
        <row r="763">
          <cell r="A763">
            <v>2211400839</v>
          </cell>
          <cell r="B763" t="str">
            <v>TW7689EA</v>
          </cell>
          <cell r="J763" t="str">
            <v>Безмешковый пылесос мощностью 550 Ватт, циклонная технология, подходит для уборки в автомобиле, уровень шума 65 дБ, объем контейнера для пыли 2,5 л, насадка для паркета, Mini турбощетка, мультифункциональная насадка, интегрированная щетка EASY BRUSH</v>
          </cell>
        </row>
        <row r="764">
          <cell r="A764">
            <v>2211400810</v>
          </cell>
          <cell r="B764" t="str">
            <v>TW7690EA</v>
          </cell>
          <cell r="J764" t="str">
            <v>Безмешковый пылесос мощностью 550 Ватт, циклонная технология, подходит для владельцев домашних животных, уровень шума 65 дБ, объем контейнера для пыли 2,5 л, насадка для паркета, Maxi турбощетка, Mini турбощетка, насадка для мягкой мебели, щелевая насадка XXL, интегрированная щетка  EASY BRUSH</v>
          </cell>
        </row>
        <row r="765">
          <cell r="A765">
            <v>2211400533</v>
          </cell>
          <cell r="B765" t="str">
            <v>TW7475EA</v>
          </cell>
          <cell r="J765" t="str">
            <v>Мешковый пылесос Silence Force 4A++, мощность 400 W, уровень шума 66 дБ, объем мешка 4,5 л, высокоэффективный фильтр, насадки: пол/ковер, щелевая XXL, паркетная, мини турбо щетка, макси турбо щетка, многофункциональная насадка, 2 мешка в комплекте</v>
          </cell>
        </row>
        <row r="766">
          <cell r="A766">
            <v>7211419689</v>
          </cell>
          <cell r="B766" t="str">
            <v>EY8468E0</v>
          </cell>
          <cell r="J766" t="str">
            <v>Easy Fry Silence Vision XXL 7L</v>
          </cell>
        </row>
        <row r="767">
          <cell r="A767">
            <v>7211419717</v>
          </cell>
          <cell r="B767" t="str">
            <v>EY5728E1</v>
          </cell>
          <cell r="J767" t="str">
            <v>Easy Fry Silence Smart 5L</v>
          </cell>
        </row>
        <row r="768">
          <cell r="A768">
            <v>7211419381</v>
          </cell>
          <cell r="B768" t="str">
            <v>EY5568E0</v>
          </cell>
          <cell r="J768" t="str">
            <v>Easy Fry Silence Vision 5L</v>
          </cell>
        </row>
        <row r="769">
          <cell r="A769">
            <v>7211419374</v>
          </cell>
          <cell r="B769" t="str">
            <v>EY5528E0</v>
          </cell>
          <cell r="J769" t="str">
            <v>Easy Fry Silence Black 5L</v>
          </cell>
        </row>
        <row r="770">
          <cell r="A770">
            <v>1830006239</v>
          </cell>
          <cell r="B770" t="str">
            <v>CV7930F0</v>
          </cell>
          <cell r="J770" t="str">
            <v xml:space="preserve">SILENCE AC + sensor </v>
          </cell>
        </row>
        <row r="771">
          <cell r="A771">
            <v>1830006238</v>
          </cell>
          <cell r="B771" t="str">
            <v>CV7920F0</v>
          </cell>
          <cell r="J771" t="str">
            <v>Фен Silence AC Respect Rowenta,   профессиональный AC мотор, 2300 Вт, ионизация,  сьемная решетка, 12 комбинаций, холодный воздух</v>
          </cell>
        </row>
        <row r="772">
          <cell r="A772">
            <v>1830008379</v>
          </cell>
          <cell r="B772" t="str">
            <v>CV7846F0</v>
          </cell>
          <cell r="J772" t="str">
            <v>Фен Rowenta Signature Pro AC Ionic 2200 Вт CV7846F0</v>
          </cell>
        </row>
        <row r="773">
          <cell r="A773">
            <v>1830007377</v>
          </cell>
          <cell r="B773" t="str">
            <v>CV7825F0</v>
          </cell>
          <cell r="J773" t="str">
            <v>Фен SIGNATURE PRO AC Silver Mozaic, мощность 2100 Вт, профессиональный AC мотор, керамическое покрытие решеток, 6 режимов, холодный воздух, узкие концентраторы, съемная решетка, петля для подвешивания, диффузор</v>
          </cell>
        </row>
        <row r="774">
          <cell r="A774">
            <v>1830005758</v>
          </cell>
          <cell r="B774" t="str">
            <v>CV7822F0</v>
          </cell>
          <cell r="J774" t="str">
            <v>Фен Soft Touch Pro Elite, мощность 2100 Вт, профессиональный AC мотор, керамическое покрытие решеток, 6 режимов, холодный воздух, узкие концентраторы, съемная решетка, петля для подвешивания, диффузор</v>
          </cell>
        </row>
        <row r="775">
          <cell r="A775">
            <v>1830006389</v>
          </cell>
          <cell r="B775" t="str">
            <v>CV7816F0</v>
          </cell>
          <cell r="J775" t="str">
            <v>AC motor</v>
          </cell>
        </row>
        <row r="776">
          <cell r="A776">
            <v>1830005749</v>
          </cell>
          <cell r="B776" t="str">
            <v>CV7812F0</v>
          </cell>
          <cell r="J776" t="str">
            <v>Фен Soft Touch Pro Elite, мощность 2100 Вт, профессиональный AC мотор, керамическое покрытие решеток, 6 режимов, холодный воздух, узкие концентраторы, съемная решетка, петля для подвешивания</v>
          </cell>
        </row>
        <row r="777">
          <cell r="A777">
            <v>1830005954</v>
          </cell>
          <cell r="B777" t="str">
            <v>CV7810F0</v>
          </cell>
          <cell r="J777" t="str">
            <v>Фен Signature PRO AC Rowenta: профессиональный AC мотор, 2200 Вт, 2 скорости/3 температурных режима, холодный воздух, ионизатор, 9 мм концентратор</v>
          </cell>
        </row>
        <row r="778">
          <cell r="A778">
            <v>1830008163</v>
          </cell>
          <cell r="B778" t="str">
            <v>CV7827F0</v>
          </cell>
          <cell r="J778" t="str">
            <v>CV7827F0 Фен</v>
          </cell>
        </row>
        <row r="779">
          <cell r="A779">
            <v>1830008407</v>
          </cell>
          <cell r="B779" t="str">
            <v>TN4500F4</v>
          </cell>
          <cell r="J779" t="str">
            <v>Машинка для стрижки бороды, лезвия из нержавеющей стали с титановым лезвием, 1 настройка скорости, минимальная длина стрижки 0,5, 2 насадки для бороды, автономная работа 120 мин, в комплекте расческа и ножнички</v>
          </cell>
        </row>
        <row r="780">
          <cell r="A780">
            <v>3201112310</v>
          </cell>
          <cell r="B780" t="str">
            <v>1882199992</v>
          </cell>
          <cell r="J780" t="str">
            <v>Набор ножей 6 пр. с блоком SEQUENCE</v>
          </cell>
        </row>
        <row r="781">
          <cell r="A781">
            <v>7211004499</v>
          </cell>
          <cell r="B781" t="str">
            <v>TT693110</v>
          </cell>
          <cell r="J781" t="str">
            <v>Тостер Tefal Sense TT693110 с большим цифромым дисплеем с обратным отсчетом времени; 4 функции: остановка/ подогрев/ разморозка/ 7 уровней поджаривания; высокий подъем тостов; съемный поддон для крошек</v>
          </cell>
        </row>
        <row r="782">
          <cell r="A782">
            <v>8010001285</v>
          </cell>
          <cell r="B782" t="str">
            <v>EA912B10</v>
          </cell>
          <cell r="J782" t="str">
            <v>– автоматическая
кофемашина Sensation Milk предлагает 6 напитков из свежемолотых кофейных зерен с ярким,
неповторимым вкусом. Благодаря удобным настройкам на панели управления готовить вкуснейшие
латте и капучино легко как никогда: просто выберите желаемый объем, крепость и количество горячей
молочной пены, от легкой до плотной. Автоматическая кофемашина проста в обслуживании и уходе, а ее
компактный корпус гармонично впишется в любое кухонное пространство</v>
          </cell>
        </row>
        <row r="783">
          <cell r="A783">
            <v>8010001439</v>
          </cell>
          <cell r="B783" t="str">
            <v>EA912B10</v>
          </cell>
          <cell r="J783" t="str">
            <v>– автоматическая
кофемашина Sensation Milk предлагает 6 напитков из свежемолотых кофейных зерен с ярким,
неповторимым вкусом. Благодаря удобным настройкам на панели управления готовить вкуснейшие
латте и капучино легко как никогда: просто выберите желаемый объем, крепость и количество горячей
молочной пены, от легкой до плотной. Автоматическая кофемашина проста в обслуживании и уходе, а ее
компактный корпус гармонично впишется в любое кухонное пространство</v>
          </cell>
        </row>
        <row r="784">
          <cell r="A784">
            <v>8010001438</v>
          </cell>
          <cell r="B784" t="str">
            <v>EA912910</v>
          </cell>
          <cell r="J784" t="str">
            <v>– автоматическая
кофемашина Sensation Milk предлагает 6 напитков из свежемолотых кофейных зерен с ярким,
неповторимым вкусом. Благодаря удобным настройкам на панели управления готовить вкуснейшие
латте и капучино легко как никогда: просто выберите желаемый объем, крепость и количество горячей
молочной пены, от легкой до плотной. Автоматическая кофемашина проста в обслуживании и уходе, а ее
компактный корпус гармонично впишется в любое кухонное пространство</v>
          </cell>
        </row>
        <row r="785">
          <cell r="A785">
            <v>8010001287</v>
          </cell>
          <cell r="B785" t="str">
            <v>EA912910</v>
          </cell>
          <cell r="J785" t="str">
            <v>– автоматическая
кофемашина Sensation Milk предлагает 6 напитков из свежемолотых кофейных зерен с ярким,
неповторимым вкусом. Благодаря удобным настройкам на панели управления готовить вкуснейшие
латте и капучино легко как никогда: просто выберите желаемый объем, крепость и количество горячей
молочной пены, от легкой до плотной. Автоматическая кофемашина проста в обслуживании и уходе, а ее
компактный корпус гармонично впишется в любое кухонное пространство</v>
          </cell>
        </row>
        <row r="786">
          <cell r="A786">
            <v>8010001203</v>
          </cell>
          <cell r="B786" t="str">
            <v>EA910810</v>
          </cell>
          <cell r="J786" t="str">
            <v>Полностью автоматическая эспрессо машина от  KRUPS Quattro Force. 5 встроенных рецептов кофейных напитков. LCD дисплей с легким доступом ко всем функциям.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фильтр для воды, таблетки для чистки варочного механизма.</v>
          </cell>
        </row>
        <row r="787">
          <cell r="A787">
            <v>8010001432</v>
          </cell>
          <cell r="B787" t="str">
            <v>EA910810</v>
          </cell>
          <cell r="J787" t="str">
            <v>Полностью автоматическая эспрессо машина от  KRUPS Quattro Force. 5 встроенных рецептов кофейных напитков. LCD дисплей с легким доступом ко всем функциям.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фильтр для воды, таблетки для чистки варочного механизма.</v>
          </cell>
        </row>
        <row r="788">
          <cell r="A788">
            <v>3100502437</v>
          </cell>
          <cell r="B788">
            <v>502437</v>
          </cell>
          <cell r="J788" t="str">
            <v>Термос SENATOR CLASS 1.0л черная кожа</v>
          </cell>
        </row>
        <row r="789">
          <cell r="A789">
            <v>3100515715</v>
          </cell>
          <cell r="B789">
            <v>515715</v>
          </cell>
          <cell r="J789" t="str">
            <v>Термос SENATOR Sleeve 1л, красный</v>
          </cell>
        </row>
        <row r="790">
          <cell r="A790">
            <v>3100515714</v>
          </cell>
          <cell r="B790">
            <v>515714</v>
          </cell>
          <cell r="J790" t="str">
            <v>Термос SENATOR Sleeve 1л, черный</v>
          </cell>
        </row>
        <row r="791">
          <cell r="A791">
            <v>3100516870</v>
          </cell>
          <cell r="B791">
            <v>516870</v>
          </cell>
          <cell r="J791" t="str">
            <v>Термос SENATOR SLEEVE 1 л желтый</v>
          </cell>
        </row>
        <row r="792">
          <cell r="A792">
            <v>3100516868</v>
          </cell>
          <cell r="B792">
            <v>516868</v>
          </cell>
          <cell r="J792" t="str">
            <v>Термос SENATOR SLEEVE 1 л красный</v>
          </cell>
        </row>
        <row r="793">
          <cell r="A793">
            <v>3100515716</v>
          </cell>
          <cell r="B793">
            <v>515716</v>
          </cell>
          <cell r="J793" t="str">
            <v>Термос SENATOR Sleeve 1л, белый</v>
          </cell>
        </row>
        <row r="794">
          <cell r="A794">
            <v>3100502435</v>
          </cell>
          <cell r="B794">
            <v>502435</v>
          </cell>
          <cell r="J794" t="str">
            <v>Термос SENATOR CLASS 0.7л черная кожа</v>
          </cell>
        </row>
        <row r="795">
          <cell r="A795">
            <v>3100000002</v>
          </cell>
          <cell r="B795">
            <v>618101600</v>
          </cell>
          <cell r="J795" t="str">
            <v>Термос SENATOR 1л, нерж.сталь</v>
          </cell>
        </row>
        <row r="796">
          <cell r="A796">
            <v>3100000005</v>
          </cell>
          <cell r="B796">
            <v>618701600</v>
          </cell>
          <cell r="J796" t="str">
            <v>Термос SENATOR 0.7л, нерж.сталь</v>
          </cell>
        </row>
        <row r="797">
          <cell r="A797">
            <v>3100515712</v>
          </cell>
          <cell r="B797">
            <v>515712</v>
          </cell>
          <cell r="J797" t="str">
            <v>Термос SENATOR Sleeve 0.5л, красный</v>
          </cell>
        </row>
        <row r="798">
          <cell r="A798">
            <v>3100515711</v>
          </cell>
          <cell r="B798">
            <v>515711</v>
          </cell>
          <cell r="J798" t="str">
            <v>Термос SENATOR Sleeve 0.5л, черный</v>
          </cell>
        </row>
        <row r="799">
          <cell r="A799">
            <v>3100515713</v>
          </cell>
          <cell r="B799">
            <v>515713</v>
          </cell>
          <cell r="J799" t="str">
            <v>Термос SENATOR Sleeve 0.5л, белый</v>
          </cell>
        </row>
        <row r="800">
          <cell r="A800">
            <v>3100515222</v>
          </cell>
          <cell r="B800">
            <v>515222</v>
          </cell>
          <cell r="J800" t="str">
            <v>Термос SENATOR 0.7л красный</v>
          </cell>
        </row>
        <row r="801">
          <cell r="A801">
            <v>3100000004</v>
          </cell>
          <cell r="B801">
            <v>618501600</v>
          </cell>
          <cell r="J801" t="str">
            <v>Термос SENATOR 0.5л, нерж.сталь</v>
          </cell>
        </row>
        <row r="802">
          <cell r="A802">
            <v>3100504207</v>
          </cell>
          <cell r="B802">
            <v>504207</v>
          </cell>
          <cell r="J802" t="str">
            <v>Термос SENATOR для еды 1.4л нерж.сталь</v>
          </cell>
        </row>
        <row r="803">
          <cell r="A803">
            <v>3100502524</v>
          </cell>
          <cell r="B803">
            <v>502524</v>
          </cell>
          <cell r="J803" t="str">
            <v>Термос SENATOR для еды 1.0л нерж.сталь</v>
          </cell>
        </row>
        <row r="804">
          <cell r="A804">
            <v>3100517998</v>
          </cell>
          <cell r="B804" t="str">
            <v>K3063414</v>
          </cell>
          <cell r="J804" t="str">
            <v>Термос "СЕНАТОР" 1 л, из нерж.стали</v>
          </cell>
        </row>
        <row r="805">
          <cell r="A805">
            <v>3100517997</v>
          </cell>
          <cell r="B805" t="str">
            <v>K3063314</v>
          </cell>
          <cell r="J805" t="str">
            <v>Термос "СЕНАТОР" 0.7л, из нерж.стали</v>
          </cell>
        </row>
        <row r="806">
          <cell r="A806">
            <v>3100517996</v>
          </cell>
          <cell r="B806" t="str">
            <v>K3063214</v>
          </cell>
          <cell r="J806" t="str">
            <v>Термос "СЕНАТОР" 0.5л, из нерж.стали</v>
          </cell>
        </row>
        <row r="807">
          <cell r="A807">
            <v>7211419755</v>
          </cell>
          <cell r="B807" t="str">
            <v>KI871DE0</v>
          </cell>
          <cell r="J807" t="str">
            <v>Чайник с двойными стенками, внутренняя колба из нержавеющей стали, встроенный  дисплей, 5 уровней температуры: 40°C / 70°C / 80°C / 90°C / 100°C, поддержание тепла 30 мин, съемный фильтр от накипи, объем 1.7 Л, мощность 1800 Вт</v>
          </cell>
        </row>
        <row r="808">
          <cell r="A808">
            <v>7211003865</v>
          </cell>
          <cell r="B808" t="str">
            <v>GC740B30</v>
          </cell>
          <cell r="J808" t="str">
            <v>ГРИЛЬ GRILL SELECT GRILL GREY EE</v>
          </cell>
        </row>
        <row r="809">
          <cell r="A809">
            <v>7211002465</v>
          </cell>
          <cell r="B809" t="str">
            <v>KO260830</v>
          </cell>
          <cell r="J809" t="str">
            <v xml:space="preserve">Чайник Safe to touch GLOSSY BLACK, металлический чайник с двойными стенками, которые предотвращают ожоги, внутренняя колба-нержавеющая сталь, внешние стенки чайника- глянцевый пластик, 1,7л, 2400В, скрытый нагревательный элемент, кнопка включения с световым индикатором, поддержание температуры в течении 30 минут после закипания воды, фильтр против накипи,  вращение на подставке на 360 градусов, цвет-черный </v>
          </cell>
        </row>
        <row r="810">
          <cell r="A810">
            <v>7211002463</v>
          </cell>
          <cell r="B810" t="str">
            <v>KO260130</v>
          </cell>
          <cell r="J810" t="str">
            <v>Чайник Safe to touch GLOSSY WHITE, металлический чайник с двойными стенками, которые предотвращают ожоги, внутренняя колба-нержавеющая сталь, внешние стенки чайника- глянцевый пластик, 1,7л, 2400В, скрытый нагревательный элемент, кнопка включения с световым индикатором, поддержание температуры в течении 30 минут после закипания воды, фильтр против накипи,  вращение на подставке на 360 градусов, цвет-белый</v>
          </cell>
        </row>
        <row r="811">
          <cell r="A811">
            <v>3201000232</v>
          </cell>
          <cell r="B811" t="str">
            <v>1886869990</v>
          </cell>
          <cell r="J811" t="str">
            <v>Разделочная доска со сливом 26х20 см</v>
          </cell>
        </row>
        <row r="812">
          <cell r="A812">
            <v>1830008144</v>
          </cell>
          <cell r="B812" t="str">
            <v>CV9240F0</v>
          </cell>
          <cell r="J812" t="str">
            <v>SCALP CARE DRYER</v>
          </cell>
        </row>
        <row r="813">
          <cell r="A813">
            <v>3100600288</v>
          </cell>
          <cell r="B813" t="str">
            <v>N4011000</v>
          </cell>
          <cell r="J813" t="str">
            <v>Термос-чайник SAMBA Волны 1 л синий</v>
          </cell>
        </row>
        <row r="814">
          <cell r="A814">
            <v>3100600287</v>
          </cell>
          <cell r="B814" t="str">
            <v>N4010900</v>
          </cell>
          <cell r="J814" t="str">
            <v>Термос-чайник SAMBA Волны 1 л "камень"</v>
          </cell>
        </row>
        <row r="815">
          <cell r="A815">
            <v>3100600286</v>
          </cell>
          <cell r="B815" t="str">
            <v>N4010800</v>
          </cell>
          <cell r="J815" t="str">
            <v>Термос-чайник SAMBA Волны 1 л "мята"</v>
          </cell>
        </row>
        <row r="816">
          <cell r="A816">
            <v>3100600285</v>
          </cell>
          <cell r="B816" t="str">
            <v>N4010700</v>
          </cell>
          <cell r="J816" t="str">
            <v>Термос-чайник SAMBA Волны 1 л "коралл"</v>
          </cell>
        </row>
        <row r="817">
          <cell r="A817">
            <v>3100518233</v>
          </cell>
          <cell r="B817" t="str">
            <v>K3034312</v>
          </cell>
          <cell r="J817" t="str">
            <v>Термос-чайник 1л Tefal K3034312 (Белый)</v>
          </cell>
        </row>
        <row r="818">
          <cell r="A818">
            <v>3100518230</v>
          </cell>
          <cell r="B818" t="str">
            <v>K3031312</v>
          </cell>
          <cell r="J818" t="str">
            <v>Термос-чайник 1л Tefal K3031312 (Красный)</v>
          </cell>
        </row>
        <row r="819">
          <cell r="A819">
            <v>3100509819</v>
          </cell>
          <cell r="B819">
            <v>509819</v>
          </cell>
          <cell r="J819" t="str">
            <v>Термос-чайник SAMBA 1 л лазурный</v>
          </cell>
        </row>
        <row r="820">
          <cell r="A820">
            <v>3100508950</v>
          </cell>
          <cell r="B820">
            <v>508950</v>
          </cell>
          <cell r="J820" t="str">
            <v>Термос-чайник SAMBA 1 л желтый</v>
          </cell>
        </row>
        <row r="821">
          <cell r="A821">
            <v>3100507075</v>
          </cell>
          <cell r="B821">
            <v>507075</v>
          </cell>
          <cell r="J821" t="str">
            <v>Термос-чайник SAMBA 1 л розовый</v>
          </cell>
        </row>
        <row r="822">
          <cell r="A822">
            <v>3100505763</v>
          </cell>
          <cell r="B822">
            <v>505763</v>
          </cell>
          <cell r="J822" t="str">
            <v>Термос-чайник SAMBA 1 л светло-зеленый</v>
          </cell>
        </row>
        <row r="823">
          <cell r="A823">
            <v>3100505490</v>
          </cell>
          <cell r="B823">
            <v>505490</v>
          </cell>
          <cell r="J823" t="str">
            <v>Термос-чайник SAMBA 1 л фиолетовый</v>
          </cell>
        </row>
        <row r="824">
          <cell r="A824">
            <v>3100504687</v>
          </cell>
          <cell r="B824">
            <v>504687</v>
          </cell>
          <cell r="J824" t="str">
            <v>Термос-чайник SAMBA 1 л белый</v>
          </cell>
        </row>
        <row r="825">
          <cell r="A825">
            <v>3100504234</v>
          </cell>
          <cell r="B825">
            <v>504234</v>
          </cell>
          <cell r="J825" t="str">
            <v>Термос-чайник SAMBA 1 л оранжевый</v>
          </cell>
        </row>
        <row r="826">
          <cell r="A826">
            <v>3100504232</v>
          </cell>
          <cell r="B826">
            <v>504232</v>
          </cell>
          <cell r="J826" t="str">
            <v>Термос-чайник SAMBA 1 л красный</v>
          </cell>
        </row>
        <row r="827">
          <cell r="A827">
            <v>3100504231</v>
          </cell>
          <cell r="B827">
            <v>504231</v>
          </cell>
          <cell r="J827" t="str">
            <v>Термос-чайник SAMBA 1 л синий</v>
          </cell>
        </row>
        <row r="828">
          <cell r="A828">
            <v>7211004555</v>
          </cell>
          <cell r="B828" t="str">
            <v>LM17GD10</v>
          </cell>
          <cell r="J828" t="str">
            <v>Персональный стац блендер 400 Вт, 2 скорости + Стакан</v>
          </cell>
        </row>
        <row r="829">
          <cell r="A829">
            <v>7211001804</v>
          </cell>
          <cell r="B829" t="str">
            <v>KO371I30</v>
          </cell>
          <cell r="J829" t="str">
            <v>Чайник Safe to touch PEARLISCENT COPPER, металлический чайник с двойными стенками, которые предотвращают ожоги, внутренняя колба-нержавеющая сталь, внешние стенки чайника- глянцевый пластик, 1,5л, 2400В, скрытый нагревательный элемент, кнопка включения с световым индикатором, поддержание температуры в течении 30 минут после закипания воды, фильтр против накипи,  вращение на подставке на 360 градусов, цвет- золотой перламутр</v>
          </cell>
        </row>
        <row r="830">
          <cell r="A830">
            <v>3100518517</v>
          </cell>
          <cell r="B830">
            <v>518517</v>
          </cell>
          <cell r="J830" t="str">
            <v>Термос ROCKET 0,9 л красный</v>
          </cell>
        </row>
        <row r="831">
          <cell r="A831">
            <v>3100502447</v>
          </cell>
          <cell r="B831">
            <v>502447</v>
          </cell>
          <cell r="J831" t="str">
            <v>Термос ROCKET 0.75л красный</v>
          </cell>
        </row>
        <row r="832">
          <cell r="A832">
            <v>3100502445</v>
          </cell>
          <cell r="B832">
            <v>502445</v>
          </cell>
          <cell r="J832" t="str">
            <v>Термос ROCKET 0.75л синий</v>
          </cell>
        </row>
        <row r="833">
          <cell r="A833">
            <v>3100514536</v>
          </cell>
          <cell r="B833">
            <v>514536</v>
          </cell>
          <cell r="J833" t="str">
            <v>Термос ROCKET для еды 1.4л 2 контейнера зеленый</v>
          </cell>
        </row>
        <row r="834">
          <cell r="A834">
            <v>3100514535</v>
          </cell>
          <cell r="B834">
            <v>514535</v>
          </cell>
          <cell r="J834" t="str">
            <v>Термос ROCKET для еды 1.4л 2 контейнера синий</v>
          </cell>
        </row>
        <row r="835">
          <cell r="A835">
            <v>3100514534</v>
          </cell>
          <cell r="B835">
            <v>514534</v>
          </cell>
          <cell r="J835" t="str">
            <v>Термос ROCKET для еды 1.0л 2 контейнера зеленый</v>
          </cell>
        </row>
        <row r="836">
          <cell r="A836">
            <v>3100514533</v>
          </cell>
          <cell r="B836">
            <v>514533</v>
          </cell>
          <cell r="J836" t="str">
            <v>Термос ROCKET для еды 1.0л 2 контейнера синий</v>
          </cell>
        </row>
        <row r="837">
          <cell r="A837">
            <v>9100049220</v>
          </cell>
          <cell r="B837">
            <v>4225124</v>
          </cell>
          <cell r="J837" t="str">
            <v>Сковорода 24 Rock</v>
          </cell>
        </row>
        <row r="838">
          <cell r="A838">
            <v>9100049221</v>
          </cell>
          <cell r="B838">
            <v>4225126</v>
          </cell>
          <cell r="J838" t="str">
            <v>Сковорода 26 Rock</v>
          </cell>
        </row>
        <row r="839">
          <cell r="A839">
            <v>9100049222</v>
          </cell>
          <cell r="B839">
            <v>4225128</v>
          </cell>
          <cell r="J839" t="str">
            <v>Сковорода 28 Rock</v>
          </cell>
        </row>
        <row r="840">
          <cell r="A840">
            <v>9100049223</v>
          </cell>
          <cell r="B840">
            <v>4225525</v>
          </cell>
          <cell r="J840" t="str">
            <v>Сковорода для блинов 25 Rock</v>
          </cell>
        </row>
        <row r="841">
          <cell r="A841">
            <v>9100049224</v>
          </cell>
          <cell r="B841">
            <v>4225628</v>
          </cell>
          <cell r="J841" t="str">
            <v>Сковорода ВОК 28 Rock</v>
          </cell>
        </row>
        <row r="842">
          <cell r="A842">
            <v>9100054293</v>
          </cell>
          <cell r="B842">
            <v>4235124</v>
          </cell>
          <cell r="J842" t="str">
            <v>Сковорода 24 Rock</v>
          </cell>
        </row>
        <row r="843">
          <cell r="A843">
            <v>9100054294</v>
          </cell>
          <cell r="B843">
            <v>4235126</v>
          </cell>
          <cell r="J843" t="str">
            <v>Сковорода 26 Rock</v>
          </cell>
        </row>
        <row r="844">
          <cell r="A844">
            <v>9100054295</v>
          </cell>
          <cell r="B844">
            <v>4235128</v>
          </cell>
          <cell r="J844" t="str">
            <v>Сковорода 28 Rock</v>
          </cell>
        </row>
        <row r="845">
          <cell r="A845">
            <v>9100054296</v>
          </cell>
          <cell r="B845">
            <v>4235525</v>
          </cell>
          <cell r="J845" t="str">
            <v>Сковорода для блинов 25 Rock</v>
          </cell>
        </row>
        <row r="846">
          <cell r="A846">
            <v>9100054297</v>
          </cell>
          <cell r="B846">
            <v>4235628</v>
          </cell>
          <cell r="J846" t="str">
            <v>Сковорода ВОК 28 Rock</v>
          </cell>
        </row>
        <row r="847">
          <cell r="A847">
            <v>2211400296</v>
          </cell>
          <cell r="B847" t="str">
            <v>RG7133RH</v>
          </cell>
          <cell r="J847" t="str">
            <v>Робот-пылесос SMART FORCE EXTREME, время работы до 100 мин, 4  программы , время зарядки  4,5 часа, объем контейнера для пыли 0,25 л., литий-ионная батарея, высота 9,5 см, диаметр 33 см, цвет красный</v>
          </cell>
        </row>
        <row r="848">
          <cell r="A848">
            <v>2211400297</v>
          </cell>
          <cell r="B848" t="str">
            <v>RG7145RH</v>
          </cell>
          <cell r="J848" t="str">
            <v>Робот-пылесос SMART FORCE EXTREME, время работы до 100 мин, 4  программы , время зарядки  4,5 часа, объем контейнера для пыли 0,25 л., литий-ионная батарея, высота 9,5 см, диаметр 33 см, цвет черный</v>
          </cell>
        </row>
        <row r="849">
          <cell r="A849">
            <v>1830009168</v>
          </cell>
          <cell r="B849" t="str">
            <v xml:space="preserve">CF9840F0 </v>
          </cell>
          <cell r="J849" t="str">
            <v>DRY AND BRUSH</v>
          </cell>
        </row>
        <row r="850">
          <cell r="A850">
            <v>1830006016</v>
          </cell>
          <cell r="B850" t="str">
            <v>CV7461F0</v>
          </cell>
          <cell r="J850" t="str">
            <v xml:space="preserve">Фен Premium Care Respect Pro от Rowenta: линейка Premium Care (cashmere keratin покрытие решетки фена), мощность 2400 Вт, функция RESPECT для защиты волосы (удерживает на +25% больше влаги в волосах при сушке в режиме Respect, не обезвоживает), 2 скорости/3 температурных режима, холодный воздух, ионизатор, концентратор и активный диффузор с массажными "пальчиками" </v>
          </cell>
        </row>
        <row r="851">
          <cell r="A851">
            <v>1830006028</v>
          </cell>
          <cell r="B851" t="str">
            <v>SF7660F0</v>
          </cell>
          <cell r="J851" t="str">
            <v>Premium Care Liss and Curl</v>
          </cell>
        </row>
        <row r="852">
          <cell r="A852">
            <v>1830007828</v>
          </cell>
          <cell r="B852" t="str">
            <v>SF7461F0</v>
          </cell>
          <cell r="J852" t="str">
            <v>Выпрямитель Premium Care 7/7: покрытие Cashmere Keratin Ceramic (керамическое покрытие с напылением уникального слоя cashmere keratin), защита волос в процессе выпрямления при температуре 170 градусов (не повреждающей структуру волос), ионизация, плавающие пластины, быстрый нагрев за 30 секунд, LCD экран с выбором температуры (от 130 до 200 градусов), автовыключение, чехол</v>
          </cell>
        </row>
        <row r="853">
          <cell r="A853">
            <v>1830006013</v>
          </cell>
          <cell r="B853" t="str">
            <v>SF7460F0</v>
          </cell>
          <cell r="J853" t="str">
            <v>Выпрямитель Premium Care 7/7: покрытие Cashmere Keratin Ceramic (керамическое покрытие с напылением уникального слоя cashmere keratin), защита волос в процессе выпрямления при температуре 170 градусов (не повреждающей структуру волос), ионизация, плавающие пластины, быстрый нагрев за 30 секунд, LCD экран с выбором температуры (от 130 до 200 градусов), автовыключение</v>
          </cell>
        </row>
        <row r="854">
          <cell r="A854">
            <v>2100128311</v>
          </cell>
          <cell r="B854" t="str">
            <v>C4250413</v>
          </cell>
          <cell r="J854" t="str">
            <v>Сковорода 24 см Renew</v>
          </cell>
        </row>
        <row r="855">
          <cell r="A855">
            <v>2100128312</v>
          </cell>
          <cell r="B855" t="str">
            <v>C4250513</v>
          </cell>
          <cell r="J855" t="str">
            <v>Сковорода 26 см Renew</v>
          </cell>
        </row>
        <row r="856">
          <cell r="A856">
            <v>2100128313</v>
          </cell>
          <cell r="B856" t="str">
            <v>C4250613</v>
          </cell>
          <cell r="J856" t="str">
            <v>Сковорода 28 см Renew</v>
          </cell>
        </row>
        <row r="857">
          <cell r="A857">
            <v>2100128310</v>
          </cell>
          <cell r="B857" t="str">
            <v>C4251913</v>
          </cell>
          <cell r="J857" t="str">
            <v>ВОК 28 см Renew</v>
          </cell>
        </row>
        <row r="858">
          <cell r="A858">
            <v>8010000137</v>
          </cell>
          <cell r="B858" t="str">
            <v>HM3128B1</v>
          </cell>
          <cell r="J858" t="str">
            <v>НАСТОЛЬНЫЙ МИКСЕР MOULINEX HM3121B1, 300 ВТ, 5 СКОРОСТЕЙ + ТУРБО, МЕТАЛЛИЧЕСКИЕ ВЕНЧИКИ, НАСАДКА ДЛЯ ЗАМЕСА ГУСТОГО ТЕСТА, ВРАЩАЮЩАЯСЯ ЧАША ИЗ НЕРЖАВЕЮЩЕЙ СТАЛИ, ОБЪЕМ - 3,5Л. КОРПУС - ПЛАСТИК. ПРОИЗВОДСТВО - КНР.</v>
          </cell>
        </row>
        <row r="859">
          <cell r="A859">
            <v>8000036062</v>
          </cell>
          <cell r="B859" t="str">
            <v>HM3121B1</v>
          </cell>
          <cell r="J859" t="str">
            <v>НАСТОЛЬНЫЙ МИКСЕР MOULINEX HM3121B1, 300 ВТ, 5 СКОРОСТЕЙ + ТУРБО, МЕТАЛЛИЧЕСКИЕ ВЕНЧИКИ, НАСАДКА ДЛЯ ЗАМЕСА ГУСТОГО ТЕСТА, ВРАЩАЮЩАЯСЯ ЧАША ИЗ НЕРЖАВЕЮЩЕЙ СТАЛИ, ОБЪЕМ - 3,5Л. КОРПУС - ПЛАСТИК. ПРОИЗВОДСТВО - КНР.</v>
          </cell>
        </row>
        <row r="860">
          <cell r="A860">
            <v>8010001084</v>
          </cell>
          <cell r="B860" t="str">
            <v>HM310E10</v>
          </cell>
          <cell r="J860" t="str">
            <v>HMX QUICKMIX 300W SILVER EU</v>
          </cell>
        </row>
        <row r="861">
          <cell r="A861">
            <v>8010000152</v>
          </cell>
          <cell r="B861" t="str">
            <v>HM3108B1</v>
          </cell>
          <cell r="J861" t="str">
            <v xml:space="preserve">РУЧНОЙ МИКСЕР MOULINEX QUICKMIX HM3108B1, 300 ВТ, 5 СКОРОСТЕЙ + ТУРБО, МЕТАЛЛИЧЕСКИЕ ВЕНЧИКИ И КРЮКИ, КНОПКА ДЛЯ ЛЕГКОГО ОТСОЕДИНЕНИЯ НАСАДОК, ЦВЕТ-ЧЕРНЫЙ. </v>
          </cell>
        </row>
        <row r="862">
          <cell r="A862">
            <v>8000035985</v>
          </cell>
          <cell r="B862" t="str">
            <v>HM3101B1</v>
          </cell>
          <cell r="J862" t="str">
            <v xml:space="preserve">РУЧНОЙ МИКСЕР MOULINEX QUICKMIX HM3101B1, 300 ВТ, 5 СКОРОСТЕЙ + ТУРБО, МЕТАЛЛИЧЕСКИЕ ВЕНЧИКИ И КРЮКИ, КНОПКА EJECT ДЛЯ ЛЕГКОГО ОТСОЕДИНЕНИЯ НАСАДОК, ЦВЕТ-БЕЛЫЙ. </v>
          </cell>
        </row>
        <row r="863">
          <cell r="A863">
            <v>7211419169</v>
          </cell>
          <cell r="B863" t="str">
            <v>DD673B10</v>
          </cell>
          <cell r="J863" t="str">
            <v>Погружной блендер Quickchef+</v>
          </cell>
        </row>
        <row r="864">
          <cell r="A864">
            <v>7211419172</v>
          </cell>
          <cell r="B864" t="str">
            <v>DD67G810</v>
          </cell>
          <cell r="J864" t="str">
            <v>Погружной блендер Quickchef+</v>
          </cell>
        </row>
        <row r="865">
          <cell r="A865">
            <v>7211419171</v>
          </cell>
          <cell r="B865" t="str">
            <v>DD67L810</v>
          </cell>
          <cell r="J865" t="str">
            <v>Погружной блендер Quickchef+</v>
          </cell>
        </row>
        <row r="866">
          <cell r="A866">
            <v>7211419170</v>
          </cell>
          <cell r="B866" t="str">
            <v>DD674810</v>
          </cell>
          <cell r="J866" t="str">
            <v>Погружной блендер Quickchef+</v>
          </cell>
        </row>
        <row r="867">
          <cell r="A867">
            <v>7211419176</v>
          </cell>
          <cell r="B867" t="str">
            <v>HB67E830</v>
          </cell>
          <cell r="J867" t="str">
            <v>Погружной блендер Quickchef+</v>
          </cell>
        </row>
        <row r="868">
          <cell r="A868">
            <v>7211003369</v>
          </cell>
          <cell r="B868" t="str">
            <v>DD65J810</v>
          </cell>
          <cell r="J868" t="str">
            <v>DD65J810 HBL QUICKCHEF 1000W 20SP 4IN1</v>
          </cell>
        </row>
        <row r="869">
          <cell r="A869">
            <v>7211002491</v>
          </cell>
          <cell r="B869" t="str">
            <v>DD655832</v>
          </cell>
          <cell r="J869" t="str">
            <v>ПОГРУЖНОЙ БЛЕНДЕР MOULINEX QUICKCHEF, МОЩНОСТЬ 1000 ВТ, 10 СКОРОСТЕЙ + ТУРБО-РЕЖИМ, МЕРНЫЙ СТАКАН, МЕТАЛЛИЧЕСКАЯ НОГА, ВЕНЧИК, ИЗМЕЛЬЧИТЕЛЬ 500МЛ, ПОДСВЕТКА СКОРОСТЕЙ, ЭРГОНОМИЧНАЯ РУЧКА С ПОКРЫТИЕМ SOFT TOUCH. СДЕЛАНО В КНР</v>
          </cell>
        </row>
        <row r="870">
          <cell r="A870">
            <v>7211002490</v>
          </cell>
          <cell r="B870" t="str">
            <v>DD656832</v>
          </cell>
          <cell r="J870" t="str">
            <v>ПОГРУЖНОЙ БЛЕНДЕР MOULINEX QUICKCHEF, МОЩНОСТЬ 1000 ВТ, 20 СКОРОСТЕЙ + ТУРБО-РЕЖИМ, МЕРНЫЙ СТАКАН, МЕТАЛЛИЧЕСКАЯ НОГА, ВЕНЧИК, ИЗМЕЛЬЧИТЕЛЬ 500МЛ, ПОДСВЕТКА СКОРОСТЕЙ, ЭРГОНОМИЧНАЯ РУЧКА С ПОКРЫТИЕМ SOFT TOUCH. СДЕЛАНО В КНР</v>
          </cell>
        </row>
        <row r="871">
          <cell r="A871">
            <v>7211003316</v>
          </cell>
          <cell r="B871" t="str">
            <v>DD65L832</v>
          </cell>
          <cell r="J871" t="str">
            <v>ПОГРУЖНОЙ БЛЕНДЕР MOULINEX QUICKCHEF, МОЩНОСТЬ 1000 ВТ, 20 СКОРОСТЕЙ + ТУРБО-РЕЖИМ, КУХОННЫЙ КОМБАЙН 3Л (ПОЛЕЗНЫЙ ОБЪЕМ 1,6Л) С ФУНКЦИЯМИ ТЕРКИ, ШИНКОВКИ, НАРЕЗКИ, ИЗМЕЛЬЧЕНИЯ И ВЗБИВАНИЯ, МЕРНЫЙ СТАКАН, МЕТАЛЛИЧЕСКАЯ НОГА, ВЕНЧИК, ИЗМЕЛЬЧИТЕЛЬ 500МЛ С ДОПОЛНИТЕЛЬНОЙ НАСАДКОЙ ДЛЯ КОЛКИ ЛЬДА, , ЭРГОНОМИЧНАЯ РУЧКА С ПОКРЫТИЕМ SOFT TOUCH.</v>
          </cell>
        </row>
        <row r="872">
          <cell r="A872">
            <v>7211000870</v>
          </cell>
          <cell r="B872" t="str">
            <v>DD65CD32</v>
          </cell>
          <cell r="J872" t="str">
            <v xml:space="preserve">ПОГРУЖНОЙ БЛЕНДЕР MOULINEX QUICKCHEF, МОЩНОСТЬ 800 ВТ, 20 СКОРОСТЕЙ + ТУРБО-РЕЖИМ,  МЕТАЛЛИЧЕСКАЯ НОГА, МЕТАЛЛИЧЕСКИЙ КОРПУС, ВЕНЧИК, ИЗМЕЛЬЧИТЕЛЬ 500МЛ, ПОДСВЕТКА СКОРОСТЕЙ, ЭРГОНОМИЧНАЯ РУЧКА С ПОКРЫТИЕМ SOFT TOUCH, МЕРНЫЙ СТАКАН, ЦВЕТ </v>
          </cell>
        </row>
        <row r="873">
          <cell r="A873">
            <v>7211002492</v>
          </cell>
          <cell r="B873" t="str">
            <v>DD653832</v>
          </cell>
          <cell r="J873" t="str">
            <v>ПОГРУЖНОЙ БЛЕНДЕР MOULINEX QUICKCHEF, МОЩНОСТЬ 800 ВТ, 20 СКОРОСТЕЙ + ТУРБО-РЕЖИМ, МЕРНЫЙ СТАКАН, МЕТАЛЛИЧЕСКАЯ НОГА, ВЕНЧИК, ИЗМЕЛЬЧИТЕЛЬ 500МЛ, ПОДСВЕТКА СКОРОСТЕЙ, ЭРГОНОМИЧНАЯ РУЧКА С ПОКРЫТИЕМ SOFT TOUCH. СДЕЛАНО В КНР</v>
          </cell>
        </row>
        <row r="874">
          <cell r="A874">
            <v>7211002505</v>
          </cell>
          <cell r="B874" t="str">
            <v>DD650832</v>
          </cell>
          <cell r="J874" t="str">
            <v>ПОГРУЖНОЙ БЛЕНДЕР MOULINEX QUICKCHEF, МОЩНОСТЬ 800 ВТ, 10 СКОРОСТЕЙ + ТУРБО-РЕЖИМ, МЕРНЫЙ СТАКАН, МЕТАЛЛИЧЕСКАЯ НОГА, ПОДСВЕТКА СКОРОСТЕЙ, ЭРГОНОМИЧНАЯ РУЧКА С ПОКРЫТИЕМ SOFT TOUCH. СДЕЛАНО В КНР</v>
          </cell>
        </row>
        <row r="875">
          <cell r="A875">
            <v>7211003150</v>
          </cell>
          <cell r="B875" t="str">
            <v>HB65KD38</v>
          </cell>
          <cell r="J875" t="str">
            <v>Погружной блендер, 20 скоростей, мощность 1000 Вт, в комплекте мерный стакан 800 мл, измельчитель 500 мл, венчик, насадка для колки льда. Цвет - серый</v>
          </cell>
        </row>
        <row r="876">
          <cell r="A876">
            <v>7211004922</v>
          </cell>
          <cell r="B876" t="str">
            <v>HB656G10</v>
          </cell>
          <cell r="J876" t="str">
            <v>Погружной блендер Quickchef 3 в 1 от Tefal – это исключительная производительность и полный контроль
над процессом измельчения. Оснащенный эксклюзивной технологией лезвий Powelix, он обеспечивает
быстрое и невероятно однородное смешивание даже самых твердых ингредиентов! Три универсальных
аксессуара – венчик, измельчитель и мерный стакан – открывают бесконечный простор для кулинарных
экспериментов, а 20 скоростей на интуитивном переключателе гарантируют безупречный вкус каждого
приготовленного блюда.</v>
          </cell>
        </row>
        <row r="877">
          <cell r="A877">
            <v>7211003977</v>
          </cell>
          <cell r="B877" t="str">
            <v>CE430A32</v>
          </cell>
          <cell r="J877" t="str">
            <v>МУЛЬТИВАРКА-СКОРОВАРКА: ОБЪЕМ 5 Л, МОЩНОСТЬ 1000 ВТ, 33 РЕЖИМА, ВКЛЮЧАЯ МУЛЬТИШЕФ - РЕГУЛИРОВКА ТЕМПЕРАТУРЫ И ВРЕМЕНИ ПРИГОТОВЛЕНИЯ (РАБОТАЕТ И С ДАВЛЕНИЕМ, И БЕЗ), ВОЗМОЖНОСТЬ ИЗМЕНЕНИЯ ТЕМПЕРАТУРЫ И ВРЕМЕНИ В АВТОМАТИЧЕСКИХ ПРОГРАММАХ; ПОДДЕРЖАНИЕ В РАЗОГРЕТОМ СОСТОЯНИИ И ОТСРОЧКА СТАРТА ДО 24 ЧАСОВ; СЪЕМНАЯ 4Х СЛОЙНАЯ ЧАША С КЕРАМИЧЕСКИМ ПОКРЫТИЕМ; КНОПКА СПУСКА ДАВЛЕНИЯ, КОРЗИНА ДЛЯ ПРИГОТОВЛЕНИЯ НА ПАРУ, МЕРНАЯ ЧАШКА И СПЕЦИАЛЬНЫЕ ЛОЖКИ ДЛЯ СУПА И РИСА, КНИГА РЕЦЕПТОВ В КОМПЛЕКТЕ. МАТЕРИАЛ КОРПУСА - ПЛАСТИК+МЕТАЛЛ. ЦВЕТ - ШАМПАНЬ.</v>
          </cell>
        </row>
        <row r="878">
          <cell r="A878">
            <v>7211003968</v>
          </cell>
          <cell r="B878" t="str">
            <v>CE430832</v>
          </cell>
          <cell r="J878" t="str">
            <v>МУЛЬТИВАРКА-СКОРОВАРКА: ОБЪЕМ 5 Л, МОЩНОСТЬ 1000 ВТ, 33 РЕЖИМА, ВКЛЮЧАЯ МУЛЬТИШЕФ - РЕГУЛИРОВКА ТЕМПЕРАТУРЫ И ВРЕМЕНИ ПРИГОТОВЛЕНИЯ (РАБОТАЕТ И С ДАВЛЕНИЕМ, И БЕЗ), ВОЗМОЖНОСТЬ ИЗМЕНЕНИЯ ТЕМПЕРАТУРЫ И ВРЕМЕНИ В АВТОМАТИЧЕСКИХ ПРОГРАММАХ; ПОДДЕРЖАНИЕ В РАЗОГРЕТОМ СОСТОЯНИИ И ОТСРОЧКА СТАРТА ДО 24 ЧАСОВ; СЪЕМНАЯ 4Х СЛОЙНАЯ ЧАША С КЕРАМИЧЕСКИМ ПОКРЫТИЕМ; КНОПКА СПУСКА ДАВЛЕНИЯ, КОРЗИНА ДЛЯ ПРИГОТОВЛЕНИЯ НА ПАРУ, МЕРНАЯ ЧАШКА И СПЕЦИАЛЬНЫЕ ЛОЖКИ ДЛЯ СУПА И РИСА, КНИГА РЕЦЕПТОВ В КОМПЛЕКТЕ. МАТЕРИАЛ КОРПУСА - ПЛАСТИК+МЕТАЛЛ. ЦВЕТ - ШАМПАНЬ.</v>
          </cell>
        </row>
        <row r="879">
          <cell r="A879">
            <v>1830007768</v>
          </cell>
          <cell r="B879" t="str">
            <v>XD4130F0</v>
          </cell>
          <cell r="J879" t="str">
            <v>Сменная насадка щетка силиконовая для LV40*</v>
          </cell>
        </row>
        <row r="880">
          <cell r="A880">
            <v>1830007774</v>
          </cell>
          <cell r="B880" t="str">
            <v>XD4120F0</v>
          </cell>
          <cell r="J880" t="str">
            <v>Сменная насадка щетка для чувствительной кожи для LV40*</v>
          </cell>
        </row>
        <row r="881">
          <cell r="A881">
            <v>1830007767</v>
          </cell>
          <cell r="B881" t="str">
            <v>XD4110F0</v>
          </cell>
          <cell r="J881" t="str">
            <v>Сменная насадка щетка  для LV40*</v>
          </cell>
        </row>
        <row r="882">
          <cell r="A882">
            <v>9100047719</v>
          </cell>
          <cell r="B882">
            <v>4214122</v>
          </cell>
          <cell r="J882" t="str">
            <v xml:space="preserve">Сковорода 22 Pure Red </v>
          </cell>
        </row>
        <row r="883">
          <cell r="A883">
            <v>9100047720</v>
          </cell>
          <cell r="B883">
            <v>4214124</v>
          </cell>
          <cell r="J883" t="str">
            <v xml:space="preserve">Сковорода 24 Pure Red </v>
          </cell>
        </row>
        <row r="884">
          <cell r="A884">
            <v>9100047721</v>
          </cell>
          <cell r="B884">
            <v>4214126</v>
          </cell>
          <cell r="J884" t="str">
            <v xml:space="preserve">Сковорода 26 Pure Red </v>
          </cell>
        </row>
        <row r="885">
          <cell r="A885">
            <v>9100047722</v>
          </cell>
          <cell r="B885">
            <v>4214128</v>
          </cell>
          <cell r="J885" t="str">
            <v>Сковорода 28 Pure Red</v>
          </cell>
        </row>
        <row r="886">
          <cell r="A886">
            <v>9100047723</v>
          </cell>
          <cell r="B886">
            <v>4214522</v>
          </cell>
          <cell r="J886" t="str">
            <v xml:space="preserve">Блинная сковорода 22 Pure Red </v>
          </cell>
        </row>
        <row r="887">
          <cell r="A887">
            <v>9100053999</v>
          </cell>
          <cell r="B887">
            <v>4215122</v>
          </cell>
          <cell r="J887" t="str">
            <v xml:space="preserve">Сковорода 22 Pure Red </v>
          </cell>
        </row>
        <row r="888">
          <cell r="A888">
            <v>9100054001</v>
          </cell>
          <cell r="B888">
            <v>4215124</v>
          </cell>
          <cell r="J888" t="str">
            <v xml:space="preserve">Сковорода 24 Pure Red </v>
          </cell>
        </row>
        <row r="889">
          <cell r="A889">
            <v>9100054002</v>
          </cell>
          <cell r="B889">
            <v>4215126</v>
          </cell>
          <cell r="J889" t="str">
            <v xml:space="preserve">Сковорода 26 Pure Red </v>
          </cell>
        </row>
        <row r="890">
          <cell r="A890">
            <v>9100054003</v>
          </cell>
          <cell r="B890">
            <v>4215128</v>
          </cell>
          <cell r="J890" t="str">
            <v>Сковорода 28 Pure Red</v>
          </cell>
        </row>
        <row r="891">
          <cell r="A891">
            <v>9100054004</v>
          </cell>
          <cell r="B891">
            <v>4215522</v>
          </cell>
          <cell r="J891" t="str">
            <v xml:space="preserve">Блинная сковорода 22 Pure Red </v>
          </cell>
        </row>
        <row r="892">
          <cell r="A892">
            <v>1830009258</v>
          </cell>
          <cell r="B892" t="str">
            <v>DT2040E1</v>
          </cell>
          <cell r="J892" t="str">
            <v>Ручной отпариватель Tefal Pure Pop Travel  с мощностью 1300Вт, время нагрева 15сек, подача пара 20гр</v>
          </cell>
        </row>
        <row r="893">
          <cell r="A893">
            <v>1830009318</v>
          </cell>
          <cell r="B893" t="str">
            <v>DT2023F0</v>
          </cell>
          <cell r="J893" t="str">
            <v>Ручной отпариватель Tefal Pure Pop Pink  с мощностью 1300Вт, время нагрева 15сек, подача пара 20гр</v>
          </cell>
        </row>
        <row r="894">
          <cell r="A894">
            <v>1830008747</v>
          </cell>
          <cell r="B894" t="str">
            <v>TN8905F0</v>
          </cell>
          <cell r="J894" t="str">
            <v>MULTIGROOM KIT MULTISTYLER PURE, TRIMMER</v>
          </cell>
        </row>
        <row r="895">
          <cell r="A895">
            <v>1830009425</v>
          </cell>
          <cell r="B895" t="str">
            <v>DT8765E0</v>
          </cell>
          <cell r="J895" t="str">
            <v>Ручной отпариватель Tefal Pure Force 3in 1 с мощностью 1800W , время нагрева 25s , подача пара 35 g/min</v>
          </cell>
        </row>
        <row r="896">
          <cell r="A896">
            <v>1830009427</v>
          </cell>
          <cell r="B896" t="str">
            <v>DT8720E0</v>
          </cell>
          <cell r="J896" t="str">
            <v>Ручной отпариватель Tefal Pure Force 2in 1 с мощностью 1800W , время нагрева 25s , подача пара 35 g/min</v>
          </cell>
        </row>
        <row r="897">
          <cell r="A897">
            <v>7211004182</v>
          </cell>
          <cell r="B897" t="str">
            <v>PT2530F0</v>
          </cell>
          <cell r="J897" t="str">
            <v>Очиститель воздуха PURE AIR ESSENTIAL, 3 скорости работы, фильтрация до 99,9% мелких частиц, коэффициент подачи чистого воздуха 230 куб.м/ час, уровень шума 45 дБ(А), 3 уровня фильтрации, бесшумный режим</v>
          </cell>
        </row>
        <row r="898">
          <cell r="A898">
            <v>7211003484</v>
          </cell>
          <cell r="B898" t="str">
            <v>PT3040F0</v>
          </cell>
          <cell r="J898" t="str">
            <v xml:space="preserve">Очиститель воздуха Pure Air ,  4 уровня фильтрации ,ионизация воздуха, коэффициент подачи чистого воздуха 270 куб.м/ час </v>
          </cell>
        </row>
        <row r="899">
          <cell r="A899">
            <v>7211003488</v>
          </cell>
          <cell r="B899" t="str">
            <v>PT3030F0</v>
          </cell>
          <cell r="J899" t="str">
            <v xml:space="preserve">Очиститель воздуха Pure Air ,  3 уровня фильтрации ,ионизация воздуха, коэффициент подачи чистого воздуха 270 куб.м/ час    </v>
          </cell>
        </row>
        <row r="900">
          <cell r="A900">
            <v>7211004479</v>
          </cell>
          <cell r="B900" t="str">
            <v>PT8080F0</v>
          </cell>
          <cell r="J900" t="str">
            <v>Очиститель воздуха Tefal Pure Home PT8080F0 Белый</v>
          </cell>
        </row>
        <row r="901">
          <cell r="A901">
            <v>1830008740</v>
          </cell>
          <cell r="B901" t="str">
            <v>CF3228F0</v>
          </cell>
          <cell r="J901" t="str">
            <v>Щипцы для завивки Pure Collection CF3228F0</v>
          </cell>
        </row>
        <row r="902">
          <cell r="A902">
            <v>1830007749</v>
          </cell>
          <cell r="B902" t="str">
            <v>VR8322F0</v>
          </cell>
          <cell r="J902" t="str">
            <v xml:space="preserve">парогенератор Rowenta Eco Steam Pro Steam Generator Iron давление пара 6,5 бар , подача пара 120 , паровой удар 370 </v>
          </cell>
        </row>
        <row r="903">
          <cell r="A903">
            <v>3100502485</v>
          </cell>
          <cell r="B903">
            <v>502485</v>
          </cell>
          <cell r="J903" t="str">
            <v>Термос с пневмонасосом PRONTO 1.9л красный</v>
          </cell>
        </row>
        <row r="904">
          <cell r="A904">
            <v>1110030532</v>
          </cell>
          <cell r="B904" t="str">
            <v>TI1200E0</v>
          </cell>
          <cell r="J904" t="str">
            <v>Гладильная доска Tefal TI1200E0,  железные ножки, чехол из хлопка , Размер рабочей поверхности доски 124 х 40 см . Доска оснащена широкой подставкой, на которую удобно ставить утюг или парогенератор.</v>
          </cell>
        </row>
        <row r="905">
          <cell r="A905">
            <v>3201002678</v>
          </cell>
          <cell r="B905" t="str">
            <v>1756346411</v>
          </cell>
          <cell r="J905" t="str">
            <v>Сотейник 24см Hexagon PROFI RESIST</v>
          </cell>
        </row>
        <row r="906">
          <cell r="A906">
            <v>3200001772</v>
          </cell>
          <cell r="B906">
            <v>417100711</v>
          </cell>
          <cell r="J906" t="str">
            <v>МЯСОРУБКА PROFI PLUS</v>
          </cell>
        </row>
        <row r="907">
          <cell r="A907">
            <v>1830009382</v>
          </cell>
          <cell r="B907" t="str">
            <v>IT2R04F1</v>
          </cell>
          <cell r="J907" t="str">
            <v>Вертикальный отпариватель TEFAL Pro Style One Garment Steamer. Мощность 1960 W. Подача пара 40 г/мин</v>
          </cell>
        </row>
        <row r="908">
          <cell r="A908">
            <v>1830008996</v>
          </cell>
          <cell r="B908" t="str">
            <v>IT8480E1</v>
          </cell>
          <cell r="J908" t="str">
            <v>Вертикальный отпариватель с мощностью 2000 ,время нагрева 45 сек , подача пара 42г</v>
          </cell>
        </row>
        <row r="909">
          <cell r="A909">
            <v>1830009000</v>
          </cell>
          <cell r="B909" t="str">
            <v>IT8470E1</v>
          </cell>
          <cell r="J909" t="str">
            <v>Вертикальный отпариватель с мощностью 2000 ,время нагрева 45 сек , подача пара 42г</v>
          </cell>
        </row>
        <row r="910">
          <cell r="A910">
            <v>1830009050</v>
          </cell>
          <cell r="B910" t="str">
            <v>CV7231F0</v>
          </cell>
          <cell r="J910" t="str">
            <v xml:space="preserve"> фен Rowenta Pro Power+ Stellar впечатляет
профессиональной мощностью 2200 Вт и в два раза большей долговечностью современного AC мотора*.
Он не только сушит волосы - функция ионизации придает укладке здоровый блеск, мягкость и сияние. Не
ограничивайте себя одним образом - концентраторы 6 и 9 мм помогут легко создать детальную прическу,
а диффузор обеспечит ей притягательный объем.</v>
          </cell>
        </row>
        <row r="911">
          <cell r="A911">
            <v>1830031108</v>
          </cell>
          <cell r="B911" t="str">
            <v>DW8210D1</v>
          </cell>
          <cell r="J911" t="str">
            <v xml:space="preserve">Rowenta Pro Master парогенератор Rowenta Eco Steam Pro Steam Generator Iron мощность 2800 , подача пара 50 , паровой удар 200 </v>
          </cell>
        </row>
        <row r="912">
          <cell r="A912">
            <v>1110031282</v>
          </cell>
          <cell r="B912" t="str">
            <v>DW8220F1</v>
          </cell>
          <cell r="J912" t="str">
            <v>УТЮГ С ПАРОМ PRO MASTER, 2800 ВТ, ПОДОШВА MICROSTEAM 400 PROFILE HD, АВТООТКЛЮЧЕНИЕ, ЗАОСТРЕННЫЙ НОСИК HIGH PRECISION, ПАРОВОЙ УДАР ДО 200 Г/МН, РЕГУЛИРУЕМЫЙ ПАР 50 Г/МИН, ВЕРТИКАЛЬНЫЙ ПАР, ФУНКЦИЯ САМООЧИСТКИ, ПРОТИВОКАПЕЛЬНАЯ СИСТЕМА, ЭКО-РЕЖИМ, ВСТРОЕННАЯ ЗАЩИТА ОТ НАКИПИ, КОМФОРТНАЯ РУЧКА, РЕЗЕРВУАР ДЛЯ ВОДЫ 310 МЛ</v>
          </cell>
        </row>
        <row r="913">
          <cell r="A913">
            <v>1830031429</v>
          </cell>
          <cell r="B913" t="str">
            <v>DW8221D1</v>
          </cell>
          <cell r="J913" t="str">
            <v>Утюг STEAM IRON FOCUS. Мощность 2800 Вт. Постоянный пар до 50 г/мин. Паровой удар 200 г/мин. Защита от накипи. Eco режим. Подошва Microsteam 400 HD Laser. Возможность вертикального отпаривания. Объем резервуара для воды 310 мл. Противокапельная система. Длина сетевого шнура 2.5 м. Широкое горлышко для наполнения.</v>
          </cell>
        </row>
        <row r="914">
          <cell r="A914">
            <v>1830008264</v>
          </cell>
          <cell r="B914" t="str">
            <v>GV9810E0</v>
          </cell>
          <cell r="J914" t="str">
            <v>ПАРОГЕНЕРАТОР PRO EXPRESS VISION GV9810</v>
          </cell>
        </row>
        <row r="915">
          <cell r="A915">
            <v>1830008233</v>
          </cell>
          <cell r="B915" t="str">
            <v>GV9812E0</v>
          </cell>
          <cell r="J915" t="str">
            <v>ПАРОГЕНЕРАТОР PRO EXPRESS VISION GV9812</v>
          </cell>
        </row>
        <row r="916">
          <cell r="A916">
            <v>1830008265</v>
          </cell>
          <cell r="B916" t="str">
            <v>GV9820E0</v>
          </cell>
          <cell r="J916" t="str">
            <v>ПАРОГЕНЕРАТОР PRO EXPRESS VISION GV9820</v>
          </cell>
        </row>
        <row r="917">
          <cell r="A917">
            <v>1830009100</v>
          </cell>
          <cell r="B917" t="str">
            <v>GV9823E1</v>
          </cell>
          <cell r="J917" t="str">
            <v>ПАРОГЕНЕРАТОР PRO EXPRESS VISION GV9820</v>
          </cell>
        </row>
        <row r="918">
          <cell r="A918">
            <v>1830008290</v>
          </cell>
          <cell r="B918" t="str">
            <v>GV9821E0</v>
          </cell>
          <cell r="J918" t="str">
            <v>ПАРОГЕНЕРАТОР PRO EXPRESS VISION GV9821</v>
          </cell>
        </row>
        <row r="919">
          <cell r="A919">
            <v>1830008510</v>
          </cell>
          <cell r="B919" t="str">
            <v>GV9710E0</v>
          </cell>
          <cell r="J919" t="str">
            <v>GV9710E0 Мощность 3000 W; Скорость подачи пара 155 g/min; Паровой удар 580 g/min; Давление пара 7.6 bar; Вертикальное отпаривание; Объем резервуара для воды 1.2 L; Съемный Резервуар для воды; Коллектор для сбора накипи;France</v>
          </cell>
        </row>
        <row r="920">
          <cell r="A920">
            <v>1830008511</v>
          </cell>
          <cell r="B920" t="str">
            <v>GV9711E0</v>
          </cell>
          <cell r="J920" t="str">
            <v>GV9711E0 Мощность 3000 W; Скорость подачи пара 155 g/min; Паровой удар 590 g/min; Давление пара 7.5 bar; Вертикальное отпаривание  Объем резервуара для воды 1.2 L  Съемный Резервуар для воды; Коллектор для сбора накипи;France</v>
          </cell>
        </row>
        <row r="921">
          <cell r="A921">
            <v>1830008512</v>
          </cell>
          <cell r="B921" t="str">
            <v>GV9712E0</v>
          </cell>
          <cell r="J921" t="str">
            <v>GV9712E0 Мощность 3000 W; Скорость подачи пара 160 g/min; Паровой удар 590 g/min; Давление пара 7.7 bar; Вертикальное отпаривание  Объем резервуара для воды 1.2 L  Съемный Резервуар для воды; Коллектор для сбора накипи;France</v>
          </cell>
        </row>
        <row r="922">
          <cell r="A922">
            <v>1830008513</v>
          </cell>
          <cell r="B922" t="str">
            <v>GV9720E0</v>
          </cell>
          <cell r="J922" t="str">
            <v>GV9720E0 Мощность 3000 W; Скорость подачи пара 170 g/min; Паровой удар 590 g/min; Давление пара 8 bar; Вертикальное отпаривание  Объем резервуара для воды 1.2 L   Резервуар для воды; Коллектор для сбора накипи;France</v>
          </cell>
        </row>
        <row r="923">
          <cell r="A923">
            <v>1830008518</v>
          </cell>
          <cell r="B923" t="str">
            <v>GV9721E0</v>
          </cell>
          <cell r="J923" t="str">
            <v>GV9721E0 Мощность 3000 W; Скорость подачи пара 170 g/min; Паровой удар 600 g/min; Давление пара 7.9 bar; Вертикальное отпаривание  Объем резервуара для воды 1.2 L   Резервуар для воды; Коллектор для сбора накипи;France</v>
          </cell>
        </row>
        <row r="924">
          <cell r="A924">
            <v>1830006757</v>
          </cell>
          <cell r="B924" t="str">
            <v>GV9562E0</v>
          </cell>
          <cell r="J924" t="str">
            <v>ПАРОГЕНЕРАТОР PRO EXPRESS ULTIMATE, СИСТЕМА ЭЛЕКТРОННОЙ РЕГУЛИРОВКИ DIRECT CONTROL: 5 НАСТРОЕК ДЛЯ РАЗНЫХ ТИПОВ ТКАНЕЙ, РАСПОЛОЖЕННЫЕ НА БАЗЕ. ДАВЛЕНИЕ 7.4 БАР, ПОСТОЯННЫЙ ПАР 150 Г/МИН, ПАРОВОЙ УДАР 500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25">
          <cell r="A925">
            <v>1830006934</v>
          </cell>
          <cell r="B925" t="str">
            <v>GV9563E0</v>
          </cell>
          <cell r="J925" t="str">
            <v>ПАРОГЕНЕРАТОР PRO EXPRESS ULTIMATE, СИСТЕМА ЭЛЕКТРОННОЙ РЕГУЛИРОВКИ DIRECT CONTROL: 5 НАСТРОЕК ДЛЯ РАЗНЫХ ТИПОВ ТКАНЕЙ, РАСПОЛОЖЕННЫЕ НА БАЗЕ. ДАВЛЕНИЕ 7.5 БАР, ПОСТОЯННЫЙ ПАР 140 Г/МИН, ПАРОВОЙ УДАР 500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26">
          <cell r="A926">
            <v>1830007756</v>
          </cell>
          <cell r="B926" t="str">
            <v>GV9565E0</v>
          </cell>
          <cell r="J926" t="str">
            <v>ПАРОГЕНЕРАТОР TEFAL PRO EXPRESS ULTIMATE, ДАВЛЕНИЕ ПАРА 7,7 БАР, ПОСТОЯННЫЙ ПАР ДО 155 Г/МИН, ПАРОВОЙ УДАР 570 Г/МИН, КОЛЛЕКТОР ДЛЯ СБОРА НАКИПИ, СЪЕМНЫЙ РЕЗЕРВУАР ДЛЯ ВОДЫ 1,8Л., 5 НАСТРОЕК, ПОДОШВА DURILIUM AIRGLIDE AUTOCLEAN ULTRA THIN, ПР-ВО ФРАНЦИЯ</v>
          </cell>
        </row>
        <row r="927">
          <cell r="A927">
            <v>1830007759</v>
          </cell>
          <cell r="B927" t="str">
            <v>GV9566E0</v>
          </cell>
          <cell r="J927" t="str">
            <v>ПАРОГЕНЕРАТОР TEFAL PRO EXPRESS ULTIMATE, ДАВЛЕНИЕ ПАРА 7,7 БАР, ПОСТОЯННЫЙ ПАР ДО 150 Г/МИН, ПАРОВОЙ УДАР 580 Г/МИН, КОЛЛЕКТОР ДЛЯ СБОРА НАКИПИ, СЪЕМНЫЙ РЕЗЕРВУАР ДЛЯ ВОДЫ 1,8Л., 5 НАСТРОЕК, ПОДОШВА DURILIUM AIRGLIDE AUTOCLEAN ULTRA THIN, ПР-ВО ФРАНЦИЯ</v>
          </cell>
        </row>
        <row r="928">
          <cell r="A928">
            <v>1830006995</v>
          </cell>
          <cell r="B928" t="str">
            <v>GV9568E0</v>
          </cell>
          <cell r="J928" t="str">
            <v>ПАРОГЕНЕРАТОР PRO EXPRESS ULTIMATE, СИСТЕМА ЭЛЕКТРОННОЙ РЕГУЛИРОВКИ DIRECT CONTROL: 5 НАСТРОЕК ДЛЯ РАЗНЫХ ТИПОВ ТКАНЕЙ, РАСПОЛОЖЕННЫЕ НА БАЗЕ. ДАВЛЕНИЕ 7.2 БАР, ПОСТОЯННЫЙ ПАР 140 Г/МИН, ПАРОВОЙ УДАР 480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 АКСЕССУАР: ДВЕРНОЙ КРЮЧОК</v>
          </cell>
        </row>
        <row r="929">
          <cell r="A929">
            <v>1830006374</v>
          </cell>
          <cell r="B929" t="str">
            <v>GV9570E0</v>
          </cell>
          <cell r="J929" t="str">
            <v>ПАРОГЕНЕРАТОР PRO EXPRESS ULTIMATE, СИСТЕМА ЭЛЕКТРОННОЙ РЕГУЛИРОВКИ DIRECT CONTROL: 5 НАСТРОЕК ДЛЯ РАЗНЫХ ТИПОВ ТКАНЕЙ, РАСПОЛОЖЕННЫЕ ДЛЯ УДОБСТВА НА РУЧКЕ. ДАВЛЕНИЕ 7,8 БАР, ПОСТОЯННЫЙ ПАР 160 Г/МИН, ПАРОВОЙ УДАР 550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СИСТЕМА ЗАЩЕЛКИВАНИЯ УТЮГА,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30">
          <cell r="A930">
            <v>1830006376</v>
          </cell>
          <cell r="B930" t="str">
            <v>GV9580E0</v>
          </cell>
          <cell r="J930" t="str">
            <v>ПАРОГЕНЕРАТОР PRO EXPRESS ULTIMATE, СИСТЕМА ЭЛЕКТРОННОЙ РЕГУЛИРОВКИ DIRECT CONTROL: 5 НАСТРОЕК ДЛЯ РАЗНЫХ ТИПОВ ТКАНЕЙ, РАСПОЛОЖЕННЫЕ ДЛЯ УДОБСТВА НА РУЧКЕ. ДАВЛЕНИЕ 8 БАР, ПОСТОЯННЫЙ ПАР 180 Г/МИН, ПАРОВОЙ УДАР 580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СИСТЕМА ЗАЩЕЛКИВАНИЯ УТЮГА,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31">
          <cell r="A931">
            <v>1830006878</v>
          </cell>
          <cell r="B931" t="str">
            <v>GV9581E0</v>
          </cell>
          <cell r="J931" t="str">
            <v>ПАРОГЕНЕРАТОР PRO EXPRESS ULTIMATE, СИСТЕМА ЭЛЕКТРОННОЙ РЕГУЛИРОВКИ DIRECT CONTROL: 5 НАСТРОЕК ДЛЯ РАЗНЫХ ТИПОВ ТКАНЕЙ, РАСПОЛОЖЕННЫЕ ДЛЯ УДОБСТВА НА РУЧКЕ. ДАВЛЕНИЕ 8 БАР, ПОСТОЯННЫЙ ПАР 180 Г/МИН, ПАРОВОЙ УДАР 600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СИСТЕМА ЗАЩЕЛКИВАНИЯ УТЮГА,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ДОПОЛНИТЕЛЬНЫЙ АКСЕССУАР: ДВЕРНОЙ КРЮЧОК, СДЕЛАНО ВО ФРАНЦИИ</v>
          </cell>
        </row>
        <row r="932">
          <cell r="A932">
            <v>1830006922</v>
          </cell>
          <cell r="B932" t="str">
            <v>GV9590E0</v>
          </cell>
          <cell r="J932" t="str">
            <v>ПАРОГЕНЕРАТОР PRO EXPRESS ULTIMATE, СИСТЕМА ЭЛЕКТРОННОЙ РЕГУЛИРОВКИ DIRECT CONTROL: 5 НАСТРОЕК ДЛЯ РАЗНЫХ ТИПОВ ТКАНЕЙ, РАСПОЛОЖЕННЫЕ ДЛЯ УДОБСТВА НА РУЧКЕ. ДАВЛЕНИЕ 8 БАР, ПОСТОЯННЫЙ ПАР 180 Г/МИН, ПАРОВОЙ УДАР 600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ЗАЩИТНЫЙ ЭКРАН ДЛЯ УДОБСТВА ХРАНЕНИЯ И ПЕРЕНОСКИ,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33">
          <cell r="A933">
            <v>1830006920</v>
          </cell>
          <cell r="B933" t="str">
            <v>GV9591E0</v>
          </cell>
          <cell r="J933" t="str">
            <v>ПАРОГЕНЕРАТОР PRO EXPRESS ULTIMATE, СИСТЕМА ЭЛЕКТРОННОЙ РЕГУЛИРОВКИ DIRECT CONTROL: 5 НАСТРОЕК ДЛЯ РАЗНЫХ ТИПОВ ТКАНЕЙ, РАСПОЛОЖЕННЫЕ ДЛЯ УДОБСТВА НА РУЧКЕ. ДАВЛЕНИЕ 8 БАР, ПОСТОЯННЫЙ ПАР 180 Г/МИН, ПАРОВОЙ УДАР 600 Г/МИН, СИСТЕМА ЗАЩИТЫ ОТ ПЯТЕН PROTECT SYSTEM, УЛЬТРАТОНКАЯ САМООЧИЩАЮЩАЯСЯ ПОДОШВА AIRGLIDE AUTOCLEAN, ВРЕМЯ НАГРЕВА ВОДЫ 2 МИНУТЫ, АВТООТКЛЮЧЕНИЕ, ЭКО-ФУНКЦИЯ, ДВОЙНАЯ ЗАЩИТА ОТ НАКИПИ: КОЛЛЕКТОР ДЛЯ СБОРА НАКИПИ В БОЙЛЕРЕ И ДОП. ЗАЩИТА В УТЮГЕ, ЗАЩИТНЫЙ ЭКРАН ДЛЯ УДОБСТВА ХРАНЕНИЯ И ПЕРЕНОСКИ,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v>
          </cell>
        </row>
        <row r="934">
          <cell r="A934">
            <v>1830007353</v>
          </cell>
          <cell r="B934" t="str">
            <v>GV9610E0</v>
          </cell>
          <cell r="J934" t="str">
            <v>ПАРОГЕНЕРАТОР PRO EXPRESS ULTIMATE+, ФУНКЦИЯ SMART STEAM:  АВТОМАТИЧЕСКАЯ ПОДАЧА ПАРА ПРИ ДВИЖЕНИИ УТЮГА, БЕЗ НЕОБХОДИМОСТИ НАЖИМАТЬ НА КНОПКУ, ТЕХНОЛОГИЯ SILENT: В 2 РАЗА ТИШЕ РАБОТАЕТ ПО СРАВНЕНИЮ С TEFAL GV95XX, СИСТЕМА ЭЛЕКТРОННОЙ РЕГУЛИРОВКИ ТЕМПЕРАТУРЫ DIRECT CONTROL: 5 НАСТРОЕК ДЛЯ РАЗНЫХ ТИПОВ ТКАНЕЙ, РАСПОЛОЖЕННЫЕ ДЛЯ УДОБСТВА НА РУЧКЕ. ДАВЛЕНИЕ 8 БАР, ПОСТОЯННЫЙ ПАР 180 Г/МИН, ПАРОВОЙ УДАР 650 Г/МИН, СИСТЕМА ЗАЩИТЫ ОТ ПЯТЕН PROTECT SYSTEM, УЛЬТРАТОНКАЯ САМООЧИЩАЮЩАЯСЯ ПОДОШВА DURILIUM AIRGLIDE AUTOCLEAN, ВРЕМЯ НАГРЕВА ВОДЫ 2 МИНУТЫ, АВТООТКЛЮЧЕНИЕ, ЭКО-ФУНКЦИЯ, ДВОЙНАЯ ЗАЩИТА ОТ НАКИПИ: КОЛЛЕКТОР ДЛЯ СБОРА НАКИПИ В БОЙЛЕРЕ И ДОП. ЗАЩИТА В УТЮГЕ,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 СИГНАЛ О ГОТОВНОСТИ К РАБОТЕ,  РУЧКА SOFT TOUCH</v>
          </cell>
        </row>
        <row r="935">
          <cell r="A935">
            <v>1830007354</v>
          </cell>
          <cell r="B935" t="str">
            <v>GV9611E0</v>
          </cell>
          <cell r="J935" t="str">
            <v>ПАРОГЕНЕРАТОР PRO EXPRESS ULTIMATE+, ФУНКЦИЯ SMART STEAM:  АВТОМАТИЧЕСКАЯ ПОДАЧА ПАРА ПРИ ДВИЖЕНИИ УТЮГА, БЕЗ НЕОБХОДИМОСТИ НАЖИМАТЬ НА КНОПКУ, ТЕХНОЛОГИЯ SILENT: В 2 РАЗА ТИШЕ РАБОТАЕТ ПО СРАВНЕНИЮ С TEFAL GV95XX, СИСТЕМА ЭЛЕКТРОННОЙ РЕГУЛИРОВКИ ТЕМПЕРАТУРЫ DIRECT CONTROL: 5 НАСТРОЕК ДЛЯ РАЗНЫХ ТИПОВ ТКАНЕЙ, РАСПОЛОЖЕННЫЕ ДЛЯ УДОБСТВА НА РУЧКЕ. ДАВЛЕНИЕ 8 БАР, ПОСТОЯННЫЙ ПАР 180 Г/МИН, ПАРОВОЙ УДАР 630 Г/МИН, СИСТЕМА ЗАЩИТЫ ОТ ПЯТЕН PROTECT SYSTEM, УЛЬТРАТОНКАЯ САМООЧИЩАЮЩАЯСЯ ПОДОШВА DURILIUM AIRGLIDE AUTOCLEAN, ВРЕМЯ НАГРЕВА ВОДЫ 2 МИНУТЫ, АВТООТКЛЮЧЕНИЕ, ЭКО-ФУНКЦИЯ, ДВОЙНАЯ ЗАЩИТА ОТ НАКИПИ: КОЛЛЕКТОР ДЛЯ СБОРА НАКИПИ В БОЙЛЕРЕ И ДОП. ЗАЩИТА В УТЮГЕ,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 ДВЕРНОЙ КРЮЧОК В КОМПЛЕКТЕ ДЛЯ ОТПАРИВАНИЯ, СИГНАЛ О ГОТОВНОСТИ К РАБОТЕ,  РУЧКА SOFT TOUCH</v>
          </cell>
        </row>
        <row r="936">
          <cell r="A936">
            <v>1830007359</v>
          </cell>
          <cell r="B936" t="str">
            <v>GV9620E0</v>
          </cell>
          <cell r="J936" t="str">
            <v>ПАРОГЕНЕРАТОР PRO EXPRESS ULTIMATE+, ФУНКЦИЯ SMART STEAM:  АВТОМАТИЧЕСКАЯ ПОДАЧА ПАРА ПРИ ДВИЖЕНИИ УТЮГА, БЕЗ НЕОБХОДИМОСТИ НАЖИМАТЬ НА КНОПКУ, ТЕХНОЛОГИЯ SILENT: В 2 РАЗА ТИШЕ РАБОТАЕТ ПО СРАВНЕНИЮ С TEFAL GV95XX, СИСТЕМА ЭЛЕКТРОННОЙ РЕГУЛИРОВКИ ТЕМПЕРАТУРЫ DIRECT CONTROL: 5 НАСТРОЕК ДЛЯ РАЗНЫХ ТИПОВ ТКАНЕЙ, РАСПОЛОЖЕННЫЕ ДЛЯ УДОБСТВА НА РУЧКЕ. ДАВЛЕНИЕ 8 БАР, ПОСТОЯННЫЙ ПАР 180 Г/МИН, ПАРОВОЙ УДАР 650 Г/МИН, СИСТЕМА ЗАЩИТЫ ОТ ПЯТЕН PROTECT SYSTEM, УЛЬТРАТОНКАЯ САМООЧИЩАЮЩАЯСЯ ПОДОШВА DURILIUM AIRGLIDE AUTOCLEAN, ВРЕМЯ НАГРЕВА ВОДЫ 2 МИНУТЫ, АВТООТКЛЮЧЕНИЕ, ЭКО-ФУНКЦИЯ, ДВОЙНАЯ ЗАЩИТА ОТ НАКИПИ: КОЛЛЕКТОР ДЛЯ СБОРА НАКИПИ В БОЙЛЕРЕ И ДОП. ЗАЩИТА В УТЮГЕ, ЗАЩИТНЫЙ ЭКРАН ДЛЯ УДОБСТВА ХРАНЕНИЯ И ПЕРЕНОСКИ, СЪЕМНЫЙ РЕЗЕРВУАР ДЛЯ ВОДЫ 1,9 Л, МОЩНОСТЬ 2600 ВТ, СИСТЕМА EASYCORD, БОЙЛЕР ИЗ НЕРЖАВЕЮЩЕЙ СТАЛИ, ДОЛИВ ВОДЫ В РЕЗЕРВУАР В ЛЮБОЙ МОМЕНТ, СПЕЦИАЛЬНЫЕ ОТСЕКИ ДЛЯ ШЛАНГА ПОДАЧИ ПАРА И ДЛЯ ШНУРА, СДЕЛАНО ВО ФРАНЦИИ, ДВЕРНОЙ КРЮЧОК В КОМПЛЕКТЕ ДЛЯ ОТПАРИВАНИЯ, СИГНАЛ О ГОТОВНОСТИ К РАБОТЕ,  РУЧКА SOFT TOUCH</v>
          </cell>
        </row>
        <row r="937">
          <cell r="A937">
            <v>1830007710</v>
          </cell>
          <cell r="B937" t="str">
            <v>GV9220E0</v>
          </cell>
          <cell r="J937" t="str">
            <v>ПАРОГЕНЕРАТОР PRO EXPRESS PROTECT, БЕЗ РЕГУЛИРОВКИ ТЕМПЕРАТУРЫ, ДОЛИВ ВОДЫ В ЛЮБОЙ МОМЕНТ, РЕЗЕРВУАР 1,8Л. ДАВЛЕНИЕ 7,5 БАР, ПОСТОЯННЫЙ ПАР 135 Г/МИН, ПАРОВОЙ УДАР 540 Г/МИН, ПОДОШВА DURILIUM AIRGLIDE AUTOCLEAN АВТООТКЛЮЧЕНИЕ,КОЛЛЕКТОР ДЛЯ СБОРА НАКИПИ, СИСТЕМА ЗАЩЕЛКИВАНИЯ УТЮГА, СИСТЕМА EASYCORD - ШНУР НЕ СМИНАЕТ ТКАНЬ, ФУНКЦИЯ КАПЛЯ-СТОП, СПЕЦИАЛЬНЫЙ ОТСЕК ДЛЯ ХРАНЕНИЯ ШНУРА И ШЛАНГА, СДЕЛАНО ВО ФРАНЦИИ</v>
          </cell>
        </row>
        <row r="938">
          <cell r="A938">
            <v>1830007723</v>
          </cell>
          <cell r="B938" t="str">
            <v>GV9221E0</v>
          </cell>
          <cell r="J938" t="str">
            <v>ПАРОГЕНЕРАТОР PRO EXPRESS PROTECT, БЕЗ РЕГУЛИРОВКИ ТЕМПЕРАТУРЫ, ДОЛИВ ВОДЫ В ЛЮБОЙ МОМЕНТ, РЕЗЕРВУАР 1,8Л. ДАВЛЕНИЕ 7,6 БАР, ПОСТОЯННЫЙ ПАР 140 Г/МИН, ПАРОВОЙ УДАР 550 Г/МИН, ПОДОШВА DURILIUM AIRGLIDE AUTOCLEAN АВТООТКЛЮЧЕНИЕ,КОЛЛЕКТОР ДЛЯ СБОРА НАКИПИ, СИСТЕМА ЗАЩЕЛКИВАНИЯ УТЮГА, СИСТЕМА EASYCORD - ШНУР НЕ СМИНАЕТ ТКАНЬ, ФУНКЦИЯ КАПЛЯ-СТОП, СПЕЦИАЛЬНЫЙ ОТСЕК ДЛЯ ХРАНЕНИЯ ШНУРА И ШЛАНГА, СДЕЛАНО ВО ФРАНЦИИ</v>
          </cell>
        </row>
        <row r="939">
          <cell r="A939">
            <v>1830007725</v>
          </cell>
          <cell r="B939" t="str">
            <v>GV9230E0</v>
          </cell>
          <cell r="J939" t="str">
            <v>ПАРОГЕНЕРАТОР PRO EXPRESS PROTECT, БЕЗ РЕГУЛИРОВКИ ТЕМПЕРАТУРЫ, ДОЛИВ ВОДЫ В ЛЮБОЙ МОМЕНТ, РЕЗЕРВУАР 1,8Л. ДАВЛЕНИЕ 7,5 БАР, ПОСТОЯННЫЙ ПАР 140 Г/МИН, ПАРОВОЙ УДАР 560 Г/МИН, ПОДОШВА DURILIUM AIRGLIDE AUTOCLEAN АВТООТКЛЮЧЕНИЕ, КОЛЛЕКТОР ДЛЯ СБОРА НАКИПИ, СИСТЕМА ЗАЩЕЛКИВАНИЯ УТЮГА, СИСТЕМА EASYCORD - ШНУР НЕ СМИНАЕТ ТКАНЬ, ФУНКЦИЯ КАПЛЯ-СТОП, СПЕЦИАЛЬНЫЙ ОТСЕК ДЛЯ ХРАНЕНИЯ ШНУРА И ШЛАНГА, СДЕЛАНО ВО ФРАНЦИИ</v>
          </cell>
        </row>
        <row r="940">
          <cell r="A940">
            <v>1830009298</v>
          </cell>
          <cell r="B940" t="str">
            <v>GV9E21E0</v>
          </cell>
          <cell r="J940" t="str">
            <v>ПАРОГЕНЕРАТОР PRO EXPRESS Pro GV9E21E0</v>
          </cell>
        </row>
        <row r="941">
          <cell r="A941">
            <v>1830009297</v>
          </cell>
          <cell r="B941" t="str">
            <v>GV9E22E0</v>
          </cell>
          <cell r="J941" t="str">
            <v>ПАРОГЕНЕРАТОР PRO EXPRESS Pro GV9E22E0</v>
          </cell>
        </row>
        <row r="942">
          <cell r="A942">
            <v>1830006090</v>
          </cell>
          <cell r="B942" t="str">
            <v>GV9060E0</v>
          </cell>
          <cell r="J942" t="str">
            <v>ПАРОГЕНЕРАТОР PRO EXPRESS CARE GV9060</v>
          </cell>
        </row>
        <row r="943">
          <cell r="A943">
            <v>1830006093</v>
          </cell>
          <cell r="B943" t="str">
            <v>GV9061E0</v>
          </cell>
          <cell r="J943" t="str">
            <v>ПАРОГЕНЕРАТОР PRO EXPRESS CARE, ВРЕМЯ НАГРЕВА ВОДЫ 2 МИНУТЫ, СИСТЕМА ЭЛЕКТРОННОЙ РЕГУЛИРОВКИ SMART TECHNOLOGY AUTO CONTROL: 3 НАСТРОЙКИ ДЛЯ РАЗНЫХ ТИПОВ ТКАНЕЙ. ДАВЛЕНИЕ 7 БАР, ПОСТОЯННЫЙ ПАР 120 Г/МИН, ПАРОВОЙ УДАР 440 Г/МИН, САМООЧИЩАЮЩАЯСЯ ПОДОШВА AUTOCLEAN, АВТООТКЛЮЧЕНИЕ, ЭКО-ФУНКЦИЯ, ДВОЙНАЯ ЗАЩИТА ОТ НАКИПИ: КОЛЛЕКТОР ДЛЯ СБОРА НАКИПИ В БОЙЛЕРЕ И ДОП. ЗАЩИТА В УТЮГЕ, СИСТЕМА ЗАЩЕЛКИВАНИЯ УТЮГА, СЪЕМНЫЙ РЕЗЕРВУАР ДЛЯ ВОДЫ 1,6 Л, МОЩНОСТЬ 2200 ВТ, СИСТЕМА EASYCORD, БОЙЛЕР ИЗ НЕРЖАВЕЮЩЕЙ СТАЛИ, ДОЛИВ ВОДЫ В РЕЗЕРВУАР В ЛЮБОЙ МОМЕНТ, СПЕЦИАЛЬНЫЕ ОТСЕКМ ДЛЯ ХРАНЕНИЯ ЭЛЕТКРОШНУРА И ШЛАНГА ПОДАЧИ ПАРА, СДЕЛАНО ВО ФРАНЦИИ</v>
          </cell>
        </row>
        <row r="944">
          <cell r="A944">
            <v>1830006091</v>
          </cell>
          <cell r="B944" t="str">
            <v>GV9070E0</v>
          </cell>
          <cell r="J944" t="str">
            <v>ПАРОГЕНЕРАТОР PRO EXPRESS CARE GV9070</v>
          </cell>
        </row>
        <row r="945">
          <cell r="A945">
            <v>1830006092</v>
          </cell>
          <cell r="B945" t="str">
            <v>GV9080E0</v>
          </cell>
          <cell r="J945" t="str">
            <v>ПАРОГЕНЕРАТОР PRO X-PERT CARE GV9080</v>
          </cell>
        </row>
        <row r="946">
          <cell r="A946">
            <v>1830006571</v>
          </cell>
          <cell r="B946" t="str">
            <v>GV7810E0</v>
          </cell>
          <cell r="J946" t="str">
            <v>ПАРОГЕНЕРАТОР PRO EXPRESS, СИСТЕМА FAST HEAT UP, РУЧНАЯ РЕГУЛИРОВКА ТЕМПЕРАТУРЫ И МОЩНОСТИ ПАРА, ВРЕМЯ НАГРЕВА 2 МИНУТЫ, ДАВЛЕНИЕ 6,6 БАР, ПОСТОЯННЫЙ ПАР 120 Г/МИН, ПАРОВОЙ УДАР 430 Г/МИН., САМООЧИЩАЮЩАЯСЯ ПОДОШВА AIRGLIDE AUTOCLEAN, АВТООТКЛЮЧЕНИЕ, ЭКО-ФУНКЦИЯ,СТЕРЖЕНЬ-КОЛЛЕКТОР ДЛЯ СБОРА НАКИПИ, СИСТЕМА ЗАЩЕЛКИВАНИЯ УТЮГА,  СЪЕМНЫЙ РЕЗЕРВУАР ДЛЯ ВОДЫ 1,6 Л, МОЩНОСТЬ 2400 ВТ, СИСТЕМА EASYCORD, ЭРГОНОМИЧНАЯ РУЧКА, БОЙЛЕР ИЗ НЕРЖАВЕЮЩЕЙ СТАЛИ, ДОЛИВ ВОДЫ В РЕЗЕРВУАР В ЛЮБОЙ МОМЕНТ, CПЕЦИАЛЬНЫЕ ОТСЕКИ ДЛЯ УДОБНОГО ХРАНЕНИЯ ШНУРА И ШЛАНГА ПОДАЧИ ПАРА, СДЕЛАНО ВО ФРАНЦИИ</v>
          </cell>
        </row>
        <row r="947">
          <cell r="A947">
            <v>1830006572</v>
          </cell>
          <cell r="B947" t="str">
            <v>GV7830E0</v>
          </cell>
          <cell r="J947" t="str">
            <v>GV7830E0 ПАРОГЕНЕРАТОР</v>
          </cell>
        </row>
        <row r="948">
          <cell r="A948">
            <v>1830006573</v>
          </cell>
          <cell r="B948" t="str">
            <v>GV7850E0</v>
          </cell>
          <cell r="J948" t="str">
            <v>ПАРОГЕНЕРАТОР PRO EXPRESS, СИСТЕМА FAST HEAT UP, СИСТЕМА ЭЛЕКТРОННОЙ РЕГУЛИРОВКИ SMART TECHNOLOGY: 3 ПРОГРАММЫ ДЛЯ РАЗНЫХ ТИПОВ ТКАНЕЙ, ВРЕМЯ НАГРЕВА 2 МИНУТЫ, ДАВЛЕНИЕ 6,9 БАР, ПОСТОЯННЫЙ ПАР 120 Г/МИН, ПАРОВОЙ УДАР 450 Г/МИН., САМООЧИЩАЮЩАЯСЯ ПОДОШВА AIRGLIDE AUTOCLEAN, АВТООТКЛЮЧЕНИЕ, ЭКО-ФУНКЦИЯ,СТЕРЖЕНЬ-КОЛЛЕКТОР ДЛЯ СБОРА НАКИПИ, СИСТЕМА ЗАЩЕЛКИВАНИЯ УТЮГА,  СЪЕМНЫЙ РЕЗЕРВУАР ДЛЯ ВОДЫ 1,6 Л, МОЩНОСТЬ 2400 ВТ, СИСТЕМА EASYCORD, ЭРГОНОМИЧНАЯ РУЧКА, БОЙЛЕР ИЗ НЕРЖАВЕЮЩЕЙ СТАЛИ, ДОЛИВ ВОДЫ В РЕЗЕРВУАР В ЛЮБОЙ МОМЕНТ, CПЕЦИАЛЬНЫЕ ОТСЕКИ ДЛЯ УДОБНОГО ХРАНЕНИЯ ШНУРА И ШЛАНГА ПОДАЧИ ПАРА, СДЕЛАНО ВО ФРАНЦИИ</v>
          </cell>
        </row>
        <row r="949">
          <cell r="A949">
            <v>2100125950</v>
          </cell>
          <cell r="B949" t="str">
            <v>E2156975</v>
          </cell>
          <cell r="J949" t="str">
            <v>Утятница 30X22,5 cm  из литого алюминия Pro Cook</v>
          </cell>
        </row>
        <row r="950">
          <cell r="A950">
            <v>2100125949</v>
          </cell>
          <cell r="B950" t="str">
            <v>E2187275</v>
          </cell>
          <cell r="J950" t="str">
            <v>Сотейник 28 с крышкой из литого алюминия Pro Cook</v>
          </cell>
        </row>
        <row r="951">
          <cell r="A951">
            <v>2100125948</v>
          </cell>
          <cell r="B951" t="str">
            <v>E2184675</v>
          </cell>
          <cell r="J951" t="str">
            <v>Кастрюля из литого алюминия 24 см 4,5 л + стекл. крышка   Pro Cook</v>
          </cell>
        </row>
        <row r="952">
          <cell r="A952">
            <v>2100125947</v>
          </cell>
          <cell r="B952" t="str">
            <v>E2184475</v>
          </cell>
          <cell r="J952" t="str">
            <v>Кастрюля из литого алюминия 20 см 2,6 л+ стекл. крышка   Pro Cook</v>
          </cell>
        </row>
        <row r="953">
          <cell r="A953">
            <v>2100126010</v>
          </cell>
          <cell r="B953" t="str">
            <v>G6052374</v>
          </cell>
          <cell r="J953" t="str">
            <v>Ковш из литого алюминия 18 см Pro Cook</v>
          </cell>
        </row>
        <row r="954">
          <cell r="A954">
            <v>1110030485</v>
          </cell>
          <cell r="B954" t="str">
            <v>IB5100E0</v>
          </cell>
          <cell r="J954" t="str">
            <v>ГЛАДИЛЬНАЯ ДОСКА "PRO COMFORT", РАЗМЕРЫ ГЛАДИЛЬНОЙ ПОВЕРХНОСТИ 130X47CM, ПОДХОДИТ ДЛЯ: ПАРОГЕНЕРАТОРОВ И УТЮГОВ. ПРОФЕССИОНАЛЬНАЯ ШИРОКАЯ ПОВЕРХНОСТЬ 130Х47 СМ, ВЫСОТА РЕГУЛИРУЕТСЯ ДО 93 СМ, ДВУХСЛОЙНЫЙ ЧЕХОЛ ИЗ 100% ХЛОПКА И ПОРОЛОНА, СЕТКА ИЗ ПЕРФОРИРОВАННОГО МЕТАЛЛА В ОСНОВАНИИ, ПОДСТАВКА ДЛЯ УТЮГА И ПАРОГЕНЕРАТОРА С ТЕРМОУСТОЙЧИВЫМИ СИЛИКОНОВЫМИ ВСТАВКАМИ, ВСТРОЕННЫЕ КОЛЁСИКИ ДЛЯ ЛЁГКОСТИ ТРАНСПОРТИРОВКИ, ВЕС 7 КГ, СДЕЛАНО В ПОРТУГАЛИИ</v>
          </cell>
        </row>
        <row r="955">
          <cell r="A955">
            <v>1830005030</v>
          </cell>
          <cell r="B955" t="str">
            <v>CV7730D0</v>
          </cell>
          <cell r="J955" t="str">
            <v>Фен PRO, высокая мощность 2300 Вт, тройной концентратор - для ультро точного потока воздуха, керамическое покрытие решеток, ионизация</v>
          </cell>
        </row>
        <row r="956">
          <cell r="A956">
            <v>7211002511</v>
          </cell>
          <cell r="B956" t="str">
            <v>CM261838</v>
          </cell>
          <cell r="J956" t="str">
            <v>Кофеварка 10-15 чашек, 1,25Л., стеклянный кувшин,  хорошо видимый уровень воды, функция "капля-стоп", черный пластик</v>
          </cell>
        </row>
        <row r="957">
          <cell r="A957">
            <v>7211002891</v>
          </cell>
          <cell r="B957" t="str">
            <v>LT160830</v>
          </cell>
          <cell r="J957" t="str">
            <v>ТОСТЕР  PRINCIPIO  LT160830</v>
          </cell>
        </row>
        <row r="958">
          <cell r="A958">
            <v>1500578228</v>
          </cell>
          <cell r="B958" t="str">
            <v>TT110232</v>
          </cell>
          <cell r="J958" t="str">
            <v>ТОСТЕР PRINCIPIO BLACK МОЩНОСТЬ 850 ВТ, 2 СЛОТА ДЛЯ ПРИГОТОВЛЕНИЯ ДВУХ ТОСТОВ, 6 ПОЗИЦИОННЫЙ РЕГУЛИРУЕМЫЙ ТЕРМОСТАТ, АВТОЦЕНТРИРОВАНИЕ, ВЫСОКИЙ ПОДЪЕМ ТОСТОВ, КЛАВИША БЫСТРОЙ ОСТАНОВКИ, ТЕРМОИЗОЛИРОВАННЫЕ СТЕНКИ, ПОДДОН ДЛЯ СБОРА КРОШЕК. МАТЕРИАЛ КОРПУСА: ПЛАСТИК. ЦВЕТ: ЧЕРНЫЙ</v>
          </cell>
        </row>
        <row r="959">
          <cell r="A959">
            <v>7211002691</v>
          </cell>
          <cell r="B959" t="str">
            <v>FF230831</v>
          </cell>
          <cell r="J959" t="str">
            <v>ФРИТЮРНИЦА Principio 1.2 Л, мощность 1200 Вт</v>
          </cell>
        </row>
        <row r="960">
          <cell r="A960">
            <v>2100118829</v>
          </cell>
          <cell r="B960" t="str">
            <v>E308SB74</v>
          </cell>
          <cell r="J960" t="str">
            <v>PRIMARY Набор 11  (ковш 16 + кастрюля 18/20/24 с крышками+ 3 аксес)</v>
          </cell>
        </row>
        <row r="961">
          <cell r="A961">
            <v>2100118828</v>
          </cell>
          <cell r="B961" t="str">
            <v>E3086S74</v>
          </cell>
          <cell r="J961" t="str">
            <v>PRIMARY Набор 6  (ковш 16 + кастрюли 20/24)</v>
          </cell>
        </row>
        <row r="962">
          <cell r="A962">
            <v>2100118826</v>
          </cell>
          <cell r="B962" t="str">
            <v>E308S474</v>
          </cell>
          <cell r="J962" t="str">
            <v>PRIMARY Набор 4  (ковш 16 + кастрюля 20 с крышками)</v>
          </cell>
        </row>
        <row r="963">
          <cell r="A963">
            <v>2100120958</v>
          </cell>
          <cell r="B963" t="str">
            <v>E3084674</v>
          </cell>
          <cell r="J963" t="str">
            <v>PRIMARY Кастрюля 24 с крышкой</v>
          </cell>
        </row>
        <row r="964">
          <cell r="A964">
            <v>2100120957</v>
          </cell>
          <cell r="B964" t="str">
            <v>E3084474</v>
          </cell>
          <cell r="J964" t="str">
            <v>PRIMARY Кастрюля 20 с крышкой</v>
          </cell>
        </row>
        <row r="965">
          <cell r="A965">
            <v>2100120956</v>
          </cell>
          <cell r="B965" t="str">
            <v>E3084374</v>
          </cell>
          <cell r="J965" t="str">
            <v>PRIMARY Кастрюля 18 с крышкой</v>
          </cell>
        </row>
        <row r="966">
          <cell r="A966">
            <v>2100120955</v>
          </cell>
          <cell r="B966" t="str">
            <v>E3082374</v>
          </cell>
          <cell r="J966" t="str">
            <v>PRIMARY Ковш 18 с крышкой</v>
          </cell>
        </row>
        <row r="967">
          <cell r="A967">
            <v>2100120954</v>
          </cell>
          <cell r="B967" t="str">
            <v>E3082274</v>
          </cell>
          <cell r="J967" t="str">
            <v>PRIMARY Ковш 16 с крышкой</v>
          </cell>
        </row>
        <row r="968">
          <cell r="A968">
            <v>2820254800</v>
          </cell>
          <cell r="B968" t="str">
            <v>FV2548E0</v>
          </cell>
          <cell r="J968" t="str">
            <v>УТЮГ PRIMA, МОЩНОСТЬ 2200 ВТ, МЕТАЛЛОКЕРАМИЧЕСКАЯ ПОДОШВА DURILIUM, ПАРОВОЙ УДАР 100 Г/МИН, РЕГУЛИРУЕМЫЙ ПАР 35 Г/МИН, ПРОТИВОКАПЕЛЬНАЯ СИСТЕМА, ВЕРТИКАЛЬНЫЙ ПАР, РЕЗЕРВУАР ДЛЯ ВОДЫ 270 МЛ, СПРЕЙ, УСТОЙЧИВАЯ ОТКРЫТАЯ ПЯТКА УТЮГА, САМООЧИСТКА ОТ НАКИПИ</v>
          </cell>
        </row>
        <row r="969">
          <cell r="A969">
            <v>9100054308</v>
          </cell>
          <cell r="B969">
            <v>4239525</v>
          </cell>
          <cell r="J969" t="str">
            <v xml:space="preserve">Сковорода для блинов 25 Prima </v>
          </cell>
        </row>
        <row r="970">
          <cell r="A970">
            <v>9100054304</v>
          </cell>
          <cell r="B970">
            <v>4239122</v>
          </cell>
          <cell r="J970" t="str">
            <v xml:space="preserve">Сковорода 22 Prima </v>
          </cell>
        </row>
        <row r="971">
          <cell r="A971">
            <v>9100054305</v>
          </cell>
          <cell r="B971">
            <v>4239124</v>
          </cell>
          <cell r="J971" t="str">
            <v xml:space="preserve">Сковорода 24 Prima </v>
          </cell>
        </row>
        <row r="972">
          <cell r="A972">
            <v>9100054306</v>
          </cell>
          <cell r="B972">
            <v>4239126</v>
          </cell>
          <cell r="J972" t="str">
            <v xml:space="preserve">Сковорода 26 Prima </v>
          </cell>
        </row>
        <row r="973">
          <cell r="A973">
            <v>9100054307</v>
          </cell>
          <cell r="B973">
            <v>4239128</v>
          </cell>
          <cell r="J973" t="str">
            <v xml:space="preserve">Сковорода 28 Prima </v>
          </cell>
        </row>
        <row r="974">
          <cell r="A974">
            <v>9100054309</v>
          </cell>
          <cell r="B974">
            <v>4239628</v>
          </cell>
          <cell r="J974" t="str">
            <v xml:space="preserve">Сковорода ВОК 28 Prima </v>
          </cell>
        </row>
        <row r="975">
          <cell r="A975">
            <v>3100000042</v>
          </cell>
          <cell r="B975">
            <v>637301600</v>
          </cell>
          <cell r="J975" t="str">
            <v>Термос с пневмонасосом PRESIDENT 3 л</v>
          </cell>
        </row>
        <row r="976">
          <cell r="A976">
            <v>3100000041</v>
          </cell>
          <cell r="B976">
            <v>637201600</v>
          </cell>
          <cell r="J976" t="str">
            <v>Термос с пневмонасосом PRESIDENT 2 л</v>
          </cell>
        </row>
        <row r="977">
          <cell r="A977">
            <v>1500814184</v>
          </cell>
          <cell r="B977" t="str">
            <v>HM41213E</v>
          </cell>
          <cell r="J977" t="str">
            <v>НАСТОЛЬНЫЙ МИКСЕР, 450 ВТ, 5 СКОРОСТЕЙ + ТУРБО, МЕТАЛЛИЧЕСКИЕ ВЕНЧИКИ, НАСАДКА ДЛЯ ЗАМЕСА ГУСТОГО ТЕСТА, ВРАЩАЮЩАЯСЯ ЧАША, СИСТЕМА ХРАНЕНИЯ АКСЕССУАРОВ</v>
          </cell>
        </row>
        <row r="978">
          <cell r="A978">
            <v>1500814332</v>
          </cell>
          <cell r="B978" t="str">
            <v>HM412131</v>
          </cell>
          <cell r="J978" t="str">
            <v>НАСТОЛЬНЫЙ МИКСЕР, 450 ВТ, 5 СКОРОСТЕЙ + ТУРБО, МЕТАЛЛИЧЕСКИЕ ВЕНЧИКИ, НАСАДКА ДЛЯ ЗАМЕСА ГУСТОГО ТЕСТА, ВРАЩАЮЩАЯСЯ ЧАША, СИСТЕМА ХРАНЕНИЯ АКСЕССУАРОВ</v>
          </cell>
        </row>
        <row r="979">
          <cell r="A979">
            <v>1500637550</v>
          </cell>
          <cell r="B979" t="str">
            <v>HM411110</v>
          </cell>
          <cell r="J979" t="str">
            <v>РУЧНОЙ МИКСЕР MOULINEX НМ411. МОЩНОСТЬ 450 ВТ. 5 СКОРОСТЕЙ + ПУЛЬС. В КОМПЛЕКТЕ: ВЕНЧИКИ,КРЮКИ ДЛЯ ТЕСТА, НОГА ДЛЯ ПОГРУЖНОГО БЛЕНДЕРА (МАТЕРИАЛ - ПЛАСТИК), КУВШИН. МАТЕРИАЛ КОРПУСА - ПЛАСТИК. ЦВЕТ - БЕЛЫЙ. ПРОИЗВОДСТВО - КНР.</v>
          </cell>
        </row>
        <row r="980">
          <cell r="A980">
            <v>1500814185</v>
          </cell>
          <cell r="B980" t="str">
            <v>HM41013E</v>
          </cell>
          <cell r="J980" t="str">
            <v>РУЧНОЙ МИКСЕР, 450 ВТ, 5 СКОРОСТЕЙ + ТУРБО, МЕТАЛЛИЧЕСКИЕ ВЕНЧИКИ, НАСАДКА ДЛЯ ЗАМЕСА ГУСТОГО ТЕСТА.</v>
          </cell>
        </row>
        <row r="981">
          <cell r="A981">
            <v>7211004511</v>
          </cell>
          <cell r="B981" t="str">
            <v>HM464110</v>
          </cell>
          <cell r="J981" t="str">
            <v>СТАЦИОНАРНЫЙ МИКСЕР PREP'MIX+</v>
          </cell>
        </row>
        <row r="982">
          <cell r="A982">
            <v>7211004396</v>
          </cell>
          <cell r="B982" t="str">
            <v>HM462110</v>
          </cell>
          <cell r="J982" t="str">
            <v>РУЧНОЙ МИКСЕР</v>
          </cell>
        </row>
        <row r="983">
          <cell r="A983">
            <v>7211004399</v>
          </cell>
          <cell r="B983" t="str">
            <v>HM461110</v>
          </cell>
          <cell r="J983" t="str">
            <v>РУЧНОЙ МИКСЕР</v>
          </cell>
        </row>
        <row r="984">
          <cell r="A984">
            <v>7211004400</v>
          </cell>
          <cell r="B984" t="str">
            <v>HM460110</v>
          </cell>
          <cell r="J984" t="str">
            <v>РУЧНОЙ МИКСЕР</v>
          </cell>
        </row>
        <row r="985">
          <cell r="A985">
            <v>7211004232</v>
          </cell>
          <cell r="B985" t="str">
            <v>HM450B10</v>
          </cell>
          <cell r="J985" t="str">
            <v>РУЧНОЙ МИКСЕР PREP MIX</v>
          </cell>
        </row>
        <row r="986">
          <cell r="A986">
            <v>1830006634</v>
          </cell>
          <cell r="B986" t="str">
            <v>EP9470F0</v>
          </cell>
          <cell r="J986" t="str">
            <v xml:space="preserve">SPA SENSATION </v>
          </cell>
        </row>
        <row r="987">
          <cell r="A987">
            <v>8010000433</v>
          </cell>
          <cell r="B987" t="str">
            <v>KI520530</v>
          </cell>
          <cell r="J987" t="str">
            <v>Стеклянный чайник Tefal, мощность 2200 Вт, объем 1,7 литра, подстветка, скрытый нагревательный элемент, материал - стекло. Цвет -rhfcysq</v>
          </cell>
        </row>
        <row r="988">
          <cell r="A988">
            <v>1830005958</v>
          </cell>
          <cell r="B988" t="str">
            <v>SF7510F0</v>
          </cell>
          <cell r="J988" t="str">
            <v>Прибор для укладки 2в1: завивка и выпрямление, Интегрированная натуральная щетина кабана для придания волосам естественного блеска и натурального выпрямления Максимальная температура нагрева 200°С  8 температурных режимов от 130°С до 200°С ЖК дисплей Ионизация Запатентованное профессиональное керамическое покрытие с напылением Cashmere Keratin Плавающие пластины Время нагрева 15 секунд Технология выпрямления в режиме 170°С для сохранения стойкости и защиты от повреждения структуры волос Фиксация пластин в закрытом положении  Автоматическое отключение через 60 минут Индикация готовности к работе Вращающийся шнур Петля для подвешивания</v>
          </cell>
        </row>
        <row r="989">
          <cell r="A989">
            <v>1830009535</v>
          </cell>
          <cell r="B989" t="str">
            <v>PP1806V0</v>
          </cell>
          <cell r="J989" t="str">
            <v>DARK BLUE</v>
          </cell>
        </row>
        <row r="990">
          <cell r="A990">
            <v>1830009534</v>
          </cell>
          <cell r="B990" t="str">
            <v>PP1805V0</v>
          </cell>
          <cell r="J990" t="str">
            <v>LIGHT BLUE</v>
          </cell>
        </row>
        <row r="991">
          <cell r="A991">
            <v>1830009529</v>
          </cell>
          <cell r="B991" t="str">
            <v>PP1800V0</v>
          </cell>
          <cell r="J991" t="str">
            <v>BLACK</v>
          </cell>
        </row>
        <row r="992">
          <cell r="A992">
            <v>1830009533</v>
          </cell>
          <cell r="B992" t="str">
            <v>PP1804V0</v>
          </cell>
          <cell r="J992" t="str">
            <v>NUDE</v>
          </cell>
        </row>
        <row r="993">
          <cell r="A993">
            <v>1830009531</v>
          </cell>
          <cell r="B993" t="str">
            <v>PP1803V0</v>
          </cell>
          <cell r="J993" t="str">
            <v>SCENARIO</v>
          </cell>
        </row>
        <row r="994">
          <cell r="A994">
            <v>1830009530</v>
          </cell>
          <cell r="B994" t="str">
            <v>PP1801V0</v>
          </cell>
          <cell r="J994" t="str">
            <v>SILVER</v>
          </cell>
        </row>
        <row r="995">
          <cell r="A995">
            <v>1830008119</v>
          </cell>
          <cell r="B995" t="str">
            <v>PP1437V0</v>
          </cell>
          <cell r="J995" t="str">
            <v>TEFAL PREMISS PP1437V0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Синий цвет</v>
          </cell>
        </row>
        <row r="996">
          <cell r="A996">
            <v>1830008118</v>
          </cell>
          <cell r="B996" t="str">
            <v>PP1436V0</v>
          </cell>
          <cell r="J996" t="str">
            <v>TEFAL PREMISS PP1436V0 Электронные весы для ванной, широкий дисплей, предел взвешивания 150 кг, градация 100 г, ультратонкая платформа, автоматическое включение, закаленное стекло, батарейки в комплекте, размеры 30 x 30 см; Синий цвет</v>
          </cell>
        </row>
        <row r="997">
          <cell r="A997">
            <v>1830008116</v>
          </cell>
          <cell r="B997" t="str">
            <v>PP1435V0</v>
          </cell>
          <cell r="J997" t="str">
            <v>TEFAL PREMISS PP1435V0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Серебряный с ландшафтным узором цвет</v>
          </cell>
        </row>
        <row r="998">
          <cell r="A998">
            <v>1830008108</v>
          </cell>
          <cell r="B998" t="str">
            <v>PP1434V0</v>
          </cell>
          <cell r="J998" t="str">
            <v>TEFAL PREMISS PP1434V0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Белый с цветами сакуры цвет</v>
          </cell>
        </row>
        <row r="999">
          <cell r="A999">
            <v>1830008102</v>
          </cell>
          <cell r="B999" t="str">
            <v>PP1433V0</v>
          </cell>
          <cell r="J999" t="str">
            <v>TEFAL PREMISS PP1433V0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Синий с цветами сакуры цвет</v>
          </cell>
        </row>
        <row r="1000">
          <cell r="A1000">
            <v>1830008103</v>
          </cell>
          <cell r="B1000" t="str">
            <v>PP1431V0</v>
          </cell>
          <cell r="J1000" t="str">
            <v>TEFAL PREMISS PP1431V0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Розовый с цветами сакуры цвет</v>
          </cell>
        </row>
        <row r="1001">
          <cell r="A1001">
            <v>1830008070</v>
          </cell>
          <cell r="B1001" t="str">
            <v>PP1430V0</v>
          </cell>
          <cell r="J1001" t="str">
            <v>TEFAL PREMISS PP1430V0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28 x 28 см; Белый с серебрянными цветами цвет</v>
          </cell>
        </row>
        <row r="1002">
          <cell r="A1002">
            <v>1830007888</v>
          </cell>
          <cell r="B1002" t="str">
            <v>PP1403V0</v>
          </cell>
          <cell r="J1002" t="str">
            <v>TEFAL PREMISS PP1403V0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Розовый цвет</v>
          </cell>
        </row>
        <row r="1003">
          <cell r="A1003">
            <v>1830007886</v>
          </cell>
          <cell r="B1003" t="str">
            <v>PP1401V0</v>
          </cell>
          <cell r="J1003" t="str">
            <v>TEFAL PREMISS PP1401V0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Белый цвет</v>
          </cell>
        </row>
        <row r="1004">
          <cell r="A1004">
            <v>1830007887</v>
          </cell>
          <cell r="B1004" t="str">
            <v>PP1400V0</v>
          </cell>
          <cell r="J1004" t="str">
            <v>TEFAL PREMISS PP1400V0 Электронные весы, широкий дисплей, предел взвешивания 150 кг, шаг измерений 100 г, ультратонкий дизайн, автоматическое включение, платформа из закаленного стекла, батарейка в комплекте, размер 30 x 30 см; Черный цвет</v>
          </cell>
        </row>
        <row r="1005">
          <cell r="A1005">
            <v>2100101296</v>
          </cell>
          <cell r="B1005" t="str">
            <v>PP1073V0</v>
          </cell>
          <cell r="J1005" t="str">
            <v>Japanese Blossom Plum</v>
          </cell>
        </row>
        <row r="1006">
          <cell r="A1006">
            <v>2100100305</v>
          </cell>
          <cell r="B1006" t="str">
            <v>PP1070V0</v>
          </cell>
          <cell r="J1006" t="str">
            <v>Весы Premiss Flower white (замена PP1005)</v>
          </cell>
        </row>
        <row r="1007">
          <cell r="A1007">
            <v>2100098635</v>
          </cell>
          <cell r="B1007" t="str">
            <v>PP1063V0</v>
          </cell>
          <cell r="J1007" t="str">
            <v>Весы стеклянные Premiss Pink, прямая замена PP1003 (green)</v>
          </cell>
        </row>
        <row r="1008">
          <cell r="A1008">
            <v>2100098628</v>
          </cell>
          <cell r="B1008" t="str">
            <v>PP1061V0</v>
          </cell>
          <cell r="J1008" t="str">
            <v>Весы стеклянные Premiss White, прямая замена PP1000</v>
          </cell>
        </row>
        <row r="1009">
          <cell r="A1009">
            <v>2100098634</v>
          </cell>
          <cell r="B1009" t="str">
            <v>PP1060V0</v>
          </cell>
          <cell r="J1009" t="str">
            <v>Весы стеклянные Premiss Black (прямая замена PP1001)</v>
          </cell>
        </row>
        <row r="1010">
          <cell r="A1010">
            <v>2100098659</v>
          </cell>
          <cell r="B1010" t="str">
            <v>PP1221V0</v>
          </cell>
          <cell r="J1010" t="str">
            <v>Весы стеклянные Premio Lilas (прямая замена PP1212)</v>
          </cell>
        </row>
        <row r="1011">
          <cell r="A1011">
            <v>8010001387</v>
          </cell>
          <cell r="B1011" t="str">
            <v>XP801T10</v>
          </cell>
          <cell r="J1011" t="str">
            <v>Эспрессо машина с кофемолкой 30 степенями помола, 3 режима температуры, 3 режима смачивания, быстрый доступ к 3 основным напиткам</v>
          </cell>
        </row>
        <row r="1012">
          <cell r="A1012">
            <v>2100134488</v>
          </cell>
          <cell r="B1012" t="str">
            <v>K2890224</v>
          </cell>
          <cell r="J1012" t="str">
            <v xml:space="preserve">Шеф-нож 20 см Tefal Precision </v>
          </cell>
        </row>
        <row r="1013">
          <cell r="A1013">
            <v>2100134490</v>
          </cell>
          <cell r="B1013" t="str">
            <v>K2891124</v>
          </cell>
          <cell r="J1013" t="str">
            <v>Нож сантоку 16,5 см Tefal Precision</v>
          </cell>
        </row>
        <row r="1014">
          <cell r="A1014">
            <v>2100134489</v>
          </cell>
          <cell r="B1014" t="str">
            <v>K2890524</v>
          </cell>
          <cell r="J1014" t="str">
            <v>Универсальный нож 12 см Tefal Precision</v>
          </cell>
        </row>
        <row r="1015">
          <cell r="A1015">
            <v>2100134487</v>
          </cell>
          <cell r="B1015" t="str">
            <v>K2890124</v>
          </cell>
          <cell r="J1015" t="str">
            <v>Овощной нож 9 см Tefal Precision</v>
          </cell>
        </row>
        <row r="1016">
          <cell r="A1016">
            <v>7211004577</v>
          </cell>
          <cell r="B1016" t="str">
            <v>HM654E10</v>
          </cell>
          <cell r="J1016" t="str">
            <v>HMX PWERMIX SILENCE W/ STDBOWL</v>
          </cell>
        </row>
        <row r="1017">
          <cell r="A1017">
            <v>7211004574</v>
          </cell>
          <cell r="B1017" t="str">
            <v>HM653910</v>
          </cell>
          <cell r="J1017" t="str">
            <v>HMX PWERMIX SILENCE HBL/CHOP</v>
          </cell>
        </row>
        <row r="1018">
          <cell r="A1018">
            <v>7211004571</v>
          </cell>
          <cell r="B1018" t="str">
            <v>HM650E10</v>
          </cell>
          <cell r="J1018" t="str">
            <v>Погружной миксер Powermix Silence c инновационным дизайном. Мощность 600 Вт, 2 венчика и 2 крюка для замешивания теста из нержавеющей стали, вариатор скорости и режим Турбо, металлические вставки на корпусе, ручка с покрытием soft-touch. Самый тихий - технология Silence600 обеспечивает максимальный уровень шума работы мотора 66 дБ, что эквивалентно обычному диалогу двух человек.</v>
          </cell>
        </row>
        <row r="1019">
          <cell r="A1019">
            <v>1830008064</v>
          </cell>
          <cell r="B1019" t="str">
            <v>CV5940F0</v>
          </cell>
          <cell r="J1019" t="str">
            <v>Фен Powerline: режим Advanced Care для безопасной сушки, мощность 2400 Эффиватт, Генератор Ионов, 6 температурно-скоростных режимов, насадка диффузор и концентратор 12мм. Стильный дизайн,Холодный воздух</v>
          </cell>
        </row>
        <row r="1020">
          <cell r="A1020">
            <v>1830008038</v>
          </cell>
          <cell r="B1020" t="str">
            <v>CV5912F0</v>
          </cell>
          <cell r="J1020" t="str">
            <v>Фен Powerline: мощность 2300 Эффиватт, Генератор Ионов, 6 температурно-скоростных режимов, насадка диффузор и концентратор 12мм. Стильный дизайнб Холодный воздух</v>
          </cell>
        </row>
        <row r="1021">
          <cell r="A1021">
            <v>1830008507</v>
          </cell>
          <cell r="B1021" t="str">
            <v>CV591LF0</v>
          </cell>
          <cell r="J1021" t="str">
            <v>POWERLINE 3 KL CV591L</v>
          </cell>
        </row>
        <row r="1022">
          <cell r="A1022">
            <v>1830007811</v>
          </cell>
          <cell r="B1022" t="str">
            <v>CV5930F0</v>
          </cell>
          <cell r="J1022" t="str">
            <v>Фен для волос, технология Ionic Booster для блестящих волос, высокоэффективный энергосберегающий DC-мотор, функция подачи холодного воздуха, 6 настроек скорости и температуры воздуха, бережный режим Thermo Control для защиты волос</v>
          </cell>
        </row>
        <row r="1023">
          <cell r="A1023">
            <v>1830004302</v>
          </cell>
          <cell r="B1023" t="str">
            <v>CV5090F0</v>
          </cell>
          <cell r="J1023" t="str">
            <v>HAIR DRYER POWERLINE+</v>
          </cell>
        </row>
        <row r="1024">
          <cell r="A1024">
            <v>1830004339</v>
          </cell>
          <cell r="B1024" t="str">
            <v>CV5062F0</v>
          </cell>
          <cell r="J1024" t="str">
            <v>Фен Rowenta Elite Model Look Powerline+: мощность 2300 Вт, 6 температурно-скоростных режимов очень легкий, насадка диффузор и концентратор</v>
          </cell>
        </row>
        <row r="1025">
          <cell r="A1025">
            <v>2211400730</v>
          </cell>
          <cell r="B1025" t="str">
            <v>TW3132EA</v>
          </cell>
          <cell r="J1025" t="str">
            <v>POWER XXL</v>
          </cell>
        </row>
        <row r="1026">
          <cell r="A1026">
            <v>2211400733</v>
          </cell>
          <cell r="B1026" t="str">
            <v>TW3153EA</v>
          </cell>
          <cell r="J1026" t="str">
            <v>POWER XXL</v>
          </cell>
        </row>
        <row r="1027">
          <cell r="A1027">
            <v>2211400731</v>
          </cell>
          <cell r="B1027" t="str">
            <v>TW3171EA</v>
          </cell>
          <cell r="J1027" t="str">
            <v>POWER XXL</v>
          </cell>
        </row>
        <row r="1028">
          <cell r="A1028">
            <v>2211400732</v>
          </cell>
          <cell r="B1028" t="str">
            <v>TW3186EA</v>
          </cell>
          <cell r="J1028" t="str">
            <v>POWER XXL</v>
          </cell>
        </row>
        <row r="1029">
          <cell r="A1029">
            <v>1830009154</v>
          </cell>
          <cell r="B1029" t="str">
            <v>UB5920F0</v>
          </cell>
          <cell r="J1029" t="str">
            <v>Rowenta Power straight
Air, которая обеспечивает быструю сушку, роскошную укладку и великолепное разглаживание локонов.
Компактный дизайн и небольшой вес прибора, 3 регулируемых режима нагрева/скорости воздушного
потока для сушки влажных и выпрямления сухих волос позволяют создавать эффектную укладку легко и
непринужденно.</v>
          </cell>
        </row>
        <row r="1030">
          <cell r="A1030">
            <v>1830008713</v>
          </cell>
          <cell r="B1030" t="str">
            <v>CF582LF0</v>
          </cell>
          <cell r="J1030" t="str">
            <v>расческа-выпрямитель</v>
          </cell>
        </row>
        <row r="1031">
          <cell r="A1031">
            <v>1830006976</v>
          </cell>
          <cell r="B1031" t="str">
            <v>CF5820F0</v>
          </cell>
          <cell r="J1031" t="str">
            <v>HEAT STRAIGHT BRUSH</v>
          </cell>
        </row>
        <row r="1032">
          <cell r="A1032">
            <v>1830007665</v>
          </cell>
          <cell r="B1032" t="str">
            <v>VR8227F0</v>
          </cell>
          <cell r="J1032" t="str">
            <v>ПАРОГЕНЕРАТОР POWERSTEAM VR8227F0</v>
          </cell>
        </row>
        <row r="1033">
          <cell r="A1033">
            <v>9100048937</v>
          </cell>
          <cell r="B1033">
            <v>4221124</v>
          </cell>
          <cell r="J1033" t="str">
            <v>Сковорода 24  Power</v>
          </cell>
        </row>
        <row r="1034">
          <cell r="A1034">
            <v>9100048938</v>
          </cell>
          <cell r="B1034">
            <v>4221126</v>
          </cell>
          <cell r="J1034" t="str">
            <v>Сковорода 26  Power</v>
          </cell>
        </row>
        <row r="1035">
          <cell r="A1035">
            <v>9100048939</v>
          </cell>
          <cell r="B1035">
            <v>4221128</v>
          </cell>
          <cell r="J1035" t="str">
            <v>Сковорода 28  Power</v>
          </cell>
        </row>
        <row r="1036">
          <cell r="A1036">
            <v>9100048940</v>
          </cell>
          <cell r="B1036">
            <v>4221522</v>
          </cell>
          <cell r="J1036" t="str">
            <v>Блинная сковорода 22 Power</v>
          </cell>
        </row>
        <row r="1037">
          <cell r="A1037">
            <v>9100048941</v>
          </cell>
          <cell r="B1037">
            <v>4221628</v>
          </cell>
          <cell r="J1037" t="str">
            <v>Сковорода ВОК 28 Power</v>
          </cell>
        </row>
        <row r="1038">
          <cell r="A1038">
            <v>9100053988</v>
          </cell>
          <cell r="B1038">
            <v>4227124</v>
          </cell>
          <cell r="J1038" t="str">
            <v>Сковорода 24  Power</v>
          </cell>
        </row>
        <row r="1039">
          <cell r="A1039">
            <v>9100053989</v>
          </cell>
          <cell r="B1039">
            <v>4227126</v>
          </cell>
          <cell r="J1039" t="str">
            <v>Сковорода 26  Power</v>
          </cell>
        </row>
        <row r="1040">
          <cell r="A1040">
            <v>9100053990</v>
          </cell>
          <cell r="B1040">
            <v>4227128</v>
          </cell>
          <cell r="J1040" t="str">
            <v>Сковорода 28  Power</v>
          </cell>
        </row>
        <row r="1041">
          <cell r="A1041">
            <v>9100053991</v>
          </cell>
          <cell r="B1041">
            <v>4227522</v>
          </cell>
          <cell r="J1041" t="str">
            <v>Блинная сковорода 22 Power</v>
          </cell>
        </row>
        <row r="1042">
          <cell r="A1042">
            <v>9100053992</v>
          </cell>
          <cell r="B1042">
            <v>4227628</v>
          </cell>
          <cell r="J1042" t="str">
            <v>Сковорода ВОК 28 Power</v>
          </cell>
        </row>
        <row r="1043">
          <cell r="A1043">
            <v>9100053987</v>
          </cell>
          <cell r="B1043">
            <v>4227120</v>
          </cell>
          <cell r="J1043" t="str">
            <v>Сковорода 20 Power</v>
          </cell>
        </row>
        <row r="1044">
          <cell r="A1044">
            <v>3100515708</v>
          </cell>
          <cell r="B1044">
            <v>515708</v>
          </cell>
          <cell r="J1044" t="str">
            <v>Термос-чайник с пневмонасосом PONZA красный 1,9 л</v>
          </cell>
        </row>
        <row r="1045">
          <cell r="A1045">
            <v>3100515707</v>
          </cell>
          <cell r="B1045">
            <v>515707</v>
          </cell>
          <cell r="J1045" t="str">
            <v>Термос-чайник с пневмонасосом  PONZA белый 1,9 л</v>
          </cell>
        </row>
        <row r="1046">
          <cell r="A1046">
            <v>3100515706</v>
          </cell>
          <cell r="B1046">
            <v>515706</v>
          </cell>
          <cell r="J1046" t="str">
            <v>Термос-чайник с пневмонасосом PONZA черный 1,9 л</v>
          </cell>
        </row>
        <row r="1047">
          <cell r="A1047">
            <v>1830005115</v>
          </cell>
          <cell r="B1047" t="str">
            <v>CV1510F0</v>
          </cell>
          <cell r="J1047" t="str">
            <v>Фен Pocket Dry 1400 Вт, складная ручка, 2 режима, концентратор</v>
          </cell>
        </row>
        <row r="1048">
          <cell r="A1048">
            <v>3200001451</v>
          </cell>
          <cell r="B1048">
            <v>419040711</v>
          </cell>
          <cell r="J1048" t="str">
            <v>УДЛИНИТЕЛЬ AMBIENT</v>
          </cell>
        </row>
        <row r="1049">
          <cell r="A1049">
            <v>9100039722</v>
          </cell>
          <cell r="B1049">
            <v>4162722</v>
          </cell>
          <cell r="J1049" t="str">
            <v>TEFAL крышка пластиковая 22 см</v>
          </cell>
        </row>
        <row r="1050">
          <cell r="A1050">
            <v>9100022582</v>
          </cell>
          <cell r="B1050">
            <v>4162720</v>
          </cell>
          <cell r="J1050" t="str">
            <v>Пластиковая крышка TEFAL Ingenio 20 см</v>
          </cell>
        </row>
        <row r="1051">
          <cell r="A1051">
            <v>9100022581</v>
          </cell>
          <cell r="B1051">
            <v>4162716</v>
          </cell>
          <cell r="J1051" t="str">
            <v>Пластиковая крышка TEFAL Ingenio 16 см</v>
          </cell>
        </row>
        <row r="1052">
          <cell r="A1052">
            <v>9100039723</v>
          </cell>
          <cell r="B1052">
            <v>4162724</v>
          </cell>
          <cell r="J1052" t="str">
            <v>Пластиковая крышка 24 INGENIO</v>
          </cell>
        </row>
        <row r="1053">
          <cell r="A1053">
            <v>8010000020</v>
          </cell>
          <cell r="B1053" t="str">
            <v>KI750D30</v>
          </cell>
          <cell r="J1053" t="str">
            <v>Стеклянный чайник Tefal, мощность 2400 Вт, объем 1,7 литра, подстветка, фильтр против накипи, индикатор уровня воды, скрытый нагревательный элемент, материал - стекло. Цвет -нержавеющая сталь</v>
          </cell>
        </row>
        <row r="1054">
          <cell r="A1054">
            <v>8010000960</v>
          </cell>
          <cell r="B1054" t="str">
            <v>KP1A3B10</v>
          </cell>
          <cell r="J1054" t="str">
            <v>Капсульная кофемашина Piccolo XS, мощность 1500 Вт, давление 15 бар, ручная дозировка, переключение подачи воды - горячая/холодная, резервуар для воды 0,8 л, энергосбережение - автоотключение через 1 мин., регулируемая по высоте подставка для чашек, цвет - черный</v>
          </cell>
        </row>
        <row r="1055">
          <cell r="A1055">
            <v>8010000604</v>
          </cell>
          <cell r="B1055" t="str">
            <v>KP1A0510</v>
          </cell>
          <cell r="J1055" t="str">
            <v>Капсульная кофемашина Piccolo XS, мощность 1500 Вт, давление 15 бар, ручная дозировка, переключение подачи воды - горячая/холодная, резервуар для воды 0,8 л, энергосбережение - автоотключение через 1 мин., регулируемая по высоте подставка для чашек, цвет - бордовый</v>
          </cell>
        </row>
        <row r="1056">
          <cell r="A1056">
            <v>8010000501</v>
          </cell>
          <cell r="B1056" t="str">
            <v>KP100B10</v>
          </cell>
          <cell r="J1056" t="str">
            <v>Капсульная кофемашина Piccolo, мощность 1500 Вт, давление 15 бар, ручная дозировка, переключение подачи воды - горячая/холодная, энергосбережение - автоотключение через 20 мин., регулируемая по высоте подставка для чашек, цвет - антрацит</v>
          </cell>
        </row>
        <row r="1057">
          <cell r="A1057">
            <v>8010000350</v>
          </cell>
          <cell r="B1057" t="str">
            <v>KP100610</v>
          </cell>
          <cell r="J1057" t="str">
            <v>Капсульная кофемашина Piccolo, мощность 1500 Вт, давление 15 бар, ручная дозировка, переключение подачи воды - горячая/холодная, энергосбережение - автоотключение через 20 мин., регулируемая по высоте подставка для чашек, цвет - красный</v>
          </cell>
        </row>
        <row r="1058">
          <cell r="A1058">
            <v>3201000543</v>
          </cell>
          <cell r="B1058" t="str">
            <v>576444291</v>
          </cell>
          <cell r="J1058" t="str">
            <v>Сковорода с высокими бортами 24 см PERMADUR PREMIUM</v>
          </cell>
        </row>
        <row r="1059">
          <cell r="A1059">
            <v>3201018550</v>
          </cell>
          <cell r="B1059" t="str">
            <v>546284021</v>
          </cell>
          <cell r="J1059" t="str">
            <v>Сковорода PERMADUR INSPIRE 28 см</v>
          </cell>
        </row>
        <row r="1060">
          <cell r="A1060">
            <v>3201018551</v>
          </cell>
          <cell r="B1060" t="str">
            <v>546244021</v>
          </cell>
          <cell r="J1060" t="str">
            <v>Сковорода PERMADUR INSPIRE 24 см</v>
          </cell>
        </row>
        <row r="1061">
          <cell r="A1061">
            <v>7211004861</v>
          </cell>
          <cell r="B1061" t="str">
            <v xml:space="preserve">LM87G810 </v>
          </cell>
          <cell r="J1061" t="str">
            <v>Высокоскоростной блендер Moulinex PerfectMix+, Технология лезвий Powelix, Быстрый результат приготовления, Вдохновляющие рецепты в приложении Moulinex, Легко чистить, Превосходное измельчение, Чаша из термостойкого стекла объемом 2 л, Бутылка для смузи, LM87G810</v>
          </cell>
        </row>
        <row r="1062">
          <cell r="A1062">
            <v>7211004855</v>
          </cell>
          <cell r="B1062" t="str">
            <v xml:space="preserve">LM871D10 </v>
          </cell>
          <cell r="J1062" t="str">
            <v>Высокоскоростной блендер Moulinex PerfectMix+, Технология лезвий Powelix, Быстрый результат приготовления, Вдохновляющие рецепты в приложении Moulinex, Легко чистить, Превосходное измельчение, Чаша из термостойкого стекла объемом 2 л, LM871A10</v>
          </cell>
        </row>
        <row r="1063">
          <cell r="A1063">
            <v>7211004958</v>
          </cell>
          <cell r="B1063" t="str">
            <v xml:space="preserve">LM871A10 </v>
          </cell>
          <cell r="J1063" t="str">
            <v>Высокоскоростной блендер Moulinex PerfectMix+, Технология лезвий Powelix, Быстрый результат приготовления, Вдохновляющие рецепты в приложении Moulinex, Легко чистить, Превосходное измельчение, Чаша из термостойкого стекла объемом 2 л, LM871A10</v>
          </cell>
        </row>
        <row r="1064">
          <cell r="A1064">
            <v>7211419423</v>
          </cell>
          <cell r="B1064" t="str">
            <v>LM771BF0</v>
          </cell>
          <cell r="J1064" t="str">
            <v>Блендер Perfectmix Essential с мощностью 1200ВТ</v>
          </cell>
        </row>
        <row r="1065">
          <cell r="A1065">
            <v>7211419424</v>
          </cell>
          <cell r="B1065" t="str">
            <v>LM771AF0</v>
          </cell>
          <cell r="J1065" t="str">
            <v>Блендер Perfectmix Essential с мощностью 1200ВТ, объем чаши 2л</v>
          </cell>
        </row>
        <row r="1066">
          <cell r="A1066">
            <v>1830007259</v>
          </cell>
          <cell r="B1066" t="str">
            <v>DG8666F0</v>
          </cell>
          <cell r="J1066" t="str">
            <v>парогенератор Rowenta Eco Steam Pro Steam Generator Iron давление пара 7,3 бар , подача пара 120 , паровой удар 430</v>
          </cell>
        </row>
        <row r="1067">
          <cell r="A1067">
            <v>1830007134</v>
          </cell>
          <cell r="B1067" t="str">
            <v>DG8622F0</v>
          </cell>
          <cell r="J1067" t="str">
            <v>Парогенератор Perfect Steam Pro с коллектором для сбора накипи. Давление 6,9 бар, постоянный пар 120 г/мин, паровой удар 430 г/мин, автоотключение, подошва Microsteam400 HD Laser, эко-функция, система защелкивания утюга, быстрый нагрев 2 мин., резервуар для воды 1.1 л, мощность 2400 Вт, система Easycord - шнур не сминает ткань, долив воды в любой момент, специальный канал для хранения шнура, сделано во Франции</v>
          </cell>
        </row>
        <row r="1068">
          <cell r="A1068">
            <v>1830006004</v>
          </cell>
          <cell r="B1068" t="str">
            <v>DG8580F0</v>
          </cell>
          <cell r="J1068" t="str">
            <v>ПАРОГЕНЕРАТОР PERFECT STEAM CONTROL, ЭЛЕКТРОННАЯ ПАНЕЛЬ УПРАВЛЕНИЯ: 3 НАСТРОЙКИ ДЛЯ РАЗНЫХ ТИПОВ ТКАНИ, ДАВЛЕНИЕ ПАРА 6,5 БАР, ПОСТОЯННЫЙ ПАР 120 Г/МИН, ПАРОВОЙ УДАР 400 Г/МИН, ПОДОШВА MICROSTEAM400 LASER, ЭКО ФУНКЦИЯ, АВТООТКЛЮЧЕНИЕ, СИСТЕМА FAST HEAT UP, СТЕРЖЕНЬ-КОЛЛЕКТОР ДЛЯ СБОРА НАКИПИ, СПЕЦИАЛЬНЫЙ ОТСЕК ДЛЯ ХРАНЕНИЯ ШНУРА ДЛЯ ПОДАЧИ ПАРА, УНИКАЛЬНАЯ СИСТЕМА ЗАЩЕЛКИВАНИЯ УТЮГА, СЪЕМНЫЙ РЕЗЕРВУАР ДЛЯ ВОДЫ 1,3 Л, ПРОИЗВОДСТВО ФРАНЦИЯ</v>
          </cell>
        </row>
        <row r="1069">
          <cell r="A1069">
            <v>7211004259</v>
          </cell>
          <cell r="B1069" t="str">
            <v>LM81G810</v>
          </cell>
          <cell r="J1069" t="str">
            <v>ВЫСОКОСКОРОСТНОЙ БЛЕНДЕР MOULINEX PERFECTMIX+ LM81G810</v>
          </cell>
        </row>
        <row r="1070">
          <cell r="A1070">
            <v>7211002608</v>
          </cell>
          <cell r="B1070" t="str">
            <v>LM811D10</v>
          </cell>
          <cell r="J1070" t="str">
            <v>HI SPEED БЛЕНДЕР MOULINEX PERFECTMIX+ LM811 . МОЩНОСТЬ - 1200ВТ, СКОРОСТЬ ВРАЩЕНИЯ ЛЕЗВИЙ - 30 000 ОБ/МИН, 6 ЛЕЗВИЙ,  6 АВТОМАТИЧЕСКИХ ПРОГГРАМ (СМУЗИ, КОЛКА ЛЬДА, ГОРЯЧИЙ СУП, СОРБЕТ, ОРЕХИ, АВТООЧИСТКА), СВЕРХПРОЧНАЯ ЧАША ИЗ ТРИТАНА, ПОЛЕЗНЫЙ ОБЪЕМ 2Л, ВОЗМОЖНОСТЬ ПРИГОТОВЛЕНИЯ ГОРЯЧИХ СУПОВ, LCD ДИСПЛЕЙ, ВОЗМОЖНОСТЬ МЫТЬ В ПОСУДОМОЕЧНОЙ МАШИНЕ. СДЕЛАНО В КИТАЕ</v>
          </cell>
        </row>
        <row r="1071">
          <cell r="A1071">
            <v>7211003460</v>
          </cell>
          <cell r="B1071" t="str">
            <v>LM811132</v>
          </cell>
          <cell r="J1071" t="str">
            <v>ВЫСОКОСКОРОСТНОЙ БЛЕНДЕР MOULINEX . МОЩНОСТЬ - 1200ВТ, СКОРОСТЬ ВРАЩЕНИЯ ЛЕЗВИЙ - 28 000 ОБ/МИН, СЪЕМНЫЕ ЛЕЗВИЯ,  3 АВТОМАТИЧЕСКИЕ ПРОГРАММЫ (СМУЗИ, КОЛКА ЛЬДА, АВТООЧИСТКА), СТЕКЛЯННАЯ ЧАША ОБЪЕМОМ 2Л.</v>
          </cell>
        </row>
        <row r="1072">
          <cell r="A1072">
            <v>1830008704</v>
          </cell>
          <cell r="B1072" t="str">
            <v>TN152LF0</v>
          </cell>
          <cell r="J1072" t="str">
            <v xml:space="preserve">HAIR CLIPPER CORDED &amp; CORDLESS KL </v>
          </cell>
        </row>
        <row r="1073">
          <cell r="A1073">
            <v>1830004998</v>
          </cell>
          <cell r="B1073" t="str">
            <v>TN1300F0</v>
          </cell>
          <cell r="J1073" t="str">
            <v>Машинка для стрижки волос Perfect Line: Профессиональный мотор AC - больший срок службы, стальные лезвия профессионального качества, 3 микро-режима настройки длины стрижки ( 0,6-0,9-1,2 мм), 6 насадок (3-6-9-13-18-25 мм)</v>
          </cell>
        </row>
        <row r="1074">
          <cell r="A1074">
            <v>1830005000</v>
          </cell>
          <cell r="B1074" t="str">
            <v>TN1350F0</v>
          </cell>
          <cell r="J1074" t="str">
            <v>TN1350F0 МАШИНКА ДЛЯ СТРИЖКИ</v>
          </cell>
        </row>
        <row r="1075">
          <cell r="A1075">
            <v>3100514454</v>
          </cell>
          <cell r="B1075">
            <v>514454</v>
          </cell>
          <cell r="J1075" t="str">
            <v>Разделочная доска Perfect cut 40*29 белая EMSA</v>
          </cell>
        </row>
        <row r="1076">
          <cell r="A1076">
            <v>8010000405</v>
          </cell>
          <cell r="B1076" t="str">
            <v>GC242D38</v>
          </cell>
          <cell r="J1076" t="str">
            <v>ПАНИНИ ГРИЛЬ С УВЕЛИЧЕННЫМ РАССТОЯНИЕМ МЕЖДУ ПЛАСТИНАМИ, НЕСЪЕМНЫЕ ПЛАСТИНЫ С АНТИПРИГАРНОЙ ПОВЕРХНОСТЬЮ, ИНДИКАТОР ГОТОВНОСТИ, ПОВЕРХНОСТЬ ГРИЛЯ – 2 × 600 ММ, РЕГУЛИРУЕМЫЙ ТЕРМОСТАТ, МОЩНОСТЬ 2000 ВТ, ЛОТОК ДЛЯ ЖИРА, КОРПУС: НЕРЖАВЕЮЩАЯ СТАЛЬ (ЧЕРНОЕ ПОКРЫТИЕ), ВЕРТИКАЛЬНОЕ ХРАНЕНИЕ СО СПЕЦИАЛЬНЫМ ЗАМКОМ.</v>
          </cell>
        </row>
        <row r="1077">
          <cell r="A1077">
            <v>8000035958</v>
          </cell>
          <cell r="B1077" t="str">
            <v>GC241D38</v>
          </cell>
          <cell r="J1077" t="str">
            <v>ПАНИНИ ГРИЛЬ С УВЕЛИЧЕННЫМ РАССТОЯНИЕМ МЕЖДУ ПЛАСТИНАМИ, НЕСЪЕМНЫЕ ПЛАСТИНЫ С АНТИПРИГАРНОЙ ПОВЕРХНОСТЬЮ, ИНДИКАТОР ГОТОВНОСТИ, ПОВЕРХНОСТЬ ГРИЛЯ – 2 × 600 ММ, РЕГУЛИРУЕМЫЙ ТЕРМОСТАТ, МОЩНОСТЬ 2000 ВТ, ЛОТОК ДЛЯ ЖИРА, КОРПУС: НЕРЖАВЕЮЩАЯ СТАЛЬ,</v>
          </cell>
        </row>
        <row r="1078">
          <cell r="A1078">
            <v>8010000786</v>
          </cell>
          <cell r="B1078" t="str">
            <v>GC242832</v>
          </cell>
          <cell r="J1078" t="str">
            <v>ЭЛЕКТРИЧЕСКИЙ ГРИЛЬ INICIO</v>
          </cell>
        </row>
        <row r="1079">
          <cell r="A1079">
            <v>3201112494</v>
          </cell>
          <cell r="B1079">
            <v>1272916040</v>
          </cell>
          <cell r="J1079" t="str">
            <v>Набор столовых приборов 30 пр. PALMA</v>
          </cell>
        </row>
        <row r="1080">
          <cell r="A1080">
            <v>7211002269</v>
          </cell>
          <cell r="B1080" t="str">
            <v>OW220830</v>
          </cell>
          <cell r="J1080" t="str">
            <v xml:space="preserve">МОЩНОСТЬ 650ВТ, 3 ВАРИАНТА ВЕСА ХЛЕБА  500-750-1000, 17 ПРОГРАММ = 10 ПРОГРАММ ДЛЯ ВЫПЕЧКИ ХЛЕБА (3 БЕЗ ГЛЮТЕНА) + 6 ДОПОЛНИТЕЛЬНЫХ ПРОГРАММ (ПАСТА, ПИЦЦА, ДЖЕМ, ПИРОГ, КАША, КРУПЫ), РУЧНОЙ РЕЖИМ УСТАНОВКИ ВРЕМЕНИ , ОТЛОЖЕННЫЙ СТАРТ,  АВТОМАТИЧЕСКИЙ ПОДОГРЕВ 1 ЧАС, 3 ВАРИАНТА КОРОЧКИ, КОМПАКТНОСТЬ, АНТИПРИИГАРНОЕ ПОКРЫТИЕ ЧАШИ, КНИГА РЕЦЕПТОВ НА 28 РЕЦЕПТОВ, МЕРНЫЙ СТАКАН И ЛОЖКА В КОМПЛЕКТЕ </v>
          </cell>
        </row>
        <row r="1081">
          <cell r="A1081">
            <v>7211000075</v>
          </cell>
          <cell r="B1081" t="str">
            <v>OW251E32</v>
          </cell>
          <cell r="J1081" t="str">
            <v>МОЩНОСТЬ 650ВТ, ДИСПЕНСЕР С 2МЯ ОТДЕЛЕНИЯМИ,  3 ВАРИАНТА ВЕСА ХЛЕБА  500-750-1000, 22 ПРОГРАММЫ = 10 ПРОГРАММ ДЛЯ ВЫПЕЧКИ ХЛЕБА (3 БЕЗ ГЛЮТЕНА) + 7 ДОПОЛНИТЕЛЬНЫХ ПРОГРАММ (ПАСТА, ПИЦЦА, ПЕСОЧНОЕ ТЕСТО, ДЖЕМ, ПИРОГ, КАША, КРУПЫ + 3 КИСЛОМОЛОЧНЫЕ ПРОГРАММЫ  (ЙОГУРТ, ПИТЕВОЙ ЙОГУРТ, ТВОРОГ), РУЧНОЙ РЕЖИМ (DIY), ОТЛОЖЕННЫЙ СТАРТ,  АВТОМАТИЧЕСКИЙ ПОДОГРЕВ 1 ЧАС, 3 ВАРИАНТА КОРОЧКИ, КОМПАКТНОСТЬ, АНТИПРИИГАРНОЕ ПОКРЫТИЕ ЧАШИ, КНИГА РЕЦЕПТОВ НА 28 РЕЦЕПТОВ, МЕРНЫЙ СТАКАН, ЛОЖКА И СТАКАН ДЛЯ ПРИГОТОВЛЕНИЯ ЙОГУРТА/ТВОРОГА В КОМПЛЕКТЕ, МЕТАЛЛИЧЕСКИЙ КОРПУС</v>
          </cell>
        </row>
        <row r="1082">
          <cell r="A1082">
            <v>7211000077</v>
          </cell>
          <cell r="B1082" t="str">
            <v>OW250132</v>
          </cell>
          <cell r="J1082" t="str">
            <v xml:space="preserve">МОЩНОСТЬ 650ВТ, ДИСПЕНСЕР С 2МЯ ОТДЕЛЕНИЯМИ,  3 ВАРИАНТА ВЕСА ХЛЕБА  500-750-1000, 20 ПРОГРАММ = 10 ПРОГРАММ ДЛЯ ВЫПЕЧКИ ХЛЕБА (3 БЕЗ ГЛЮТЕНА) + 6 ДОПОЛНИТЕЛЬНЫХ ПРОГРАММ (ПАСТА, ПИЦЦА, ДЖЕМ, ПИРОГ, КАША, КРУПЫ + 3 КИСЛОМОЛОЧНЫЕ ПРОГРАММЫ  (ЙОГУРТ, ПИТЕВОЙ ЙОГУРТ, ТВОРОГ), РУЧНОЙ РЕЖИМ УСТАНОВКИ ВРЕМЕНИ , ОТЛОЖЕННЫЙ СТАРТ,  АВТОМАТИЧЕСКИЙ ПОДОГРЕВ 1 ЧАС, 3 ВАРИАНТА КОРОЧКИ, КОМПАКТНОСТЬ, АНТИПРИИГАРНОЕ ПОКРЫТИЕ ЧАШИ, КНИГА РЕЦЕПТОВ НА 28 РЕЦЕПТОВ, МЕРНЫЙ СТАКАН, ЛОЖКА И СТАКАН ДЛЯ ПРИГОТОВЛЕНИЯ ЙОГУРТА/ТВОРОГА В КОМПЛЕКТЕ </v>
          </cell>
        </row>
        <row r="1083">
          <cell r="A1083">
            <v>7211002289</v>
          </cell>
          <cell r="B1083" t="str">
            <v>OW240E30</v>
          </cell>
          <cell r="J1083" t="str">
            <v xml:space="preserve">МОЩНОСТЬ 650ВТ, 3 ВАРИАНТА ВЕСА ХЛЕБА  500-750-1000, 20 ПРОГРАММ = 10 ПРОГРАММ ДЛЯ ВЫПЕЧКИ ХЛЕБА (3 БЕЗ ГЛЮТЕНА) + 6 ДОПОЛНИТЕЛЬНЫХ ПРОГРАММ (ПАСТА, ПИЦЦА, ДЖЕМ, ПИРОГ, КАША, КРУПЫ + 3 КИСЛОМОЛОЧНЫЕ ПРОГРАММЫ  (ЙОГУРТ, ПИТЕВОЙ ЙОГУРТ, ТВОРОГ), РУЧНОЙ РЕЖИМ УСТАНОВКИ ВРЕМЕНИ , ОТЛОЖЕННЫЙ СТАРТ,  АВТОМАТИЧЕСКИЙ ПОДОГРЕВ 1 ЧАС, 3 ВАРИАНТА КОРОЧКИ, КОМПАКТНОСТЬ, АНТИПРИИГАРНОЕ ПОКРЫТИЕ ЧАШИ, КНИГА РЕЦЕПТОВ НА 28 РЕЦЕПТОВ, МЕРНЫЙ СТАКАН, ЛОЖКА И СТАКАН ДЛЯ ПРИГОТОВЛЕНИЯ ЙОГУРТА/ТВОРОГА В КОМПЛЕКТЕ </v>
          </cell>
        </row>
        <row r="1084">
          <cell r="A1084">
            <v>7211004598</v>
          </cell>
          <cell r="B1084" t="str">
            <v>OW210830</v>
          </cell>
          <cell r="J1084" t="str">
            <v>Хлебопечь, серии PAIN DORE, макс.объем - 1 кг, цвет черный</v>
          </cell>
        </row>
        <row r="1085">
          <cell r="A1085">
            <v>8000001814</v>
          </cell>
          <cell r="B1085" t="str">
            <v>ADR901</v>
          </cell>
          <cell r="J1085" t="str">
            <v>УНИВЕРСАЛЬНЫЙ НОЖ ДЛЯ МЯСОРУБОК АA14, АA15, АDRA, АDRB, АDR7, АDR8</v>
          </cell>
        </row>
        <row r="1086">
          <cell r="A1086">
            <v>2211400513</v>
          </cell>
          <cell r="B1086" t="str">
            <v>ZR850001</v>
          </cell>
          <cell r="J1086" t="str">
            <v>Набор из 4 картриджей от накипи и 1 поролонового фильтра ZR850001 для VP85** Clean&amp;Steam Multi для VP8561RH</v>
          </cell>
        </row>
        <row r="1087">
          <cell r="A1087">
            <v>2211400514</v>
          </cell>
          <cell r="B1087" t="str">
            <v>ZR850002</v>
          </cell>
          <cell r="J1087" t="str">
            <v>Набор из 2 тряпок из микроволокна ZR850002 для VP85** Clean&amp;Steam Multi для VP8561RH</v>
          </cell>
        </row>
        <row r="1088">
          <cell r="A1088">
            <v>2211400515</v>
          </cell>
          <cell r="B1088" t="str">
            <v>ZR850003</v>
          </cell>
          <cell r="J1088" t="str">
            <v>Набор из аксессуаров и щеток ZR850003 для VP85** Clean&amp;Steam Multi для VP8561RH</v>
          </cell>
        </row>
        <row r="1089">
          <cell r="A1089">
            <v>1830008984</v>
          </cell>
          <cell r="B1089" t="str">
            <v>DT1020E1</v>
          </cell>
          <cell r="J1089" t="str">
            <v>Ручной отпариватель Tefal Origin Travel с мощностью 1200Вт, время нагрева 25сек, подача пара 20гр</v>
          </cell>
        </row>
        <row r="1090">
          <cell r="A1090">
            <v>1830009409</v>
          </cell>
          <cell r="B1090" t="str">
            <v>DT1R04F1</v>
          </cell>
          <cell r="J1090" t="str">
            <v>TEFAL Origin Travel Handheld Steamer, удобный для путешествий складной формат, ультракомпактный дизайн</v>
          </cell>
        </row>
        <row r="1091">
          <cell r="A1091">
            <v>1830008982</v>
          </cell>
          <cell r="B1091" t="str">
            <v>DT1034E1</v>
          </cell>
          <cell r="J1091" t="str">
            <v>Ручной отпариватель Tefal Origin Travel с мощностью 1200Вт, время нагрева 25сек, подача пара 20гр</v>
          </cell>
        </row>
        <row r="1092">
          <cell r="A1092">
            <v>7211003759</v>
          </cell>
          <cell r="B1092" t="str">
            <v>HB833132</v>
          </cell>
          <cell r="J1092" t="str">
            <v>OPTITOUCH 2 ACC HB833</v>
          </cell>
        </row>
        <row r="1093">
          <cell r="A1093">
            <v>7211002825</v>
          </cell>
          <cell r="B1093" t="str">
            <v>DD833810</v>
          </cell>
          <cell r="J1093" t="str">
            <v>ПОГРУЖНОЙ БЛЕНДЕР TEFAL OPTITOUCH, МОЩНОСТЬ 600 ВТ, 16 СКОРОСТЕЙ + ТУРБО-РЕЖИМ,  МЕРНЫЙ СТАКАН, ПОГРУЖНАЯ ЧАСТЬ ИЗ НЕРЖАВЕЮЩЕЙ СТАЛИ, ВЕНЧИК, ИЗМЕЛЬЧИТЕЛЬ 500МЛ. ЦВЕТ - БЕЛЫЙ.</v>
          </cell>
        </row>
        <row r="1094">
          <cell r="A1094">
            <v>1830007834</v>
          </cell>
          <cell r="B1094" t="str">
            <v>BC5125V1</v>
          </cell>
          <cell r="J1094" t="str">
            <v>Весы кухонные. Макс. Вес 5 кг, шаг измерения 1 гр, материал платформы - стекло, взвешвание жидкостей, цвет : Эйфилева Башня.</v>
          </cell>
        </row>
        <row r="1095">
          <cell r="A1095">
            <v>1830008057</v>
          </cell>
          <cell r="B1095" t="str">
            <v>BC5005V0</v>
          </cell>
          <cell r="J1095" t="str">
            <v>Весы кухонные. Макс. Вес 5 кг, шаг измерения 1 гр, материал платформы - стекло, взвешвание жидкостей, цвет черный.</v>
          </cell>
        </row>
        <row r="1096">
          <cell r="A1096">
            <v>1830007817</v>
          </cell>
          <cell r="B1096" t="str">
            <v>BC5122V1</v>
          </cell>
          <cell r="J1096" t="str">
            <v>OPTISS</v>
          </cell>
        </row>
        <row r="1097">
          <cell r="A1097">
            <v>1830007836</v>
          </cell>
          <cell r="B1097" t="str">
            <v>BC5109V1</v>
          </cell>
          <cell r="J1097" t="str">
            <v>OPTISS</v>
          </cell>
        </row>
        <row r="1098">
          <cell r="A1098">
            <v>1830007830</v>
          </cell>
          <cell r="B1098" t="str">
            <v>BC5102V2</v>
          </cell>
          <cell r="J1098" t="str">
            <v>Платформа из тонкого стекла, дизайн VINTAGE Baker   Сброс тары   Взвешивание жидкостей  Измерение температуры   Шаг измерения 1 гр от 0 до 1 кг, далее 5 гр Максимальный вес – 5 кг  LCD дисплей</v>
          </cell>
        </row>
        <row r="1099">
          <cell r="A1099">
            <v>2100086694</v>
          </cell>
          <cell r="B1099" t="str">
            <v>BC5102V1</v>
          </cell>
          <cell r="J1099" t="str">
            <v>Платформа из тонкого стекла, дизайн VINTAGE Baker   Сброс тары   Взвешивание жидкостей  Измерение температуры   Шаг измерения 1 гр от 0 до 1 кг, далее 5 гр Максимальный вес – 5 кг  LCD дисплей</v>
          </cell>
        </row>
        <row r="1100">
          <cell r="A1100">
            <v>1830007855</v>
          </cell>
          <cell r="B1100" t="str">
            <v>BC5004V2</v>
          </cell>
          <cell r="J1100" t="str">
            <v xml:space="preserve">Tefal Кухонные весы                     </v>
          </cell>
        </row>
        <row r="1101">
          <cell r="A1101">
            <v>1830007856</v>
          </cell>
          <cell r="B1101" t="str">
            <v>BC5003V2</v>
          </cell>
          <cell r="J1101" t="str">
            <v>Optiss (red)</v>
          </cell>
        </row>
        <row r="1102">
          <cell r="A1102">
            <v>1830007854</v>
          </cell>
          <cell r="B1102" t="str">
            <v>BC5000V2</v>
          </cell>
          <cell r="J1102" t="str">
            <v>Тонкая стеклянная платформаСброс веса тары  Шаг измерения 1 гр от 0 до 1 кг, далее 5 гр Компактные Максимальный вес – 5 кг Автоматическое или ручное отключение LCD дисплей Сделано в Китае                        </v>
          </cell>
        </row>
        <row r="1103">
          <cell r="A1103">
            <v>1830009238</v>
          </cell>
          <cell r="B1103" t="str">
            <v xml:space="preserve">BC50D2V0 </v>
          </cell>
          <cell r="J1103" t="str">
            <v>ARDOISE</v>
          </cell>
        </row>
        <row r="1104">
          <cell r="A1104">
            <v>1830009243</v>
          </cell>
          <cell r="B1104" t="str">
            <v>BC50D4V0</v>
          </cell>
          <cell r="J1104" t="str">
            <v>CUPCAKES</v>
          </cell>
        </row>
        <row r="1105">
          <cell r="A1105">
            <v>1830009245</v>
          </cell>
          <cell r="B1105" t="str">
            <v xml:space="preserve">BC50D6V0 </v>
          </cell>
          <cell r="J1105" t="str">
            <v>MOZAIC</v>
          </cell>
        </row>
        <row r="1106">
          <cell r="A1106">
            <v>1830009239</v>
          </cell>
          <cell r="B1106" t="str">
            <v xml:space="preserve">BC50U0V0 </v>
          </cell>
          <cell r="J1106" t="str">
            <v>WHITE</v>
          </cell>
        </row>
        <row r="1107">
          <cell r="A1107">
            <v>1830009241</v>
          </cell>
          <cell r="B1107" t="str">
            <v>BC50U3V0</v>
          </cell>
          <cell r="J1107" t="str">
            <v>RASPBERRY</v>
          </cell>
        </row>
        <row r="1108">
          <cell r="A1108">
            <v>1830009242</v>
          </cell>
          <cell r="B1108" t="str">
            <v xml:space="preserve">BC50U4V0 </v>
          </cell>
          <cell r="J1108" t="str">
            <v>SILVER</v>
          </cell>
        </row>
        <row r="1109">
          <cell r="A1109">
            <v>1830009244</v>
          </cell>
          <cell r="B1109" t="str">
            <v xml:space="preserve">BC50U5V0 </v>
          </cell>
          <cell r="J1109" t="str">
            <v>BLACK</v>
          </cell>
        </row>
        <row r="1110">
          <cell r="A1110">
            <v>2100122932</v>
          </cell>
          <cell r="B1110" t="str">
            <v>G721SD74</v>
          </cell>
          <cell r="J1110" t="str">
            <v>Набор посуды Tefal Opti'Space 13 предметов</v>
          </cell>
        </row>
        <row r="1111">
          <cell r="A1111">
            <v>2100115982</v>
          </cell>
          <cell r="B1111" t="str">
            <v>G720SD74</v>
          </cell>
          <cell r="J1111" t="str">
            <v>Набор 13 пр.  OPTI'SPACE SS: кастрюли 18/20/24+3 стекл.крышки+18/20  пластиковые крышки+ 5 аксессуаров)</v>
          </cell>
        </row>
        <row r="1112">
          <cell r="A1112">
            <v>2100114427</v>
          </cell>
          <cell r="B1112" t="str">
            <v>G720S604</v>
          </cell>
          <cell r="J1112" t="str">
            <v>Набор посуды TEFAL Opti'Space 6 предметов</v>
          </cell>
        </row>
        <row r="1113">
          <cell r="A1113">
            <v>2100115981</v>
          </cell>
          <cell r="B1113" t="str">
            <v>G720S674</v>
          </cell>
          <cell r="J1113" t="str">
            <v xml:space="preserve">Набор  6 пр , кастрюли 18/20/24+ стекл крышки OPTI'SPACE </v>
          </cell>
        </row>
        <row r="1114">
          <cell r="A1114">
            <v>2100115980</v>
          </cell>
          <cell r="B1114" t="str">
            <v>G720S474</v>
          </cell>
          <cell r="J1114" t="str">
            <v xml:space="preserve">Набор  4 пр , кастрюли 18/20+ стекл крышки OPTI'SPACE </v>
          </cell>
        </row>
        <row r="1115">
          <cell r="A1115">
            <v>2100130060</v>
          </cell>
          <cell r="B1115" t="str">
            <v>G7371795</v>
          </cell>
          <cell r="J1115" t="str">
            <v>Мультикастрюля с крышкой 16 см</v>
          </cell>
        </row>
        <row r="1116">
          <cell r="A1116">
            <v>8000035848</v>
          </cell>
          <cell r="B1116" t="str">
            <v>OX444832</v>
          </cell>
          <cell r="J1116" t="str">
            <v>МИНИ ПЕЧЬ: ОБЪЕМ 19Л, МОЩНОСТЬ 1380 ВТ, МАКСИМАЛЬНАЯ ТЕМПЕРАТУРА 240С, ТАЙМЕР: 120 МИН С АВТОВЫКЛЮЧЕНИЕМ, ИНДИКАТОР ГОТОВНОСТИ К РАБОТЕ  6 РЕЖИМОВ: ТРАДИЦИОННАЯ ДУХОВКА, КОНВЕКЦИЯ, ГРИЛЬ , НИЖНИЙ НАГРЕВ, ВЫПЕЧКА, РАЗМОРОЗКА, АКСЕССУАРЫ: ПРОТИВЕНЬ,  РЕШЕТКА. МАТЕРИАЛ - МЕТАЛЛ, ЦВЕТ ЧЕРНЫЙ.</v>
          </cell>
        </row>
        <row r="1117">
          <cell r="A1117">
            <v>1510001751</v>
          </cell>
          <cell r="B1117" t="str">
            <v>OF463830</v>
          </cell>
          <cell r="J1117" t="str">
            <v>КОНВЕКЦИОННАЯ МИНИ-ПЕЧЬ С КОНФОРКАМИ. ОБЪЕМ 32Л, МОЩНОСТЬ 1600 ВТ, КОНФОРКИ: БОЛЬШАЯ 180 ММ / 1000 ВТ, МАЛЕНЬКАЯ 155 ММ / 600 ВТ, МАКСИМАЛЬНАЯ ТЕМПЕРАТУРА 230С, ВНУТРЕННЯЯ ПОДСВЕТКА, ТАЙМЕР НА 60 МИН С АВТОВЫКЛЮЧЕНИЕМ, ИНДИКАТОР ГОТОВНОСТИ К РАБОТЕ, ДВЕРЦА: ДВОЙНОЕ СТЕКЛО, АКСЕССУАРЫ: ПРОТИВЕНЬ,  РЕШЕТКА, ВЕРТЕЛ. МАТЕРИАЛ - МЕТАЛЛ, ЦВЕТ ЧЕРНЫЙ.</v>
          </cell>
        </row>
        <row r="1118">
          <cell r="A1118">
            <v>8000035923</v>
          </cell>
          <cell r="B1118" t="str">
            <v>OX464E32</v>
          </cell>
          <cell r="J1118" t="str">
            <v>МИНИ ПЕЧЬ: ОБЪЕМ 33Л, МОЩНОСТЬ 1600 ВТ, МАКСИМАЛЬНАЯ ТЕМПЕРАТУРА 240С, ВНУТРЕННЯЯ ПОДСВЕТКА, ТАЙМЕР: 120 МИН С АВТОВЫКЛЮЧЕНИЕМ, ИНДИКАТОР ГОТОВНОСТИ К РАБОТЕ  7 РЕЖИМОВ: ТРАДИЦИОННАЯ ДУХОВКА, КОНВЕКЦИЯ, ГРИЛЬ , НИЖНИЙ НАГРЕВ, ВЫПЕЧКА, РАЗМОРОЗКА, ВЕРТЕЛ, АКСЕССУАРЫ: ПРОТИВЕНЬ,  РЕШЕТКА, ВЕРТЕЛ. МАТЕРИАЛ - МЕТАЛЛ, ЦВЕТ ЧЕРНЫЙ.</v>
          </cell>
        </row>
        <row r="1119">
          <cell r="A1119">
            <v>8000035667</v>
          </cell>
          <cell r="B1119" t="str">
            <v>OX464810</v>
          </cell>
          <cell r="J1119" t="str">
            <v>МИНИ ПЕЧЬ: ОБЪЕМ 33Л, МОЩНОСТЬ 1600 ВТ, МАКСИМАЛЬНАЯ ТЕМПЕРАТУРА 240С, ТАЙМЕР: 120 МИН С АВТОВЫКЛЮЧЕНИЕМ, ИНДИКАТОР ГОТОВНОСТИ К РАБОТЕ  6 РЕЖИМОВ: ТРАДИЦИОННАЯ ДУХОВКА, КОНВЕКЦИЯ, ГРИЛЬ , НИЖНИЙ НАГРЕВ, ВЫПЕЧКА, РАЗМОРОЗКА, АКСЕССУАРЫ: ПРОТИВЕНЬ,  РЕШЕТКА. МАТЕРИАЛ - МЕТАЛЛ, ЦВЕТ ЧЕРНЫЙ.</v>
          </cell>
        </row>
        <row r="1120">
          <cell r="A1120">
            <v>3100515006</v>
          </cell>
          <cell r="B1120">
            <v>515006</v>
          </cell>
          <cell r="J1120" t="str">
            <v>Контейнер OPTIMA для сыпучих продуктов прямоугольный 2,8 л</v>
          </cell>
        </row>
        <row r="1121">
          <cell r="A1121">
            <v>3100514552</v>
          </cell>
          <cell r="B1121">
            <v>514552</v>
          </cell>
          <cell r="J1121" t="str">
            <v>Контейнер OPTIMA для сыпучих продуктов прямоугольный 2,2 л</v>
          </cell>
        </row>
        <row r="1122">
          <cell r="A1122">
            <v>3100514551</v>
          </cell>
          <cell r="B1122">
            <v>514551</v>
          </cell>
          <cell r="J1122" t="str">
            <v>Контейнер OPTIMA для сыпучих продуктов прямоугольный 1,6 л</v>
          </cell>
        </row>
        <row r="1123">
          <cell r="A1123">
            <v>3100514550</v>
          </cell>
          <cell r="B1123">
            <v>514550</v>
          </cell>
          <cell r="J1123" t="str">
            <v>Контейнер OPTIMA для сыпучих продуктов прямоугольный 1 л</v>
          </cell>
        </row>
        <row r="1124">
          <cell r="A1124">
            <v>3100513558</v>
          </cell>
          <cell r="B1124">
            <v>513558</v>
          </cell>
          <cell r="J1124" t="str">
            <v>Контейнер OPTIMA прямоугольный 1,6 л</v>
          </cell>
        </row>
        <row r="1125">
          <cell r="A1125">
            <v>3100513557</v>
          </cell>
          <cell r="B1125">
            <v>513557</v>
          </cell>
          <cell r="J1125" t="str">
            <v>Контейнер OPTIMA прямоугольный 1 л</v>
          </cell>
        </row>
        <row r="1126">
          <cell r="A1126">
            <v>3100513556</v>
          </cell>
          <cell r="B1126">
            <v>513556</v>
          </cell>
          <cell r="J1126" t="str">
            <v>Контейнер OPTIMA прямоугольный 0,45 л</v>
          </cell>
        </row>
        <row r="1127">
          <cell r="A1127">
            <v>3100513555</v>
          </cell>
          <cell r="B1127">
            <v>513555</v>
          </cell>
          <cell r="J1127" t="str">
            <v>Контейнер OPTIMA прямоугольный 0,38 л</v>
          </cell>
        </row>
        <row r="1128">
          <cell r="A1128">
            <v>1830009140</v>
          </cell>
          <cell r="B1128" t="str">
            <v>SF3320F0</v>
          </cell>
          <cell r="J1128" t="str">
            <v xml:space="preserve">Элегантный выпрямитель для волос с LED дисплеем и эргономичной рукояткой,. Керамическое турмалиновое покрытие , 10 настроек
температуры </v>
          </cell>
        </row>
        <row r="1129">
          <cell r="A1129">
            <v>1830008061</v>
          </cell>
          <cell r="B1129" t="str">
            <v>SF3232F0</v>
          </cell>
          <cell r="J1129" t="str">
            <v>Выпрямитель для волос Optiliss: ионизация, новое поколение пластин с кератинно-кератиновым комплексом покрытия, температура 210°С, плавающие пластины, термостат на 10 позиций, ширина пластин 2,5 см, for Elite</v>
          </cell>
        </row>
        <row r="1130">
          <cell r="A1130">
            <v>1830007878</v>
          </cell>
          <cell r="B1130" t="str">
            <v>SF3212F0</v>
          </cell>
          <cell r="J1130" t="str">
            <v>Выпрямитель для волос Optiliss: новое поколение пластин с кератинно-кератиновым комплексом покрытия, температура 210°С, плавающие пластины, термостат на 10 позиций, ширина пластин 2,5 см, for Elite</v>
          </cell>
        </row>
        <row r="1131">
          <cell r="A1131">
            <v>1830008493</v>
          </cell>
          <cell r="B1131" t="str">
            <v>SF323LF0</v>
          </cell>
          <cell r="J1131" t="str">
            <v>Выпрямитель для волос, покрытие Keratin &amp; Tourmaline для идеального блеска волос, 10 температурных режимов до 230 °C, удобный контроль температуры, выпрямление и завивка, тонкие плавающие пластины, ионизация</v>
          </cell>
        </row>
        <row r="1132">
          <cell r="A1132">
            <v>1830007885</v>
          </cell>
          <cell r="B1132" t="str">
            <v>SF3210F0</v>
          </cell>
          <cell r="J1132" t="str">
            <v>Выпрямитель для волос Optiliss: новое поколение пластин с кератинно-кератиновым комплексом покрытия, температура 210°С, плавающие пластины, термостат на 10 позиций, ширина пластин 2,5 см, for Elite</v>
          </cell>
        </row>
        <row r="1133">
          <cell r="A1133">
            <v>1830008492</v>
          </cell>
          <cell r="B1133" t="str">
            <v>SF321LF0</v>
          </cell>
          <cell r="J1133" t="str">
            <v>Выпрямитель для волос, покрытие Keratin &amp; Tourmaline для идеального блеска волос, 10 температурных режимов до 230 °C, удобный контроль температуры, выпрямление и завивка, тонкие плавающие пластины</v>
          </cell>
        </row>
        <row r="1134">
          <cell r="A1134">
            <v>1830004993</v>
          </cell>
          <cell r="B1134" t="str">
            <v>SF3132D0</v>
          </cell>
          <cell r="J1134" t="str">
            <v>Выпрямитель для волос Optiliss: новое поколение пластин с кератинно-турмалиновым комплексом покрытия, ионизация, температура 230°С, плавающие пластины, термостат на 11 позиций, ширина пластин 2,5 см, Rowenta for Elite</v>
          </cell>
        </row>
        <row r="1135">
          <cell r="A1135">
            <v>7211002932</v>
          </cell>
          <cell r="B1135" t="str">
            <v>GC724D12</v>
          </cell>
          <cell r="J1135" t="str">
            <v>НАБОР OPTIGRILL XL И НАСАДКА ДЛЯ ЗАПЕКАНИЯ. ГРИЛЬ. 2000 ВТ, 800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УНИКАЛЬНАЯ ЗАПАТЕНТОВАННАЯ ТЕХНОЛОГИЯ: АВТОМАТИЧЕСКИЙ СЕНСОР РЕГУЛИРУЕТ ТЕМПЕРАТУРУ В ЗАВИСИМОСТИ ОТ ВЕЛИЧИНЫ И ТОЛЩИНЫ  КУСКА МЯСА, ИНДИКАТОР СТЕПЕНИ ПРОЖАРКИ ДЛЯ ВИЗУАЛИЗАЦИИ ПРОЦЕССА ПРИГОТОВЛЕНИЯ. 9 АВТОМАТИЧЕСКИХ ПРОГРАММ С АДАПТИРОВАННОЙ ТЕМПЕРАТУРОЙ И ЦИКЛАМИ ЖАРКИ ДЛЯ БУРГЕРОВ, ПТИЦЫ, СЕНДВИЧЕЙ, БЕКОНА (ПАНИНИ), СОСИСОК, МЯСА, РЫБЫ, МОРЕПРОДУКТОВ, БЕКОНА; 4 ВАРИАНТА ВЫСТАВЛЕНИЯ ТЕМПЕРАТУРЫ НА РУЧНОМ РЕЖИМЕ; РЕЖИМ РАЗМОРОЗКИ.
SNACKING&amp;BAKING ACCESSORY: ПРОТИВЕНЬ ИЗ ЛИТОГО АЛЮМИНЯ С АНТИПРИГАРНОЙ ПОВЕРХНОСТЬЮ, ОБЪЕМ 1,6 Л (2-4 ЧЕЛОВЕКА), ТЕРМОИЗОЛИРОВАННЫЕ РУЧКИ, МОЖНО МЫТЬ В ПОСУДОМОЕЧНОЙ МАШИНЕ. ЕЖЕДНЕВНОЕ ИСПОЛЬЗОВАНИЕ – МИНИ ПЕЧЬ ДЛЯ ЛЮБЫХ БЛЮД.</v>
          </cell>
        </row>
        <row r="1136">
          <cell r="A1136">
            <v>7211002459</v>
          </cell>
          <cell r="B1136" t="str">
            <v>GC722D34</v>
          </cell>
          <cell r="J1136" t="str">
            <v>ГРИЛЬ. 2000 ВТ, 800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УНИКАЛЬНАЯ ЗАПАТЕНТОВАННАЯ ТЕХНОЛОГИЯ: АВТОМАТИЧЕСКИЙ СЕНСОР РЕГУЛИРУЕТ ТЕМПЕРАТУРУ В ЗАВИСИМОСТИ ОТ ВЕЛИЧИНЫ И ТОЛЩИНЫ  КУСКА МЯСА, ИНДИКАТОР СТЕПЕНИ ПРОЖАРКИ ДЛЯ ВИЗУАЛИЗАЦИИ ПРОЦЕССА ПРИГОТОВЛЕНИЯ. 9 АВТОМАТИЧЕСКИХ ПРОГРАММ С АДАПТИРОВАННОЙ ТЕМПЕРАТУРОЙ И ЦИКЛАМИ ЖАРКИ ДЛЯ БУРГЕРОВ, ПТИЦЫ, СЕНДВИЧЕЙ, БЕКОНА (ПАНИНИ), СОСИСОК, МЯСА, РЫБЫ, МОРЕПРОДУКТОВ, БЕКОНА; 4 ВАРИАНТА ВЫСТАВЛЕНИЯ ТЕМПЕРАТУРЫ НА РУЧНОМ РЕЖИМЕ; РЕЖИМ РАЗМОРОЗКИ.</v>
          </cell>
        </row>
        <row r="1137">
          <cell r="A1137">
            <v>2100130362</v>
          </cell>
          <cell r="B1137" t="str">
            <v>K1851034</v>
          </cell>
          <cell r="J1137" t="str">
            <v>Щетка для чистки</v>
          </cell>
        </row>
        <row r="1138">
          <cell r="A1138">
            <v>2100130361</v>
          </cell>
          <cell r="B1138" t="str">
            <v>K1851134</v>
          </cell>
          <cell r="J1138" t="str">
            <v>Пресс для бургера</v>
          </cell>
        </row>
        <row r="1139">
          <cell r="A1139">
            <v>2100130357</v>
          </cell>
          <cell r="B1139" t="str">
            <v>K185S734</v>
          </cell>
          <cell r="J1139" t="str">
            <v>Набор шампуров для люля-кебаба в чехле 6шт</v>
          </cell>
        </row>
        <row r="1140">
          <cell r="A1140">
            <v>2100130368</v>
          </cell>
          <cell r="B1140" t="str">
            <v>K1182034</v>
          </cell>
          <cell r="J1140" t="str">
            <v>Щипцы для гриля 25см</v>
          </cell>
        </row>
        <row r="1141">
          <cell r="A1141">
            <v>7211004078</v>
          </cell>
          <cell r="B1141" t="str">
            <v>GC760D30</v>
          </cell>
          <cell r="J1141" t="str">
            <v>OPTIGRILL ELITE XL, СЪЁМНЫЕ ПАНЕЛИ C АНТИПРИГАРНЫМ ПОКРЫТИЕМ. ПЛОЩАДЬ РАБОЧЕЙ ПОВЕРХНОСТИ 800 СМ2. 16 АВТОМАТИЧЕСКИХ ПРОГРАММ ДЛЯ ПРИГОТОВЛЕНИЯ РАЗЛИЧНЫХ БЛЮД, АВТООПРЕДЕЛЕНИЕ ВЕСА И ТОЛЩИНЫ СТЕЙКА. СЕНСОРНОЕ УПРАВЛЕНИЕ. ОБНОВЛЕННЫЙ ИНДИКАТОР СТЕПЕНИ ПРОЖАРКИ.</v>
          </cell>
        </row>
        <row r="1142">
          <cell r="A1142">
            <v>7211003740</v>
          </cell>
          <cell r="B1142" t="str">
            <v>GC750D30</v>
          </cell>
          <cell r="J1142" t="str">
            <v>OPTIGRILL ELITEГРИЛЬ. 2000 ВТ, 600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ЗАПАТЕНТОВАННАЯ ТЕХНОЛОГИЯ: АВТОМАТИЧЕСКИЙ СЕНСОР РЕГУЛИРУЕТ ТЕМПЕРАТУРУ В ЗАВИСИМОСТИ ОТ ВЕЛИЧИНЫ И ТОЛЩИНЫ  КУСКА МЯСА, ЭКРАН ОТОБРАЖАЕТ ПРОЦЕСС ПРИГОТОВЛЕНИЯ. 12 АВТОМАТИЧЕСКИХ ПРОГРАММ С АДАПТИРОВАННОЙ ТЕМПЕРАТУРОЙ И ЦИКЛАМИ ЖАРКИ; РУЧНОЙ РЕЖИМ С ПОЛЬЗОВАТЕЛЬСКИМИ НАСТРОЙКАМИ ВРЕМЕНИ И ТЕМПЕРАТУРЫ; РЕЖИМ ЗАЖАРИСТОЙ КОРОЧКИ; РЕЖИМ РАЗМОРОЗКИ. СОВМЕСТИМ С НАСАДКОЙ-ПРОТИВНЕМ.</v>
          </cell>
        </row>
        <row r="1143">
          <cell r="A1143">
            <v>7211004967</v>
          </cell>
          <cell r="B1143" t="str">
            <v>GC774D30</v>
          </cell>
          <cell r="J1143" t="str">
            <v>Умный электрогриль Tefal Optigrill 4in1.9 автоматических программ, режим барбекю, насадка для запекания в комплекте.</v>
          </cell>
        </row>
        <row r="1144">
          <cell r="A1144">
            <v>7211004968</v>
          </cell>
          <cell r="B1144" t="str">
            <v>GC772D30</v>
          </cell>
          <cell r="J1144" t="str">
            <v>Умный электрогриль Tefal Optigrill 2in1.9 автоматических программ, режим барбекю.</v>
          </cell>
        </row>
        <row r="1145">
          <cell r="A1145">
            <v>7211005126</v>
          </cell>
          <cell r="B1145" t="str">
            <v>GC782D30</v>
          </cell>
          <cell r="J1145" t="str">
            <v>Optigrill 2in1 XL</v>
          </cell>
        </row>
        <row r="1146">
          <cell r="A1146">
            <v>7211003273</v>
          </cell>
          <cell r="B1146" t="str">
            <v>GC716D12</v>
          </cell>
          <cell r="J1146" t="str">
            <v>Гриль электрический, 2000 Вт, 6 автоматических программ, автоматическое изменение толщины стейка, индикатор степени прожарки, 4 уровня температуры в ручном режиме, пластины для вафель в комплекте, съемный поддон для жира, корпус из нержавеющей стали</v>
          </cell>
        </row>
        <row r="1147">
          <cell r="A1147">
            <v>7211002749</v>
          </cell>
          <cell r="B1147" t="str">
            <v>GC714834</v>
          </cell>
          <cell r="J1147" t="str">
            <v>GC714834 GRILL OPTIGRILL BLK SNACKING-B</v>
          </cell>
        </row>
        <row r="1148">
          <cell r="A1148">
            <v>7211002441</v>
          </cell>
          <cell r="B1148" t="str">
            <v>GC712D34</v>
          </cell>
          <cell r="J1148" t="str">
            <v>ГРИЛЬ. 2000 ВТ, 600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УНИКАЛЬНАЯ ЗАПАТЕНТОВАННАЯ ТЕХНОЛОГИЯ: АВТОМАТИЧЕСКИЙ СЕНСОР РЕГУЛИРУЕТ ТЕМПЕРАТУРУ В ЗАВИСИМОСТИ ОТ ВЕЛИЧИНЫ И ТОЛЩИНЫ  КУСКА МЯСА, ИНДИКАТОР СТЕПЕНИ ПРОЖАРКИ ДЛЯ ВИЗУАЛИЗАЦИИ ПРОЦЕССА ПРИГОТОВЛЕНИЯ. 6 АВТОМАТИЧЕСКИХ ПРОГРАММ С АДАПТИРОВАННОЙ ТЕМПЕРАТУРОЙ И ЦИКЛАМИ ЖАРКИ ДЛЯ БУРГЕРОВ, ПТИЦЫ, СЕНДВИЧЕЙ, СОСИСОК, МЯСА, РЫБЫ; 4 ВАРИАНТА ВЫСТАВЛЕНИЯ ТЕМПЕРАТУРЫ НА РУЧНОМ РЕЖИМЕ; РЕЖИМ РАЗМОРОЗКИ.</v>
          </cell>
        </row>
        <row r="1149">
          <cell r="A1149">
            <v>7211005185</v>
          </cell>
          <cell r="B1149" t="str">
            <v>GC717810</v>
          </cell>
          <cell r="J1149" t="str">
            <v>ГРИЛЬ. 2000 ВТ, 600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УНИКАЛЬНАЯ ЗАПАТЕНТОВАННАЯ ТЕХНОЛОГИЯ: АВТОМАТИЧЕСКИЙ СЕНСОР РЕГУЛИРУЕТ ТЕМПЕРАТУРУ В ЗАВИСИМОСТИ ОТ ВЕЛИЧИНЫ И ТОЛЩИНЫ  КУСКА МЯСА, ИНДИКАТОР СТЕПЕНИ ПРОЖАРКИ ДЛЯ ВИЗУАЛИЗАЦИИ ПРОЦЕССА ПРИГОТОВЛЕНИЯ. 6 АВТОМАТИЧЕСКИХ ПРОГРАММ С АДАПТИРОВАННОЙ ТЕМПЕРАТУРОЙ И ЦИКЛАМИ ЖАРКИ ДЛЯ БУРГЕРОВ, ПТИЦЫ, СЕНДВИЧЕЙ, СОСИСОК, МЯСА, РЫБЫ; 4 ВАРИАНТА ВЫСТАВЛЕНИЯ ТЕМПЕРАТУРЫ НА РУЧНОМ РЕЖИМЕ; РЕЖИМ РАЗМОРОЗКИ. ЧЕРНЫЙ ЦВЕТ</v>
          </cell>
        </row>
        <row r="1150">
          <cell r="A1150">
            <v>7211002834</v>
          </cell>
          <cell r="B1150" t="str">
            <v>GC712834</v>
          </cell>
          <cell r="J1150" t="str">
            <v>ГРИЛЬ. 2000 ВТ, 600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УНИКАЛЬНАЯ ЗАПАТЕНТОВАННАЯ ТЕХНОЛОГИЯ: АВТОМАТИЧЕСКИЙ СЕНСОР РЕГУЛИРУЕТ ТЕМПЕРАТУРУ В ЗАВИСИМОСТИ ОТ ВЕЛИЧИНЫ И ТОЛЩИНЫ  КУСКА МЯСА, ИНДИКАТОР СТЕПЕНИ ПРОЖАРКИ ДЛЯ ВИЗУАЛИЗАЦИИ ПРОЦЕССА ПРИГОТОВЛЕНИЯ. 6 АВТОМАТИЧЕСКИХ ПРОГРАММ С АДАПТИРОВАННОЙ ТЕМПЕРАТУРОЙ И ЦИКЛАМИ ЖАРКИ ДЛЯ БУРГЕРОВ, ПТИЦЫ, СЕНДВИЧЕЙ, СОСИСОК, МЯСА, РЫБЫ; 4 ВАРИАНТА ВЫСТАВЛЕНИЯ ТЕМПЕРАТУРЫ НА РУЧНОМ РЕЖИМЕ; РЕЖИМ РАЗМОРОЗКИ. ЧЕРНЫЙ ЦВЕТ</v>
          </cell>
        </row>
        <row r="1151">
          <cell r="A1151">
            <v>7211002945</v>
          </cell>
          <cell r="B1151" t="str">
            <v>GC706D34</v>
          </cell>
          <cell r="J1151" t="str">
            <v xml:space="preserve">ГРИЛЬ. 2000 ВТ, 600 СМ² РАБОЧЕЙ ПОВЕРХНОСТИ, АНТИПРИГАРНОЕ ПОКРЫТИЕ TEFAL, УГОЛ НАКЛОНА ПАНЕЛИ - 7° (ДЛЯ СТЕКАНИЯ ЖИРА И ЛЕГКОЙ ОЧИСТКИ), ПАНЕЛИ И ЛОТОК ДЛЯ ЖИРА МОЖНО МЫТЬ В ПОСУДОМОЕЧНОЙ МАШИНЕ, ПЕРВЫЙ В МИРЕ ГРИЛЬ, КОТОРЫЙ ИЗМЕРЯЕТ ТОЛЩИНУ КУСКА МЯСА И ОПРЕДЕЛЯЕТ АВТОМАТИЧЕСКИ ЖЕЛАЕМЫЙ УРОВЕНЬ ПРОЖАРКИ (5 УРОВНЕЙ). УНИКАЛЬНАЯ ЗАПАТЕНТОВАННАЯ ТЕХНОЛОГИЯ: АВТОМАТИЧЕСКИЙ СЕНСОР РЕГУЛИРУЕТ ТЕМПЕРАТУРУ В ЗАВИСИМОСТИ ОТ ВЕЛИЧИНЫ И ТОЛЩИНЫ  КУСКА МЯСА. 6 АВТОМАТИЧЕСКИХ ПРОГРАММ С АДАПТИРОВАННОЙ ТЕМПЕРАТУРОЙ И ЦИКЛАМИ ЖАРКИ ДЛЯ БУРГЕРОВ, ПТИЦЫ, СЕНДВИЧЕЙ, СОСИСОК, МЯСА, РЫБЫ; 4 ВАРИАНТА ВЫСТАВЛЕНИЯ </v>
          </cell>
        </row>
        <row r="1152">
          <cell r="A1152">
            <v>7211005082</v>
          </cell>
          <cell r="B1152" t="str">
            <v>GC7P0810</v>
          </cell>
          <cell r="J1152" t="str">
            <v>Гриль серии OPTIGRILL, с 3 программами, цвет черный</v>
          </cell>
        </row>
        <row r="1153">
          <cell r="A1153">
            <v>7211002804</v>
          </cell>
          <cell r="B1153" t="str">
            <v>DD642132</v>
          </cell>
          <cell r="J1153" t="str">
            <v>ПОГРУЖНОЙ БЛЕНДЕР MOULINEX OPTICHEF, МОЩНОСТЬ 800 ВТ, 10 СКОРОСТЕЙ + ТУРБО-РЕЖИМ,  МЕТАЛЛИЧЕСКАЯ НОГА, ВЕНЧИК, ИЗМЕЛЬЧИТЕЛЬ 500МЛ, ПОДСВЕТКА СКОРОСТЕЙ, ЭРГОНОМИЧНАЯ РУЧКА С ПОКРЫТИЕМ SOFT TOUCH, МЕРНЫЙ СТАКАН 800МЛ, ЦВЕТ БЕЛЫЙ.</v>
          </cell>
        </row>
        <row r="1154">
          <cell r="A1154">
            <v>7211004046</v>
          </cell>
          <cell r="B1154" t="str">
            <v>DD64H110</v>
          </cell>
          <cell r="J1154" t="str">
            <v>ПОГРУЖНОЙ БЛЕНДЕР MOULINEX OPTICHEF, МОЩНОСТЬ 800 ВТ, 20 СКОРОСТЕЙ + ТУРБО-РЕЖИМ,  МЕТАЛЛИЧЕСКАЯ НОГА, ВЕНЧИК, ИЗМЕЛЬЧИТЕЛЬ 500МЛ, НАСАДКА ДЛЯ ПРИГОТОВЛЕНИЯ ДЕТСКОГО ПИТАНИЯ, ПОДСВЕТКА СКОРОСТЕЙ, ЭРГОНОМИЧНАЯ РУЧКА С ПОКРЫТИЕМ SOFT TOUCH, МЕРНЫЙ СТАКАН 800МЛ, ЦВЕТ БЕЛЫЙ.</v>
          </cell>
        </row>
        <row r="1155">
          <cell r="A1155">
            <v>7211002805</v>
          </cell>
          <cell r="B1155" t="str">
            <v>DD643132</v>
          </cell>
          <cell r="J1155" t="str">
            <v>ПОГРУЖНОЙ БЛЕНДЕР MOULINEX OPTICHEF, МОЩНОСТЬ 800 ВТ, 20 СКОРОСТЕЙ + ТУРБО-РЕЖИМ,  МЕТАЛЛИЧЕСКАЯ НОГА, ВЕНЧИК, ИЗМЕЛЬЧИТЕЛЬ 500МЛ, ПОДСВЕТКА СКОРОСТЕЙ, ЭРГОНОМИЧНАЯ РУЧКА С ПОКРЫТИЕМ SOFT TOUCH, МЕРНЫЙ СТАКАН 800МЛ, ЦВЕТ БЕЛЫЙ.</v>
          </cell>
        </row>
        <row r="1156">
          <cell r="A1156">
            <v>7211004607</v>
          </cell>
          <cell r="B1156" t="str">
            <v>HB64F810</v>
          </cell>
          <cell r="J1156" t="str">
            <v>HBL OPTICHEF  3IN1 PREPLINE</v>
          </cell>
        </row>
        <row r="1157">
          <cell r="A1157">
            <v>7211002886</v>
          </cell>
          <cell r="B1157" t="str">
            <v>DD64K832</v>
          </cell>
          <cell r="J1157" t="str">
            <v>OPTICHEF 3IN1 10SP DD64K</v>
          </cell>
        </row>
        <row r="1158">
          <cell r="A1158">
            <v>7211002803</v>
          </cell>
          <cell r="B1158" t="str">
            <v>DD641132</v>
          </cell>
          <cell r="J1158" t="str">
            <v>ПОГРУЖНОЙ БЛЕНДЕР MOULINEX OPTICHEF, МОЩНОСТЬ 800 ВТ, 10 СКОРОСТЕЙ + ТУРБО-РЕЖИМ,  МЕТАЛЛИЧЕСКАЯ НОГА, ИЗМЕЛЬЧИТЕЛЬ 500МЛ, ПОДСВЕТКА СКОРОСТЕЙ, ЭРГОНОМИЧНАЯ РУЧКА С ПОКРЫТИЕМ SOFT TOUCH, МЕРНЫЙ СТАКАН 800МЛ, ЦВЕТ БЕЛЫЙ.</v>
          </cell>
        </row>
        <row r="1159">
          <cell r="A1159">
            <v>7211419403</v>
          </cell>
          <cell r="B1159" t="str">
            <v>DD64R810</v>
          </cell>
          <cell r="J1159" t="str">
            <v>Погружной блендер Optichef</v>
          </cell>
        </row>
        <row r="1160">
          <cell r="A1160">
            <v>8010001102</v>
          </cell>
          <cell r="B1160" t="str">
            <v>XP320830</v>
          </cell>
          <cell r="J1160" t="str">
            <v>Полностью автоматическая кофемашина Intuition Preference от KRUPS. 4 встроенных рецептов различных напитков (эспрессо, ристретто, лунго, горячая вода). Интуитивно понятный дисплей с сенсорными кнопками. Возможность приготовления двух чашек кофе одновременно. Возможность установки 5 степеней помола кофе, 3 режима крепости кофе. Технология KRUPS Quattro Force. Металлическая кофемолка с новым типом жерновов. Запатентованный Компактный Термоблок. Интуитивная световая индикация для легкого обслуживания и настройки до 2 любимых рецептов. Объем  контейнера для кофе 260 гр. Объем резервуара для воды – 3 литра, давление 15 бар, мощность 1450 Вт. Съемный поддон для капель. Материал корпуса – пластик черного цвета. В комплекте : фильтр для воды, таблетки для очистки заварочного блока.</v>
          </cell>
        </row>
        <row r="1161">
          <cell r="A1161">
            <v>2100136922</v>
          </cell>
          <cell r="B1161" t="str">
            <v>G1808604</v>
          </cell>
          <cell r="J1161" t="str">
            <v>Мультисковорода 22 см с крышкой желтая</v>
          </cell>
        </row>
        <row r="1162">
          <cell r="A1162">
            <v>2100136981</v>
          </cell>
          <cell r="B1162" t="str">
            <v>G1672504</v>
          </cell>
          <cell r="J1162" t="str">
            <v>Мультисковорода 22 см с крышкой бежевая</v>
          </cell>
        </row>
        <row r="1163">
          <cell r="A1163">
            <v>2100136977</v>
          </cell>
          <cell r="B1163" t="str">
            <v>G1662504</v>
          </cell>
          <cell r="J1163" t="str">
            <v>Мультисковорода 22 см с крышкой черная</v>
          </cell>
        </row>
        <row r="1164">
          <cell r="A1164">
            <v>2100136978</v>
          </cell>
          <cell r="B1164" t="str">
            <v>G1668704</v>
          </cell>
          <cell r="J1164" t="str">
            <v>Мультисковорода 24 см с крышкой черная</v>
          </cell>
        </row>
        <row r="1165">
          <cell r="A1165">
            <v>2100136980</v>
          </cell>
          <cell r="B1165" t="str">
            <v>G1748704</v>
          </cell>
          <cell r="J1165" t="str">
            <v>Мультисковорода 24 см с крышкой оливковая</v>
          </cell>
        </row>
        <row r="1166">
          <cell r="A1166">
            <v>2100136982</v>
          </cell>
          <cell r="B1166" t="str">
            <v>G1678704</v>
          </cell>
          <cell r="J1166" t="str">
            <v>Мультисковорода 24 см с крышкой бежевая</v>
          </cell>
        </row>
        <row r="1167">
          <cell r="A1167">
            <v>8010000864</v>
          </cell>
          <cell r="B1167" t="str">
            <v>ME112832</v>
          </cell>
          <cell r="J1167" t="str">
            <v>МАКСИМАЛЬНАЯ МОЩНОСТЬ 1600 ВТ, ПРОИЗВОДИТЕЛЬНОСТЬ 1,9 КГ/МИН, ПРИСОСКИ ВНИЗУ МЯСОРУБКИ ДЛЯ УДОБСТВА ПОЛЬЗОВАНИЯ, НАСАДКА ДЛЯ СОСИСОК, СИСТЕМА РЕВЕРСА, 2 МЕТАЛЛИЧЕСКИЕ НАСАДКИ</v>
          </cell>
        </row>
        <row r="1168">
          <cell r="A1168">
            <v>8010000982</v>
          </cell>
          <cell r="B1168" t="str">
            <v>ME111032</v>
          </cell>
          <cell r="J1168" t="str">
            <v>МЯСОРУБКА MOULINEX , МАКСИМАЛЬНАЯ МОЩНОСТЬ 1400 ВТ, ПРОИЗВОДИТЕЛЬНОСТЬ 1,7 КГ/МИН, 2 РЕШЕТКИ ДЛЯ ПОМОЛА, ФУНКЦИЯ РЕВЕРСА, РУЧКА ПЕРЕНОСТИ.</v>
          </cell>
        </row>
        <row r="1169">
          <cell r="A1169">
            <v>8000035556</v>
          </cell>
          <cell r="B1169" t="str">
            <v>KP110810</v>
          </cell>
          <cell r="J1169" t="str">
            <v>Капсульная кофемашина OBLO Red, мощность 1200 Вт, давление 15 бар, ручная дозировка, переключение подачи воды - горячая/холодная, энергосбережение - автоотключение через 5 мин., регулируемая по высоте подставка для чашек, цвет - черный</v>
          </cell>
        </row>
        <row r="1170">
          <cell r="A1170">
            <v>1510001750</v>
          </cell>
          <cell r="B1170" t="str">
            <v>OF310830</v>
          </cell>
          <cell r="J1170" t="str">
            <v>ТОСТЕР-ПЕЧЬ: ОБЪЕМ 9Л, МОЩНОСТЬ 800 ВТ, КВАРЦЕВАЯ ТЕХНОЛОГИЯ НАГРЕВА, МАКСИМАЛЬНАЯ ТЕМПЕРАТУРА 230С, ДВОЙНЫЕ ДВЕРЦЫ, ТАЙМЕР, ИНДИКАТОР ГОТОВНОСТИ К РАБОТЕ. АКСЕССУАРЫ: ПРОТИВЕНЬ,  РЕШЕТКА. МАТЕРИАЛ - МЕТАЛЛ, ЦВЕТ ЧЕРНЫЙ.</v>
          </cell>
        </row>
        <row r="1171">
          <cell r="A1171">
            <v>7211001308</v>
          </cell>
          <cell r="B1171" t="str">
            <v>BY282130</v>
          </cell>
          <cell r="J1171" t="str">
            <v xml:space="preserve">Чайник NOVEO. Технические характеристики: 1,7литра, мощность 2400 Вт, скрытый нагревательный элемент, постановку на подставку в любом положении, кнопка включения - выключения, 2 индикатора уровня воды, световая индикация работы. </v>
          </cell>
        </row>
        <row r="1172">
          <cell r="A1172">
            <v>1830009549</v>
          </cell>
          <cell r="B1172" t="str">
            <v>TN3720E0</v>
          </cell>
          <cell r="J1172" t="str">
            <v>Оснащена лезвиями из нержавеющей стали, более 120 минут автономной работы, моющаяся головка, мешочек в комплекте. </v>
          </cell>
        </row>
        <row r="1173">
          <cell r="A1173">
            <v>1830005031</v>
          </cell>
          <cell r="B1173" t="str">
            <v>TN3500F0</v>
          </cell>
          <cell r="J1173" t="str">
            <v>NOSE AND EAR TRIMMER 2</v>
          </cell>
        </row>
        <row r="1174">
          <cell r="A1174">
            <v>1830004371</v>
          </cell>
          <cell r="B1174" t="str">
            <v>TN3010F1</v>
          </cell>
          <cell r="J1174" t="str">
            <v>nose&amp;Ear trimmer</v>
          </cell>
        </row>
        <row r="1175">
          <cell r="A1175">
            <v>1830008218</v>
          </cell>
          <cell r="B1175" t="str">
            <v>TN3011F0</v>
          </cell>
          <cell r="J1175" t="str">
            <v>NOSE AND EAR TRIMMER</v>
          </cell>
        </row>
        <row r="1176">
          <cell r="A1176">
            <v>3201001268</v>
          </cell>
          <cell r="B1176">
            <v>741086290</v>
          </cell>
          <cell r="J1176" t="str">
            <v>Сковорода WMF NordicProfi 28cm</v>
          </cell>
        </row>
        <row r="1177">
          <cell r="A1177">
            <v>1830008213</v>
          </cell>
          <cell r="B1177" t="str">
            <v>TN3651F0</v>
          </cell>
          <cell r="J1177" t="str">
            <v>NOMAD PRECISION</v>
          </cell>
        </row>
        <row r="1178">
          <cell r="A1178">
            <v>1830005921</v>
          </cell>
          <cell r="B1178" t="str">
            <v>TN3650F0</v>
          </cell>
          <cell r="J1178" t="str">
            <v>Не требующие заточки стальные лезвия - Три насадки для бороды: 1-3-5мм. - Близкое соприкосновение с кожей до 0,2мм. - До 120мин автономной работы (до 26 сессий бритья) - Батарея NiMH - Полностью водонепроницаемый корпус - Быстрая зарядка 120мин. - Быстрая зарядка через USB - LED индикатор работы;</v>
          </cell>
        </row>
        <row r="1179">
          <cell r="A1179">
            <v>1830005922</v>
          </cell>
          <cell r="B1179" t="str">
            <v>TN3600F0</v>
          </cell>
          <cell r="J1179" t="str">
            <v>Мультинабор TN3600 grooming kit: титановые лезвия, технология Wet&amp;Dry (100% водонепроницаемый), насадка-лезвия 20мм, 2 направляющие (3мм и 6мм), работа от батарейки (до 167 мин.)</v>
          </cell>
        </row>
        <row r="1180">
          <cell r="A1180">
            <v>1830007994</v>
          </cell>
          <cell r="B1180" t="str">
            <v>TN2310F1</v>
          </cell>
          <cell r="J1180" t="str">
            <v xml:space="preserve">Триммер для бороды NOMAD: Лезвия из нержавеющей стали Съемная насадка Работа от сети/аккумулятора: 60 минут (зарядка: 8 часов) Индикатор зарядки Подставка для зарядки Щеточка для чистки Масло                   </v>
          </cell>
        </row>
        <row r="1181">
          <cell r="A1181">
            <v>1830007970</v>
          </cell>
          <cell r="B1181" t="str">
            <v>TN2305F1</v>
          </cell>
          <cell r="J1181" t="str">
            <v>NOMAD BEARD TRIMMER</v>
          </cell>
        </row>
        <row r="1182">
          <cell r="A1182">
            <v>1830007935</v>
          </cell>
          <cell r="B1182" t="str">
            <v>TN2300F1</v>
          </cell>
          <cell r="J1182" t="str">
            <v>Триммер для бороды NOMAD: Лезвия из нержавеющей стали Съемная насадка, позиции длины 1-7 мм Работа от сети/аккумулятора: 45 минут (зарядка: 8 часов) Индикатор зарядки Щеточка для чистки Масло</v>
          </cell>
        </row>
        <row r="1183">
          <cell r="A1183">
            <v>1830005259</v>
          </cell>
          <cell r="B1183" t="str">
            <v>TN2300F0</v>
          </cell>
          <cell r="J1183" t="str">
            <v>Триммер для бороды NOMAD: Лезвия из нержавеющей стали Съемная насадка, позиции длины 1-7 мм Работа от сети/аккумулятора: 45 минут (зарядка: 8 часов) Индикатор зарядки Щеточка для чистки Масло</v>
          </cell>
        </row>
        <row r="1184">
          <cell r="A1184">
            <v>1830007796</v>
          </cell>
          <cell r="B1184" t="str">
            <v>YD3017F0</v>
          </cell>
          <cell r="J1184" t="str">
            <v>Машинка для стрижки волос Nomad создана в элегантном и эргономичном дизайне, чтобы вы могли удобно ей пользоваться в любое время и в любом месте. Лезвия из нержавеющей стали обеспечивают плавное срезание волос и остаются безупречно острыми надолго. Две регулируемые по высоте насадки предлагают до 20 уровней настройки длины от 1 до 30 мм, а фиксированная настройка в 1,5 мм позволяет идеально точно подравнять полученную стрижку. В качестве дополнения в комплект также входит триммер для удаления нежелательных волос в ушах и носу.</v>
          </cell>
        </row>
        <row r="1185">
          <cell r="A1185">
            <v>1830007989</v>
          </cell>
          <cell r="B1185" t="str">
            <v>TN1422F1</v>
          </cell>
          <cell r="J1185" t="str">
            <v>NOMAD 4</v>
          </cell>
        </row>
        <row r="1186">
          <cell r="A1186">
            <v>1830005454</v>
          </cell>
          <cell r="B1186" t="str">
            <v>TN1410F0</v>
          </cell>
          <cell r="J1186" t="str">
            <v>Машинка для стрижки NOMAD: Лезвия из нержавеющей стали Съемная насадка (2 шт), позиции длины 3-30 мм, 15 позиций длины, шаг 1.5 мм, 40 минут, подставка для зарядки</v>
          </cell>
        </row>
        <row r="1187">
          <cell r="A1187">
            <v>1830007990</v>
          </cell>
          <cell r="B1187" t="str">
            <v>TN1405F1</v>
          </cell>
          <cell r="J1187" t="str">
            <v xml:space="preserve">Машинка для стрижки             </v>
          </cell>
        </row>
        <row r="1188">
          <cell r="A1188">
            <v>1830007963</v>
          </cell>
          <cell r="J1188" t="str">
            <v>Машинка для стрижки NOMAD: Лезвия из нержавеющей стали, Съемная насадка (2 шт), позиции длины 3-30 мм, 15 позиций длины, шаг 1.5 мм, Работа от сети/аккумулятора: 40 минут</v>
          </cell>
        </row>
        <row r="1189">
          <cell r="A1189">
            <v>1830005453</v>
          </cell>
          <cell r="B1189" t="str">
            <v>TN1400F0</v>
          </cell>
          <cell r="J1189" t="str">
            <v>Машинка для стрижки NOMAD: Лезвия из нержавеющей стали, Съемная насадка (2 шт), позиции длины 3-30 мм, 15 позиций длины, шаг 1.5 мм, Работа от сети/аккумулятора: 40 минут</v>
          </cell>
        </row>
        <row r="1190">
          <cell r="A1190">
            <v>1830009148</v>
          </cell>
          <cell r="B1190" t="str">
            <v>TN1409F0</v>
          </cell>
          <cell r="J1190" t="str">
            <v>Hair Clipper, 40 Minutes Autonomy, High-Quality Self-Sharpening Stainless Steel Blade</v>
          </cell>
        </row>
        <row r="1191">
          <cell r="A1191">
            <v>1830007964</v>
          </cell>
          <cell r="B1191" t="str">
            <v>TN1410F1</v>
          </cell>
          <cell r="J1191" t="str">
            <v>Машинка для стрижки NOMAD: Лезвия из нержавеющей стали Съемная насадка (2 шт), позиции длины 3-30 мм, 15 позиций длины, шаг 1.5 мм, 40 минут, подставка для зарядки</v>
          </cell>
        </row>
        <row r="1192">
          <cell r="A1192">
            <v>1830008226</v>
          </cell>
          <cell r="B1192" t="str">
            <v>TN1400F1</v>
          </cell>
          <cell r="J1192" t="str">
            <v>Машинка для стрижки NOMAD: Лезвия из нержавеющей стали, Съемная насадка (2 шт), позиции длины 3-30 мм, 15 позиций длины, шаг 1.5 мм, Работа от сети/аккумулятора: 40 минут</v>
          </cell>
        </row>
        <row r="1193">
          <cell r="A1193">
            <v>1510001477</v>
          </cell>
          <cell r="B1193" t="str">
            <v>WD170D38</v>
          </cell>
          <cell r="J1193" t="str">
            <v>ВАФЕЛЬНИЦА NEW WAFFLE TIME</v>
          </cell>
        </row>
        <row r="1194">
          <cell r="A1194">
            <v>1830008581</v>
          </cell>
          <cell r="B1194" t="str">
            <v>SF467LF0</v>
          </cell>
          <cell r="J1194" t="str">
            <v>Выпрямитель для волос Rowenta x KARL LAGERFELD K/Pro Stylist, Встроенная расческа, Покрытие Keratin &amp; Glow, Функция ионизации, Для всех типов волос, 8 температурных режимов, ЖК-дисплей, Премиальный дизайн, SF467LF0</v>
          </cell>
        </row>
        <row r="1195">
          <cell r="A1195">
            <v>1830008580</v>
          </cell>
          <cell r="B1195" t="str">
            <v>SF466LF0</v>
          </cell>
          <cell r="J1195" t="str">
            <v>Выпрямитель для волос Rowenta x KARL LAGERFELD K/Pro Stylist, Встроенная расческа, Покрытие Keratin &amp; Glow, Функция ионизации, Для всех типов волос, 8 температурных режимов, ЖК-дисплей, Премиальный дизайн, SF466LF0</v>
          </cell>
        </row>
        <row r="1196">
          <cell r="A1196">
            <v>1830008584</v>
          </cell>
          <cell r="B1196" t="str">
            <v>SF4650F0</v>
          </cell>
          <cell r="J1196" t="str">
            <v>Выпрямитель для волос Rowenta Volumizer, 3D Volume Booster, Приподнимает волосы от корней, Моделирует, Увеличивает естественный объем, Встроенная щетка, Покрытие Quartz Ceramic, Функция ионизации, 8 температурных режимов, SF4650F0</v>
          </cell>
        </row>
        <row r="1197">
          <cell r="A1197">
            <v>1830008587</v>
          </cell>
          <cell r="B1197" t="str">
            <v>SF4655F0</v>
          </cell>
          <cell r="J1197" t="str">
            <v>Выпрямитель для волос Rowenta Volumizer, 3D Volume Booster, Приподнимает волосы от корней, Моделирует, Увеличивает естественный объем, Встроенная щетка, Покрытие Quartz Rose Ceramic, Функция ионизации, 8 температурных режимов, SF4655F0</v>
          </cell>
        </row>
        <row r="1198">
          <cell r="A1198">
            <v>1830008945</v>
          </cell>
          <cell r="B1198" t="str">
            <v>SF4631F0</v>
          </cell>
          <cell r="J1198" t="str">
            <v>Выпрямитель для волос Rowenta Express Shine, Специальное покрытие с аргановым маслом, Керамические пластины для сияющего блеска, 8 температурных режимов, Здоровые волосы, 2-в-1 завивка и выпрямление, ионизация, чехол.</v>
          </cell>
        </row>
        <row r="1199">
          <cell r="A1199">
            <v>1830008582</v>
          </cell>
          <cell r="B1199" t="str">
            <v>SF4630F0</v>
          </cell>
          <cell r="J1199" t="str">
            <v>Выпрямитель для волос Rowenta Express Shine, Специальное покрытие с аргановым маслом, Керамические пластины для сияющего блеска, 8 температурных режимов, Здоровые волосы, 2-в-1 завивка и выпрямление,ионизация.</v>
          </cell>
        </row>
        <row r="1200">
          <cell r="A1200">
            <v>1830008586</v>
          </cell>
          <cell r="B1200" t="str">
            <v>SF4621F0</v>
          </cell>
          <cell r="J1200" t="str">
            <v>Выпрямитель для волос Rowenta Express Shine, Специальное покрытие с кокосовым маслом, Керамические пластины для сияющего блеска, 8 температурных режимов, Здоровые волосы, 2-в-1 завивка и выпрямление, SF4620F0</v>
          </cell>
        </row>
        <row r="1201">
          <cell r="A1201">
            <v>1830008583</v>
          </cell>
          <cell r="B1201" t="str">
            <v>SF4620F0</v>
          </cell>
          <cell r="J1201" t="str">
            <v>Выпрямитель для волос Rowenta Express Shine, Специальное покрытие с маслом папайи, Керамические пластины для сияющего блеска, 8 температурных режимов, Здоровые волосы, 2-в-1 завивка и выпрямление, SF4620F0</v>
          </cell>
        </row>
        <row r="1202">
          <cell r="A1202">
            <v>1830008559</v>
          </cell>
          <cell r="B1202" t="str">
            <v>CV613LF0</v>
          </cell>
          <cell r="J1202" t="str">
            <v>NEW HYBRID CV613L</v>
          </cell>
        </row>
        <row r="1203">
          <cell r="A1203">
            <v>1830008437</v>
          </cell>
          <cell r="B1203" t="str">
            <v>CV6135F0</v>
          </cell>
          <cell r="J1203" t="str">
            <v>Фен Rowenta - гибридная технология - мощность DC-мотора, долговечность АС-мотора. 2400 Эффиватт, 6 режимов температуры и скорости, ионизация, холодный воздух, концентратор 8мм, диффузор. Цвет белый и красно-коричневый.</v>
          </cell>
        </row>
        <row r="1204">
          <cell r="A1204">
            <v>1830008357</v>
          </cell>
          <cell r="B1204" t="str">
            <v>CV6130F0</v>
          </cell>
          <cell r="J1204" t="str">
            <v>Фен Rowenta - гибридная технология - мощность DC-мотора, долговечность АС-мотора. 2400 Эффиватт, 6 режимов температуры и скорости, ионизация, холодный воздух, концентратор 8мм, диффузор. Цвет белый и серый.</v>
          </cell>
        </row>
        <row r="1205">
          <cell r="A1205">
            <v>7211002582</v>
          </cell>
          <cell r="B1205" t="str">
            <v>TT365031</v>
          </cell>
          <cell r="J1205" t="str">
            <v>TT365031 ТОСТЕР EXPRESS</v>
          </cell>
        </row>
        <row r="1206">
          <cell r="A1206">
            <v>8010001206</v>
          </cell>
          <cell r="B1206" t="str">
            <v>EA89W410</v>
          </cell>
          <cell r="J1206" t="str">
            <v>Полностью автоматическая кофемашина Espresseria</v>
          </cell>
        </row>
        <row r="1207">
          <cell r="A1207">
            <v>1830008557</v>
          </cell>
          <cell r="B1207" t="str">
            <v>CV8840F0</v>
          </cell>
          <cell r="J1207" t="str">
            <v>MOTEUR AC PRO CV8840</v>
          </cell>
        </row>
        <row r="1208">
          <cell r="A1208">
            <v>1830008558</v>
          </cell>
          <cell r="B1208" t="str">
            <v>CV8825F0</v>
          </cell>
          <cell r="J1208" t="str">
            <v>MOTEUR AC PRO CV8820+25</v>
          </cell>
        </row>
        <row r="1209">
          <cell r="A1209">
            <v>1830008533</v>
          </cell>
          <cell r="B1209" t="str">
            <v>CV888LF0</v>
          </cell>
          <cell r="J1209" t="str">
            <v>MOTEUR AC KL CV888L</v>
          </cell>
        </row>
        <row r="1210">
          <cell r="A1210">
            <v>1830008532</v>
          </cell>
          <cell r="B1210" t="str">
            <v>CV887LF0</v>
          </cell>
          <cell r="J1210" t="str">
            <v>MOTEUR AC KL CV887L</v>
          </cell>
        </row>
        <row r="1211">
          <cell r="A1211">
            <v>1830008556</v>
          </cell>
          <cell r="B1211" t="str">
            <v>CV8830F0</v>
          </cell>
          <cell r="J1211" t="str">
            <v>MOTEUR AC PRO CV8830</v>
          </cell>
        </row>
        <row r="1212">
          <cell r="A1212">
            <v>1830008554</v>
          </cell>
          <cell r="B1212" t="str">
            <v>CV8810F0</v>
          </cell>
          <cell r="J1212" t="str">
            <v>MOTEUR AC PRO CV8810</v>
          </cell>
        </row>
        <row r="1213">
          <cell r="A1213">
            <v>1830008555</v>
          </cell>
          <cell r="B1213" t="str">
            <v>CV8820F0</v>
          </cell>
          <cell r="J1213" t="str">
            <v>MOTEUR AC PRO CV8820+25</v>
          </cell>
        </row>
        <row r="1214">
          <cell r="A1214">
            <v>8010000800</v>
          </cell>
          <cell r="B1214" t="str">
            <v>KP173B10</v>
          </cell>
          <cell r="J1214" t="str">
            <v>Компактная автоматическая капсульная кофемашина Infinissima</v>
          </cell>
        </row>
        <row r="1215">
          <cell r="A1215">
            <v>2100118266</v>
          </cell>
          <cell r="B1215" t="str">
            <v>G2660772</v>
          </cell>
          <cell r="J1215" t="str">
            <v>Сковорода 30 Natural Force</v>
          </cell>
        </row>
        <row r="1216">
          <cell r="A1216">
            <v>3100514286</v>
          </cell>
          <cell r="B1216">
            <v>514286</v>
          </cell>
          <cell r="J1216" t="str">
            <v>Контейнер для торта BASIC 33 см зеленый</v>
          </cell>
        </row>
        <row r="1217">
          <cell r="A1217">
            <v>3100504918</v>
          </cell>
          <cell r="B1217">
            <v>504918</v>
          </cell>
          <cell r="J1217" t="str">
            <v>Контейнер для торта BASIC 33 см синий</v>
          </cell>
        </row>
        <row r="1218">
          <cell r="A1218">
            <v>3100504917</v>
          </cell>
          <cell r="B1218">
            <v>504917</v>
          </cell>
          <cell r="J1218" t="str">
            <v>Контейнер для торта BASIC 33 см красный</v>
          </cell>
        </row>
        <row r="1219">
          <cell r="A1219">
            <v>1830007971</v>
          </cell>
          <cell r="B1219" t="str">
            <v>TN8960F1</v>
          </cell>
          <cell r="J1219" t="str">
            <v xml:space="preserve">Мультитриммер 8 в 1,  4 неподвижные насадки (3 - 6 – 9 - 12 ) для экспериментов со стилем
</v>
          </cell>
        </row>
        <row r="1220">
          <cell r="A1220">
            <v>1830007992</v>
          </cell>
          <cell r="B1220" t="str">
            <v>TN8940F1</v>
          </cell>
          <cell r="J1220" t="str">
            <v xml:space="preserve">Мультитриммер 8 в 1,Мощный мотор, как в машинках для стрижки (6500 rpm)  4 неподвижные насадки (3 - 6 – 9 - 12 ) для экспериментов со стилем
</v>
          </cell>
        </row>
        <row r="1221">
          <cell r="A1221">
            <v>1830008216</v>
          </cell>
          <cell r="B1221" t="str">
            <v>TN8931F4</v>
          </cell>
          <cell r="J1221" t="str">
            <v>MULTISTYLE</v>
          </cell>
        </row>
        <row r="1222">
          <cell r="A1222">
            <v>1830007991</v>
          </cell>
          <cell r="B1222" t="str">
            <v>TN8930F1</v>
          </cell>
          <cell r="J1222" t="str">
            <v xml:space="preserve">Мультитриммер 7 в 1,  4 неподвижные насадки (3 - 6 – 9 - 12 ) для экспериментов со стилем
</v>
          </cell>
        </row>
        <row r="1223">
          <cell r="A1223">
            <v>1830007101</v>
          </cell>
          <cell r="B1223" t="str">
            <v>TN8930F0</v>
          </cell>
          <cell r="J1223" t="str">
            <v xml:space="preserve">Мультитриммер 7 в 1,  4 неподвижные насадки (3 - 6 – 9 - 12 ) для экспериментов со стилем
</v>
          </cell>
        </row>
        <row r="1224">
          <cell r="A1224">
            <v>1830007795</v>
          </cell>
          <cell r="B1224" t="str">
            <v>TN8908F0</v>
          </cell>
          <cell r="J1224" t="str">
            <v>4 in 1 multistyler</v>
          </cell>
        </row>
        <row r="1225">
          <cell r="A1225">
            <v>1830008217</v>
          </cell>
          <cell r="B1225" t="str">
            <v>TN8961F4</v>
          </cell>
          <cell r="J1225" t="str">
            <v>MULTISTYLE</v>
          </cell>
        </row>
        <row r="1226">
          <cell r="A1226">
            <v>1830007962</v>
          </cell>
          <cell r="B1226" t="str">
            <v>TN9460F4</v>
          </cell>
          <cell r="J1226" t="str">
            <v>MULTIGROOMER</v>
          </cell>
        </row>
        <row r="1227">
          <cell r="A1227">
            <v>1830008261</v>
          </cell>
          <cell r="B1227" t="str">
            <v>TN9461F4</v>
          </cell>
          <cell r="J1227" t="str">
            <v>MULTIGROOMER</v>
          </cell>
        </row>
        <row r="1228">
          <cell r="A1228">
            <v>1830008022</v>
          </cell>
          <cell r="B1228" t="str">
            <v>TN9440F4</v>
          </cell>
          <cell r="J1228" t="str">
            <v>MULTIGROOMER</v>
          </cell>
        </row>
        <row r="1229">
          <cell r="A1229">
            <v>1830007961</v>
          </cell>
          <cell r="B1229" t="str">
            <v>TN9400F4</v>
          </cell>
          <cell r="J1229" t="str">
            <v>MULTIGROOMER</v>
          </cell>
        </row>
        <row r="1230">
          <cell r="A1230">
            <v>1830008796</v>
          </cell>
          <cell r="B1230" t="str">
            <v>TN911LF0</v>
          </cell>
          <cell r="J1230" t="str">
            <v>Wet&amp;dry 12 in 1 trimmer , 120 min</v>
          </cell>
        </row>
        <row r="1231">
          <cell r="A1231">
            <v>1830006140</v>
          </cell>
          <cell r="B1231" t="str">
            <v>TN9160F0</v>
          </cell>
          <cell r="J1231" t="str">
            <v>Мультитриммер Wet &amp; Dry 12 в 1 TRIM &amp; STYLE: мультинабор 100% водонепроницаемый, титановое покрытие, подставка для хранения и зарядки. Мощный мотор (6500 RPM). Лезвие 32 мм, бритвенная мини-насадка шириной 25 мм, насадка для носа и ушей, насадка для тела, прецизионная насадка 7 мм, насадка 42 мм для стрижки с 4 направляющими 3, 6, 9, 12 мм;  направляющая с позициями длины 3/4/5/6/7 мм. 60 минут автономной работы</v>
          </cell>
        </row>
        <row r="1232">
          <cell r="A1232">
            <v>1830007998</v>
          </cell>
          <cell r="B1232" t="str">
            <v>TN9155F1</v>
          </cell>
          <cell r="J1232" t="str">
            <v>MULTIGROOM KIT</v>
          </cell>
        </row>
        <row r="1233">
          <cell r="A1233">
            <v>1830007919</v>
          </cell>
          <cell r="B1233" t="str">
            <v>TN9140F4</v>
          </cell>
          <cell r="J1233" t="str">
            <v>MULTIGROOM KIT</v>
          </cell>
        </row>
        <row r="1234">
          <cell r="A1234">
            <v>1830007967</v>
          </cell>
          <cell r="B1234" t="str">
            <v>TN9130F1</v>
          </cell>
          <cell r="J1234" t="str">
            <v>Мультитриммер Wet &amp; Dry 7 в 1 TRIM &amp; STYLE: мультинабор 100% водонепроницаемый, титановое покрытие, подставка для хранения и зарядки. Мощный мотор (6500 RPM). Лезвие 32 мм, бритвенная мини-насадка шириной 25 мм, насадка для носа и ушей, насадка для тела, прецизионная насадка 7 мм, направляющая с позициями длины 3/4/5/6/7 мм. 60 минут автономной работы</v>
          </cell>
        </row>
        <row r="1235">
          <cell r="A1235">
            <v>1830006139</v>
          </cell>
          <cell r="B1235" t="str">
            <v>TN9130F0</v>
          </cell>
          <cell r="J1235" t="str">
            <v>Мультитриммер Wet &amp; Dry 7 в 1 TRIM &amp; STYLE: мультинабор 100% водонепроницаемый, титановое покрытие, подставка для хранения и зарядки. Мощный мотор (6500 RPM). Лезвие 32 мм, бритвенная мини-насадка шириной 25 мм, насадка для носа и ушей, насадка для тела, прецизионная насадка 7 мм, направляющая с позициями длины 3/4/5/6/7 мм. 60 минут автономной работы</v>
          </cell>
        </row>
        <row r="1236">
          <cell r="A1236">
            <v>1830007966</v>
          </cell>
          <cell r="B1236" t="str">
            <v>TN9100F1</v>
          </cell>
          <cell r="J1236" t="str">
            <v>Мультитриммер Wet &amp; Dry 5 в 1 TRIM &amp; STYLE: мультинабор 100% водонепроницаемый, титановое покрытие, подставка для хранения и зарядки. Лезвие 32 мм, бритвенная мини-насадка шириной 25 мм, насадка для носа и ушей, направляющая с позициями длины 3/4/5/6/7 мм. 60 минут автономной работы</v>
          </cell>
        </row>
        <row r="1237">
          <cell r="A1237">
            <v>1830007918</v>
          </cell>
          <cell r="B1237" t="str">
            <v>TN9110F4</v>
          </cell>
          <cell r="J1237" t="str">
            <v>MULTIGROOM KIT</v>
          </cell>
        </row>
        <row r="1238">
          <cell r="A1238">
            <v>1830009149</v>
          </cell>
          <cell r="B1238" t="str">
            <v>TN9113F0</v>
          </cell>
          <cell r="J1238" t="str">
            <v>Trimmer, T-blade, 6 hair combs, Body shaver, Ear &amp; nose trimmer, Pouch, Charger, Cleaning brush, Oil.</v>
          </cell>
        </row>
        <row r="1239">
          <cell r="A1239">
            <v>1510001945</v>
          </cell>
          <cell r="B1239" t="str">
            <v>YG660132</v>
          </cell>
          <cell r="J1239" t="str">
            <v>ЙОГУРТНИЦА MULTIГЕРМАНИЯLICE 3-В-1: ЙОГУРТЫ, ДОМАШНИЙ ТВОРОГ, РАЗНООБРАЗНЫЕ ДЕСЕРТЫ. ЗАПАТЕНТОВАННЫЙ УСКОРЕННЫЙ РЕЖИМ ПРИГОТОВЛЕНИЯ ЙОГУРТА ЗА 4 ЧАСА. 6 СТЕКЛЯННЫХ БАНОЧЕК ДЛЯ ПРИГОТОВЛЕНИЯ. КНИГА РЕЦЕПТОВ В КОМПЛЕКТЕ.</v>
          </cell>
        </row>
        <row r="1240">
          <cell r="A1240">
            <v>2100080265</v>
          </cell>
          <cell r="B1240" t="str">
            <v>PY303633</v>
          </cell>
          <cell r="J1240" t="str">
            <v>CREP PARTY 4 CPCT BLK CHE БЛИННИЦА НА 4 БЛИНА CREP'PARTY COMPACT, КНОПКА ВКЛ/ВЫКЛ, МОЩНОСТЬ 720 ВТ, ТЕРМОСПОТ, АНТИПРИГАРНОЕ ПОКРЫТИЕ, ПОЛОВНИК, 4 ЛОПАТКИ, ЦВЕТ: БАКЛАЖАНОВЫЙ.</v>
          </cell>
        </row>
        <row r="1241">
          <cell r="A1241">
            <v>7211004463</v>
          </cell>
          <cell r="B1241" t="str">
            <v>RK908A32</v>
          </cell>
          <cell r="J1241" t="str">
            <v>MC &amp; BAKE IH GOLD MET RU</v>
          </cell>
        </row>
        <row r="1242">
          <cell r="A1242">
            <v>7211003964</v>
          </cell>
          <cell r="B1242" t="str">
            <v>RK905A32</v>
          </cell>
          <cell r="J1242" t="str">
            <v>МУЛЬТИВАРКА: ЛОПАТКА ДЛЯ ПЕРЕМЕШИВАНИЯ, ИНДУКЦИОННЫЙ НАГРЕВ, ОБЪЕМ 5 Л, СЕНСОРНОЕ УПРАВЛЕНИЕ, СФЕРИЧЕСКАЯ ЧАША, МОЩНОСТЬ 1200 ВТ, 36 РЕЖИМОВ (21 ПРОГРАММА),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ПОДДЕРЖАНИЕ В РАЗОГРЕТОМ СОСТОЯНИИ И ОТСРОЧКА СТАРТА ДО 24 ЧАСОВ; АВТОМАТИЧЕСКАЯ ФУНКЦИЯ “ПОДОГРЕВ” И ВОЗМОЖНОСТЬ ЕГО ОТМЕНЫ ПЕРЕД НАЧАЛОМ ПРИГОТОВЛЕНИЯ; ФУНКЦИЯ САМООЧИСТКИ, СЪЕМНАЯ 2ММ 5ТИ СЛОЙНАЯ СФЕРИЧЕСКАЯ ЧАША С АНТИПРИГАРНЫМ ПОКРЫТИЕМ, КОРЗИНА ДЛЯ ПРИГОТОВЛЕНИЯ НА ПАРУ, МЕРНАЯ ЧАШКА И СПЕЦИАЛЬНЫЕ ЛОЖКИ ДЛЯ СУПА И РИСА, КНИГА РЕЦЕПТОВ В КОМПЛЕКТЕ. МАТЕРИАЛ КОРПУСА - МЕТАЛЛ И ПЛАСТИК, ЦВЕТ ЧЕРНЫЙ+БРОНЗОВЫЙ.</v>
          </cell>
        </row>
        <row r="1243">
          <cell r="A1243">
            <v>7211003108</v>
          </cell>
          <cell r="B1243" t="str">
            <v>RK901F32</v>
          </cell>
          <cell r="J1243" t="str">
            <v>Материал корпуса - металл и пластик, серый.</v>
          </cell>
        </row>
        <row r="1244">
          <cell r="A1244">
            <v>7211003109</v>
          </cell>
          <cell r="B1244" t="str">
            <v>RK901832</v>
          </cell>
          <cell r="J1244" t="str">
            <v>МАТЕРИАЛ КОРПУСА - МЕТАЛЛ И ПЛАСТИК, СЕРЫЙ.</v>
          </cell>
        </row>
        <row r="1245">
          <cell r="A1245">
            <v>7211419456</v>
          </cell>
          <cell r="B1245" t="str">
            <v>MY741CF2</v>
          </cell>
          <cell r="J1245" t="str">
            <v>мультиварка TEFAL Multicook Actifry, Stirring air fryer and Multicooker, 14 Programs, Crispy Results MY741CF2</v>
          </cell>
        </row>
        <row r="1246">
          <cell r="A1246">
            <v>1830007105</v>
          </cell>
          <cell r="B1246" t="str">
            <v>CF4711F0</v>
          </cell>
          <cell r="J1246" t="str">
            <v xml:space="preserve">Мультистайлер, 4 типа волн, 6 настроек температуры,Керамическое покрытие пластин, время нагрева 35сек
</v>
          </cell>
        </row>
        <row r="1247">
          <cell r="A1247">
            <v>3200002323</v>
          </cell>
          <cell r="B1247">
            <v>415570011</v>
          </cell>
          <cell r="J1247" t="str">
            <v>Аэрогриль Multi Taste</v>
          </cell>
        </row>
        <row r="1248">
          <cell r="A1248">
            <v>1830008551</v>
          </cell>
          <cell r="B1248" t="str">
            <v>CF451LF0</v>
          </cell>
          <cell r="J1248" t="str">
            <v>Мультистайлер 3 в 1 Rowenta x KARL LAGERFELD Fashion Stylist, Универсальный выпрямитель, Завивка кудрей и волн, Ионизация для сияющего блеска, Настройки температуры 170°C и 200°C для всех типов волос, CF451LF0</v>
          </cell>
        </row>
        <row r="1249">
          <cell r="A1249">
            <v>1830006536</v>
          </cell>
          <cell r="B1249" t="str">
            <v>CF4512F0</v>
          </cell>
          <cell r="J1249" t="str">
            <v>3 in 1 Multistyle</v>
          </cell>
        </row>
        <row r="1250">
          <cell r="A1250">
            <v>1830007053</v>
          </cell>
          <cell r="B1250" t="str">
            <v>CF4510F0</v>
          </cell>
          <cell r="J1250" t="str">
            <v xml:space="preserve">Мультистайлер, 3 в 1
</v>
          </cell>
        </row>
        <row r="1251">
          <cell r="A1251">
            <v>1830008186</v>
          </cell>
          <cell r="B1251" t="str">
            <v>CF4231F0</v>
          </cell>
          <cell r="J1251" t="str">
            <v>MULTI STYLE 3</v>
          </cell>
        </row>
        <row r="1252">
          <cell r="A1252">
            <v>1830008185</v>
          </cell>
          <cell r="B1252" t="str">
            <v>CF4230F0</v>
          </cell>
          <cell r="J1252" t="str">
            <v>MULTI STYLE 3</v>
          </cell>
        </row>
        <row r="1253">
          <cell r="A1253">
            <v>1830008499</v>
          </cell>
          <cell r="B1253" t="str">
            <v>CF422LF0</v>
          </cell>
          <cell r="J1253" t="str">
            <v>Мультистайлер 9 в 1 Rowenta x KARL LAGERFELD Infinite Looks, Выпрямитель, Щипцы-гофре, Завивка, Керамическое покрытие для мягких и сияющих волос, Простой в использований, 190°C, Термоизолированный наконечник, CF422LF0</v>
          </cell>
        </row>
        <row r="1254">
          <cell r="A1254">
            <v>1830008187</v>
          </cell>
          <cell r="B1254" t="str">
            <v>CF4222F0</v>
          </cell>
          <cell r="J1254" t="str">
            <v>MULTI STYLE 3</v>
          </cell>
        </row>
        <row r="1255">
          <cell r="A1255">
            <v>1830004849</v>
          </cell>
          <cell r="B1255" t="str">
            <v>CF4132D0</v>
          </cell>
          <cell r="J1255" t="str">
            <v>Мультистайлер 14в1: щипцы для завивки 16 мм, плоские щипцы, насадка для спиральной завивки, щипцы большого диамтера 32 мм, пластины для распрямления/ гофрирования, щетка-насадка, 4 зажима (клипсы), 2 шпильки, косметичка для аксессуаров, коллекция Rowenta for Elite Model Look</v>
          </cell>
        </row>
        <row r="1256">
          <cell r="A1256">
            <v>1830007558</v>
          </cell>
          <cell r="B1256" t="str">
            <v>CF4122F0</v>
          </cell>
          <cell r="J1256" t="str">
            <v xml:space="preserve">Прибор 3 в 1: гофре и выпрямление, дополнительная насадка щипцы 16мм; максимальная температура нагрева 180°С, керамическое покрытие пластин с кератином и турмалином, световой индикатор включения, петля для подвешивания, вращающийся шнур; </v>
          </cell>
        </row>
        <row r="1257">
          <cell r="A1257">
            <v>1830005197</v>
          </cell>
          <cell r="B1257" t="str">
            <v>CF4112F0</v>
          </cell>
          <cell r="J1257" t="str">
            <v>Мультистайлер 7 в 1: температура 180 градусов, керамическое покрытие, термозащитный чехол-сумочка. В комплекте: плойка 16 мм, насадка для гофре, насадка для выпрямления, насадка-спираль, насадка-щетка, 2 заколки-аксессуара.</v>
          </cell>
        </row>
        <row r="1258">
          <cell r="A1258">
            <v>1830007557</v>
          </cell>
          <cell r="B1258" t="str">
            <v>CF4102F0</v>
          </cell>
          <cell r="J1258" t="str">
            <v xml:space="preserve">Прибор 2 в 1: гофре и выпрямление, максимальная температура нагрева 180°С, керамическое покрытие пластин с кератином и турмалином, световой индикатор включения, петля для подвешивания, вращающийся шнур; </v>
          </cell>
        </row>
        <row r="1259">
          <cell r="A1259">
            <v>1510001305</v>
          </cell>
          <cell r="B1259" t="str">
            <v>AT723110</v>
          </cell>
          <cell r="J1259" t="str">
            <v>AT723110 MCHP MULTIMOULINETTE XXL 4 BLAD</v>
          </cell>
        </row>
        <row r="1260">
          <cell r="A1260">
            <v>1830005843</v>
          </cell>
          <cell r="B1260" t="str">
            <v>CV3820F0</v>
          </cell>
          <cell r="J1260" t="str">
            <v>Фен Moveling CV3820: 2300 Effi-Watts (мощность 2300 Вт при потреблении 1800 Вт), keratin tourmaline покрытие решетки, 3 температурных режима, 2 скоростных, холодный воздух, концентратор.</v>
          </cell>
        </row>
        <row r="1261">
          <cell r="A1261">
            <v>1830005841</v>
          </cell>
          <cell r="B1261" t="str">
            <v>CV3812F0</v>
          </cell>
          <cell r="J1261" t="str">
            <v>Moveling</v>
          </cell>
        </row>
        <row r="1262">
          <cell r="A1262">
            <v>1830007975</v>
          </cell>
          <cell r="B1262" t="str">
            <v>HV5700D8</v>
          </cell>
          <cell r="J1262" t="str">
            <v>Фен Tefal Motion Dry. Мотор мощностью 2200 Вт создает сильный воздушный поток, а 6 настроек позволяют регулировать его скорость и температуру в зависимости от вашего типа волос. Функция подачи холодного воздуха. Легкий корпус, съемная решетка, длнный шнур 1,8 м фен .</v>
          </cell>
        </row>
        <row r="1263">
          <cell r="A1263">
            <v>1830004842</v>
          </cell>
          <cell r="B1263" t="str">
            <v>CV8340F0</v>
          </cell>
          <cell r="J1263" t="str">
            <v>Фен Essentials, мощность 2100 Вт, профессиональный AC мотор, керамическое покрытие решеток, 6 режимов, ультра-холодный воздух, классический диффузор, концентратор, съемная решетка, петля для подвешивания</v>
          </cell>
        </row>
        <row r="1264">
          <cell r="A1264">
            <v>4100000578</v>
          </cell>
          <cell r="B1264" t="str">
            <v>VF6410F0</v>
          </cell>
          <cell r="J1264" t="str">
            <v>Напольный вентилятор Turbo Silence+ Moscito NEW</v>
          </cell>
        </row>
        <row r="1265">
          <cell r="A1265">
            <v>4100000458</v>
          </cell>
          <cell r="B1265" t="str">
            <v>VF4210F0</v>
          </cell>
          <cell r="J1265" t="str">
            <v>VF4210F0 Вентилятор</v>
          </cell>
        </row>
        <row r="1266">
          <cell r="A1266">
            <v>7211419019</v>
          </cell>
          <cell r="B1266" t="str">
            <v>TT2M1B10</v>
          </cell>
          <cell r="J1266" t="str">
            <v>Тостер с двумя отделениями и решеткой для выпечки Tefal Morning, Багеты и круассаны, 7 уровней подрумянивания, Функция "Стоп", Высокое поднятие тоста, Съемный лоток для крошек, Широкие отделения, Стильный дизайн, TT2M1B10</v>
          </cell>
        </row>
        <row r="1267">
          <cell r="A1267">
            <v>7211419044</v>
          </cell>
          <cell r="B1267" t="str">
            <v>LT2M0810</v>
          </cell>
          <cell r="J1267" t="str">
            <v>Тостер с двумя отделениями Moulinex Morning, 7 уровней подрумянивания, Функция "Стоп", Высокое поднятие тоста, Съемный лоток для крошек, Широкие отделения, Стильный дизайн, LT2M0810</v>
          </cell>
        </row>
        <row r="1268">
          <cell r="A1268">
            <v>7211419027</v>
          </cell>
          <cell r="B1268" t="str">
            <v>CM2M1410</v>
          </cell>
          <cell r="J1268" t="str">
            <v>Капельная кофеварка Tefal Morning с многоразовым фильтром, Поворотный держатель фильтра с эргономичной ручкой, Большой резервуар для воды, Умная пауза, Легко пользоваться, Функция поддержания температуры, 1.25 л, CM2M1410</v>
          </cell>
        </row>
        <row r="1269">
          <cell r="A1269">
            <v>7211419023</v>
          </cell>
          <cell r="B1269" t="str">
            <v>KO2M0B10</v>
          </cell>
          <cell r="J1269" t="str">
            <v>Пластиковый чайник, мощность 2400 Вт, объем 1.7 Л, индикатор уровня воды, съемный фильтр от накипи, основание с поворотом на 360 градусов, скрытый нагревательный элемент</v>
          </cell>
        </row>
        <row r="1270">
          <cell r="A1270">
            <v>7211419022</v>
          </cell>
          <cell r="B1270" t="str">
            <v>BY2M0810</v>
          </cell>
          <cell r="J1270" t="str">
            <v>Пластиковый чайник, мощность 2400 Вт, объем 1.7 Л, индикатор уровня воды, съемный фильтр от накипи, основание с поворотом на 360 градусов, скрытый нагревательный элемент</v>
          </cell>
        </row>
        <row r="1271">
          <cell r="A1271">
            <v>3100509239</v>
          </cell>
          <cell r="B1271">
            <v>509239</v>
          </cell>
          <cell r="J1271" t="str">
            <v>Термос MOBILITY 1 л черный/нерж.сталь</v>
          </cell>
        </row>
        <row r="1272">
          <cell r="A1272">
            <v>3100509228</v>
          </cell>
          <cell r="B1272">
            <v>509228</v>
          </cell>
          <cell r="J1272" t="str">
            <v>Термос MOBILITY 1 л фиолетовый/нерж.сталь</v>
          </cell>
        </row>
        <row r="1273">
          <cell r="A1273">
            <v>3100509238</v>
          </cell>
          <cell r="B1273">
            <v>509238</v>
          </cell>
          <cell r="J1273" t="str">
            <v>Термос MOBILITY 0.7л черный/нерж.сталь</v>
          </cell>
        </row>
        <row r="1274">
          <cell r="A1274">
            <v>3100515864</v>
          </cell>
          <cell r="B1274">
            <v>515864</v>
          </cell>
          <cell r="J1274" t="str">
            <v>Термос MOBILITY KIDS 0 35л голубой/зеленый</v>
          </cell>
        </row>
        <row r="1275">
          <cell r="A1275">
            <v>3100515863</v>
          </cell>
          <cell r="B1275">
            <v>515863</v>
          </cell>
          <cell r="J1275" t="str">
            <v>Термос MOBILITY KIDS 0 35л розовый/зеленый</v>
          </cell>
        </row>
        <row r="1276">
          <cell r="A1276">
            <v>3100512960</v>
          </cell>
          <cell r="B1276">
            <v>512960</v>
          </cell>
          <cell r="J1276" t="str">
            <v>Термос MOBILITY 0.7л зеленый/нерж.сталь</v>
          </cell>
        </row>
        <row r="1277">
          <cell r="A1277">
            <v>3100509227</v>
          </cell>
          <cell r="B1277">
            <v>509227</v>
          </cell>
          <cell r="J1277" t="str">
            <v>Термос MOBILITY 0.7л фиолетовый/нерж.сталь</v>
          </cell>
        </row>
        <row r="1278">
          <cell r="A1278">
            <v>3100512967</v>
          </cell>
          <cell r="B1278">
            <v>512967</v>
          </cell>
          <cell r="J1278" t="str">
            <v>Термос д/ланча MOBILITY 1,7л зеленый</v>
          </cell>
        </row>
        <row r="1279">
          <cell r="A1279">
            <v>3100509245</v>
          </cell>
          <cell r="B1279">
            <v>509245</v>
          </cell>
          <cell r="J1279" t="str">
            <v>Термос д/ланча MOBILITY 1,7л серый/сталь</v>
          </cell>
        </row>
        <row r="1280">
          <cell r="A1280">
            <v>3100509234</v>
          </cell>
          <cell r="B1280">
            <v>509234</v>
          </cell>
          <cell r="J1280" t="str">
            <v>Термос д/ланча MOBILITY 1,7л фиолетовый/сталь</v>
          </cell>
        </row>
        <row r="1281">
          <cell r="A1281">
            <v>3100509244</v>
          </cell>
          <cell r="B1281">
            <v>509244</v>
          </cell>
          <cell r="J1281" t="str">
            <v>Термос д/ланча MOBILITY 1,2л серый/сталь</v>
          </cell>
        </row>
        <row r="1282">
          <cell r="A1282">
            <v>3100512966</v>
          </cell>
          <cell r="B1282">
            <v>512966</v>
          </cell>
          <cell r="J1282" t="str">
            <v>Термос д/ланча 1,2 л, зеленый MOBILITY</v>
          </cell>
        </row>
        <row r="1283">
          <cell r="A1283">
            <v>3100509233</v>
          </cell>
          <cell r="B1283">
            <v>509233</v>
          </cell>
          <cell r="J1283" t="str">
            <v>Термос д/ланча MOBILITY 1,2л фиолетовый/сталь</v>
          </cell>
        </row>
        <row r="1284">
          <cell r="A1284">
            <v>3100515862</v>
          </cell>
          <cell r="B1284">
            <v>515862</v>
          </cell>
          <cell r="J1284" t="str">
            <v>Термос д/ланча MOBILITY KIDS 0 65л голубой/зеленый</v>
          </cell>
        </row>
        <row r="1285">
          <cell r="A1285">
            <v>3100515861</v>
          </cell>
          <cell r="B1285">
            <v>515861</v>
          </cell>
          <cell r="J1285" t="str">
            <v>Термос д/ланча MOBILITY KIDS 0 65л розовый/зеленый</v>
          </cell>
        </row>
        <row r="1286">
          <cell r="A1286">
            <v>7211004943</v>
          </cell>
          <cell r="B1286" t="str">
            <v>LM15FD10</v>
          </cell>
          <cell r="J1286" t="str">
            <v>Персональный блендер Mix&amp;Move. Мощность 300 Вт, 2 бутылки on-the-go 0,6 л, 1 скорость, 4 съемных лезвия из нержавеющей стали</v>
          </cell>
        </row>
        <row r="1287">
          <cell r="A1287">
            <v>1510001501</v>
          </cell>
          <cell r="B1287" t="str">
            <v>GC208832</v>
          </cell>
          <cell r="J1287" t="str">
            <v>ПЛАСТИНЫ С АНТИПРИГАРНОЙ ПОВЕРХНОСТЬЮ, ИНДИКАТОР ГОТОВНОСТИ, ПОВЕРХНОСТЬ ГРИЛЯ – 2×550СМ, 2 ПОЛОЖЕНИЯ: ГРИЛЬ И БАРБЕКЮ, 3 ТЕМПЕРАТУРНЫХ РЕЖИМА, СЪЕМНЫЕ ПЛАСТИНЫ  МОЖНО МЫТЬ В ПОСУДОМОЕЧНОЙ МАШИНЕ, ВЕРТИКАЛЬНОЕ ХРАНЕНИЕ, ТЕРМОСТАТ, МОЩНОСТЬ 1600 ВТ. ЦВЕТ - ЧЕРНЫЙ.</v>
          </cell>
        </row>
        <row r="1288">
          <cell r="A1288">
            <v>2100058891</v>
          </cell>
          <cell r="B1288" t="str">
            <v>GC205012</v>
          </cell>
          <cell r="J1288" t="str">
            <v xml:space="preserve">КОНТАКТНЫЙ ГРИЛЬ MINUTE GRILL, ПЛАСТИНЫ С АНТИПРИГАРНОЙ ПОВЕРХНОСТЬЮ, ИНДИКАТОР ГОТОВНОСТИ, ПОВЕРХНОСТЬ ГРИЛЯ – 2×550СМ, 2 ПОЛОЖЕНИЯ: ГРИЛЬ И БАРБЕКЮ, 3 ТЕМПЕРАТУРНЫХ РЕЖИМА, СЪЕМНЫЕ ПЛАСТИНЫ  МОЖНО МЫТЬ В ПОСУДОМОЕЧНОЙ МАШИНЕ, ВЕРТИКАЛЬНОЕ ХРАНЕНИЕ, ТЕРМОСТАТ, МОЩНОСТЬ 1600 ВТ </v>
          </cell>
        </row>
        <row r="1289">
          <cell r="A1289">
            <v>7211004554</v>
          </cell>
          <cell r="B1289" t="str">
            <v>LM16L110</v>
          </cell>
          <cell r="J1289" t="str">
            <v>Персональный стац блендер 400 Вт, 2 скорости + Стакан + Измельчитель</v>
          </cell>
        </row>
        <row r="1290">
          <cell r="A1290">
            <v>7211002133</v>
          </cell>
          <cell r="B1290" t="str">
            <v>FF220015</v>
          </cell>
          <cell r="J1290" t="str">
            <v xml:space="preserve">ФРИТЮРНИЦА.ВМЕСТИМОСТЬ ПРОДУКТОВ: 0,6 КГ, ВМЕСТИМОСТЬ МАСЛА: 1 Л, КОРПУС ИЗ НЕРЖАВЕЮЩЕЙ СТАЛИ, НЕСЪЕМНАЯ ЧАША С АНТИПРИГАРНЫМ ПОКРЫТИЕМ , НЕСЪЕМНЫЙ ФИЛЬТР, ПРЕДОТВРАЩАЮЩИЙ  РАСПРОСТРАНЕНИЕ ЗАПАХОВ, СЪЕМНАЯ КРЫШКА С ОКНОМ, РЕГУЛИРУЕМЫЙ ТЕРМОСТАТ СО СВЕТОВЫМ ИНДИКАТОРОМ, ПОТРЕБЛЯЕМАЯ МОЩНОСТЬ 1000 ВТ </v>
          </cell>
        </row>
        <row r="1291">
          <cell r="A1291">
            <v>8010000170</v>
          </cell>
          <cell r="B1291" t="str">
            <v>LM181D10</v>
          </cell>
          <cell r="J1291" t="str">
            <v>ВАКУУМНЫЙ БЛЕНДЕР FRESHBOOST. МОЩНОСТЬ 800 ВТ, 2 БУТЫЛКИ ОБЪЕМОМ 750 МЛ (ПОЛЕЗНЫЙ ОБЪЕМ 600 МЛ), 4 СКОРОСТИ. ЦВЕТ - ЧЕРНЫЙ.</v>
          </cell>
        </row>
        <row r="1292">
          <cell r="A1292">
            <v>7211004007</v>
          </cell>
          <cell r="B1292" t="str">
            <v>RK601132</v>
          </cell>
          <cell r="J1292" t="str">
            <v>МАТЕРИАЛ КОРПУСА - МЕТАЛЛ И ПЛАСТИК, БРОНЗОВЫЙ.</v>
          </cell>
        </row>
        <row r="1293">
          <cell r="A1293">
            <v>8010000267</v>
          </cell>
          <cell r="B1293" t="str">
            <v>KP123B10</v>
          </cell>
          <cell r="J1293" t="str">
            <v xml:space="preserve">Компактная автоматическая капсульная кофемашина Mini Me </v>
          </cell>
        </row>
        <row r="1294">
          <cell r="A1294">
            <v>2820130131</v>
          </cell>
          <cell r="B1294" t="str">
            <v>VC130130</v>
          </cell>
          <cell r="J1294" t="str">
            <v>ПАРОВАРКА MINICOMPACT, СВЕРХКОМПАКТНЫЙ РАЗМЕР, УЛЬТРАКОМПАКТНОЕ ХРАНЕНИЕ, МОЩНОСТЬ 650 ВТ, 3 ЧАШИ ОБЩИМ ОБЪЕМОМ 7 Л (НА 1-2 ЧЕЛОВЕК), АКВАТАЙМЕР, ЧАША ДЛЯ РИСА</v>
          </cell>
        </row>
        <row r="1295">
          <cell r="A1295">
            <v>1510001922</v>
          </cell>
          <cell r="B1295" t="str">
            <v>VC139810</v>
          </cell>
          <cell r="J1295" t="str">
            <v>УЛЬТРАКОМПАКТНАЯ ПАРОВАРКА С 2 КОРЗИНАМИ, ТАЙМЕРОМ И ЧАШЕЙ ДЛЯ РИСА</v>
          </cell>
        </row>
        <row r="1296">
          <cell r="A1296">
            <v>2211401382</v>
          </cell>
          <cell r="B1296" t="str">
            <v>TW3235EA</v>
          </cell>
          <cell r="J1296" t="str">
            <v>Безмешковый пылесос TEFAL Micro Space Cyclonic, мощность пылесоса 1600 Вт, мощная циклоническая технология TW3235EA</v>
          </cell>
        </row>
        <row r="1297">
          <cell r="A1297">
            <v>3100000027</v>
          </cell>
          <cell r="B1297">
            <v>459061200</v>
          </cell>
          <cell r="J1297" t="str">
            <v>Набор из 3 контейнеров MICRO FAMILIY  0,5л/1л/1,5л</v>
          </cell>
        </row>
        <row r="1298">
          <cell r="A1298">
            <v>7211004519</v>
          </cell>
          <cell r="B1298" t="str">
            <v>MK611832</v>
          </cell>
          <cell r="J1298" t="str">
            <v>МУЛЬТИВАРКА MC SIMPLY COOK</v>
          </cell>
        </row>
        <row r="1299">
          <cell r="A1299">
            <v>9100049006</v>
          </cell>
          <cell r="B1299">
            <v>4222122</v>
          </cell>
          <cell r="J1299" t="str">
            <v>Сковорода 22 Maxima</v>
          </cell>
        </row>
        <row r="1300">
          <cell r="A1300">
            <v>9100049007</v>
          </cell>
          <cell r="B1300">
            <v>4222124</v>
          </cell>
          <cell r="J1300" t="str">
            <v>Сковорода 24 Maxima</v>
          </cell>
        </row>
        <row r="1301">
          <cell r="A1301">
            <v>9100049008</v>
          </cell>
          <cell r="B1301">
            <v>4222126</v>
          </cell>
          <cell r="J1301" t="str">
            <v>Сковорода 26 Maxima</v>
          </cell>
        </row>
        <row r="1302">
          <cell r="A1302">
            <v>9100049009</v>
          </cell>
          <cell r="B1302">
            <v>4222128</v>
          </cell>
          <cell r="J1302" t="str">
            <v>Сковорода 28 Maxima</v>
          </cell>
        </row>
        <row r="1303">
          <cell r="A1303">
            <v>9100049010</v>
          </cell>
          <cell r="B1303">
            <v>4222525</v>
          </cell>
          <cell r="J1303" t="str">
            <v>Сковорода для блинов 25 Maxima</v>
          </cell>
        </row>
        <row r="1304">
          <cell r="A1304">
            <v>9100049011</v>
          </cell>
          <cell r="B1304">
            <v>4222628</v>
          </cell>
          <cell r="J1304" t="str">
            <v>Сковорода ВОК 28 Maxima</v>
          </cell>
        </row>
        <row r="1305">
          <cell r="A1305">
            <v>9100049012</v>
          </cell>
          <cell r="B1305">
            <v>4222224</v>
          </cell>
          <cell r="J1305" t="str">
            <v>Сотейник 24 Maxima + крышка</v>
          </cell>
        </row>
        <row r="1306">
          <cell r="A1306">
            <v>9100054277</v>
          </cell>
          <cell r="B1306">
            <v>4228122</v>
          </cell>
          <cell r="J1306" t="str">
            <v>Сковорода 22 Maxima</v>
          </cell>
        </row>
        <row r="1307">
          <cell r="A1307">
            <v>9100054278</v>
          </cell>
          <cell r="B1307">
            <v>4228124</v>
          </cell>
          <cell r="J1307" t="str">
            <v>Сковорода 24 Maxima</v>
          </cell>
        </row>
        <row r="1308">
          <cell r="A1308">
            <v>9100054279</v>
          </cell>
          <cell r="B1308">
            <v>4228126</v>
          </cell>
          <cell r="J1308" t="str">
            <v>Сковорода 26 Maxima</v>
          </cell>
        </row>
        <row r="1309">
          <cell r="A1309">
            <v>9100054280</v>
          </cell>
          <cell r="B1309">
            <v>4228128</v>
          </cell>
          <cell r="J1309" t="str">
            <v>Сковорода 28 Maxima</v>
          </cell>
        </row>
        <row r="1310">
          <cell r="A1310">
            <v>9100054281</v>
          </cell>
          <cell r="B1310">
            <v>4228525</v>
          </cell>
          <cell r="J1310" t="str">
            <v>Сковорода для блинов 25 Maxima</v>
          </cell>
        </row>
        <row r="1311">
          <cell r="A1311">
            <v>9100054282</v>
          </cell>
          <cell r="B1311">
            <v>4228628</v>
          </cell>
          <cell r="J1311" t="str">
            <v>Сковорода ВОК 28 Maxima</v>
          </cell>
        </row>
        <row r="1312">
          <cell r="A1312">
            <v>3100518272</v>
          </cell>
          <cell r="B1312" t="str">
            <v>K3100212</v>
          </cell>
          <cell r="J1312" t="str">
            <v>Контейнер Tefal CLIP&amp;GO 1,2л K3100212</v>
          </cell>
        </row>
        <row r="1313">
          <cell r="A1313">
            <v>3100518098</v>
          </cell>
          <cell r="B1313">
            <v>518098</v>
          </cell>
          <cell r="J1313" t="str">
            <v>Ланч-бокс 1,2 л Clip&amp;Go</v>
          </cell>
        </row>
        <row r="1314">
          <cell r="A1314">
            <v>3100518275</v>
          </cell>
          <cell r="B1314" t="str">
            <v>K3100512</v>
          </cell>
          <cell r="J1314" t="str">
            <v>Контейнер Tefal CLIP&amp;GO 1л K3100512</v>
          </cell>
        </row>
        <row r="1315">
          <cell r="A1315">
            <v>3100518274</v>
          </cell>
          <cell r="B1315" t="str">
            <v>K3100412</v>
          </cell>
          <cell r="J1315" t="str">
            <v>Контейнер Tefal CLIP&amp;GO 1,2 л K3100412</v>
          </cell>
        </row>
        <row r="1316">
          <cell r="A1316">
            <v>3100518273</v>
          </cell>
          <cell r="B1316" t="str">
            <v>K3100312</v>
          </cell>
          <cell r="J1316" t="str">
            <v>Контейнер Tefal CLIP&amp;GO 1,2л K3100312</v>
          </cell>
        </row>
        <row r="1317">
          <cell r="A1317">
            <v>3100518278</v>
          </cell>
          <cell r="B1317" t="str">
            <v>K3100812</v>
          </cell>
          <cell r="J1317" t="str">
            <v>Контейнер Tefal CLIP&amp;GO 0,85л K3100812</v>
          </cell>
        </row>
        <row r="1318">
          <cell r="A1318">
            <v>3100518271</v>
          </cell>
          <cell r="B1318" t="str">
            <v>K3100112</v>
          </cell>
          <cell r="J1318" t="str">
            <v>Контейнер Tefal CLIP&amp;GO 1л K3100112</v>
          </cell>
        </row>
        <row r="1319">
          <cell r="A1319">
            <v>3100518276</v>
          </cell>
          <cell r="B1319" t="str">
            <v>K3100612</v>
          </cell>
          <cell r="J1319" t="str">
            <v>Контейнер Tefal CLIP&amp;GO  0,55 K3100612</v>
          </cell>
        </row>
        <row r="1320">
          <cell r="A1320">
            <v>3100517776</v>
          </cell>
          <cell r="B1320">
            <v>517776</v>
          </cell>
          <cell r="J1320" t="str">
            <v>Контейнер CLIP&amp;CLOSE MICRO прямоугольный 1,2 л</v>
          </cell>
        </row>
        <row r="1321">
          <cell r="A1321">
            <v>3100517773</v>
          </cell>
          <cell r="B1321">
            <v>517773</v>
          </cell>
          <cell r="J1321" t="str">
            <v>Контейнер CLIP&amp;CLOSE MICRO прямоугольный 1 л</v>
          </cell>
        </row>
        <row r="1322">
          <cell r="A1322">
            <v>3100517772</v>
          </cell>
          <cell r="B1322">
            <v>517772</v>
          </cell>
          <cell r="J1322" t="str">
            <v>Контейнер CLIP&amp;CLOSE MICRO прямоугольный 0,8 л</v>
          </cell>
        </row>
        <row r="1323">
          <cell r="A1323">
            <v>3100517771</v>
          </cell>
          <cell r="B1323">
            <v>517771</v>
          </cell>
          <cell r="J1323" t="str">
            <v>Контейнер CLIP&amp;CLOSE MICRO прямоугольный 0,55 л</v>
          </cell>
        </row>
        <row r="1324">
          <cell r="A1324">
            <v>3100514168</v>
          </cell>
          <cell r="B1324">
            <v>514168</v>
          </cell>
          <cell r="J1324" t="str">
            <v xml:space="preserve">Набор из 3 контейнеров CLIP&amp;CLOSE GLASS 0,5л/0,9л/2л </v>
          </cell>
        </row>
        <row r="1325">
          <cell r="A1325">
            <v>3100513922</v>
          </cell>
          <cell r="B1325">
            <v>513922</v>
          </cell>
          <cell r="J1325" t="str">
            <v>Контейнер CLIP&amp;CLOSE GLASS прямоугольный 3 л</v>
          </cell>
        </row>
        <row r="1326">
          <cell r="A1326">
            <v>3110600762</v>
          </cell>
          <cell r="B1326" t="str">
            <v>N1051110</v>
          </cell>
          <cell r="J1326" t="str">
            <v>Набор контейнеров Masterseal Glass 3x0,45 л</v>
          </cell>
        </row>
        <row r="1327">
          <cell r="A1327">
            <v>3100514170</v>
          </cell>
          <cell r="B1327">
            <v>514170</v>
          </cell>
          <cell r="J1327" t="str">
            <v>Набор из 3 контейнеров CLIP&amp;CLOSE GLASS 0,5л</v>
          </cell>
        </row>
        <row r="1328">
          <cell r="A1328">
            <v>3100517987</v>
          </cell>
          <cell r="B1328" t="str">
            <v>K3010512</v>
          </cell>
          <cell r="J1328" t="str">
            <v>Контейнер Clip&amp;Close Glass 2.0L Tefal K3010512</v>
          </cell>
        </row>
        <row r="1329">
          <cell r="A1329">
            <v>3100513921</v>
          </cell>
          <cell r="B1329">
            <v>513921</v>
          </cell>
          <cell r="J1329" t="str">
            <v>Контейнер CLIP&amp;CLOSE GLASS прямоугольный 2 л</v>
          </cell>
        </row>
        <row r="1330">
          <cell r="A1330">
            <v>3100517986</v>
          </cell>
          <cell r="B1330" t="str">
            <v>K3010412</v>
          </cell>
          <cell r="J1330" t="str">
            <v>Контейнер Clip&amp;Close Glass 1.3L Tefal K3010412</v>
          </cell>
        </row>
        <row r="1331">
          <cell r="A1331">
            <v>3100513920</v>
          </cell>
          <cell r="B1331">
            <v>513920</v>
          </cell>
          <cell r="J1331" t="str">
            <v>Контейнер CLIP&amp;CLOSE GLASS прямоугольный 1,3 л</v>
          </cell>
        </row>
        <row r="1332">
          <cell r="A1332">
            <v>3100516244</v>
          </cell>
          <cell r="B1332">
            <v>516244</v>
          </cell>
          <cell r="J1332" t="str">
            <v>Контейнер CLIP&amp;CLOSE GLASS прямоугольный 0,7 л</v>
          </cell>
        </row>
        <row r="1333">
          <cell r="A1333">
            <v>3100518004</v>
          </cell>
          <cell r="B1333" t="str">
            <v>K3010212</v>
          </cell>
          <cell r="J1333" t="str">
            <v>Контейнер стеклянный 0.5L Tefal K3010212</v>
          </cell>
        </row>
        <row r="1334">
          <cell r="A1334">
            <v>3100513918</v>
          </cell>
          <cell r="B1334">
            <v>513918</v>
          </cell>
          <cell r="J1334" t="str">
            <v>Контейнер CLIP&amp;CLOSE GLASS прямоугольный 0,5 л</v>
          </cell>
        </row>
        <row r="1335">
          <cell r="A1335">
            <v>3110600751</v>
          </cell>
          <cell r="B1335" t="str">
            <v>N1040410</v>
          </cell>
          <cell r="J1335" t="str">
            <v>Контейнер Masterseal Glass 0,9 л круглый</v>
          </cell>
        </row>
        <row r="1336">
          <cell r="A1336">
            <v>3110600760</v>
          </cell>
          <cell r="B1336" t="str">
            <v>N1041310</v>
          </cell>
          <cell r="J1336" t="str">
            <v>Контейнер Masterseal Glass 0,18 л квадратный</v>
          </cell>
        </row>
        <row r="1337">
          <cell r="A1337">
            <v>3110600761</v>
          </cell>
          <cell r="B1337" t="str">
            <v>N1041410</v>
          </cell>
          <cell r="J1337" t="str">
            <v>Контейнер Masterseal Glass 0,8 л квадратный</v>
          </cell>
        </row>
        <row r="1338">
          <cell r="A1338">
            <v>3110600752</v>
          </cell>
          <cell r="B1338" t="str">
            <v>N1040510</v>
          </cell>
          <cell r="J1338" t="str">
            <v>Контейнер Masterseal Glass 0,45 л</v>
          </cell>
        </row>
        <row r="1339">
          <cell r="A1339">
            <v>3110600753</v>
          </cell>
          <cell r="B1339" t="str">
            <v>N1040610</v>
          </cell>
          <cell r="J1339" t="str">
            <v>Контейнер Masterseal Glass 0,7 л</v>
          </cell>
        </row>
        <row r="1340">
          <cell r="A1340">
            <v>3110600755</v>
          </cell>
          <cell r="B1340" t="str">
            <v>N1040810</v>
          </cell>
          <cell r="J1340" t="str">
            <v>Контейнер Masterseal Glass 0,85 л</v>
          </cell>
        </row>
        <row r="1341">
          <cell r="A1341">
            <v>3110600756</v>
          </cell>
          <cell r="B1341" t="str">
            <v>N1040910</v>
          </cell>
          <cell r="J1341" t="str">
            <v>Контейнер Masterseal Glass 1,1 л</v>
          </cell>
        </row>
        <row r="1342">
          <cell r="A1342">
            <v>3110600757</v>
          </cell>
          <cell r="B1342" t="str">
            <v>N1041010</v>
          </cell>
          <cell r="J1342" t="str">
            <v>Контейнер Masterseal Glass 1,3 л</v>
          </cell>
        </row>
        <row r="1343">
          <cell r="A1343">
            <v>3110600758</v>
          </cell>
          <cell r="B1343" t="str">
            <v>N1041110</v>
          </cell>
          <cell r="J1343" t="str">
            <v>Контейнер Masterseal Glass 2 л</v>
          </cell>
        </row>
        <row r="1344">
          <cell r="A1344">
            <v>3110600759</v>
          </cell>
          <cell r="B1344" t="str">
            <v>N1041210</v>
          </cell>
          <cell r="J1344" t="str">
            <v>Контейнер Masterseal Glass 3 л</v>
          </cell>
        </row>
        <row r="1345">
          <cell r="A1345">
            <v>3110600764</v>
          </cell>
          <cell r="B1345" t="str">
            <v>F1050210</v>
          </cell>
          <cell r="J1345" t="str">
            <v>Набор контейнеров Masterseal Glass 0,45 + 0,8 + 2 л</v>
          </cell>
        </row>
        <row r="1346">
          <cell r="A1346">
            <v>3100515481</v>
          </cell>
          <cell r="B1346">
            <v>515481</v>
          </cell>
          <cell r="J1346" t="str">
            <v>Набор контейнеров CLIP&amp;CLOSE из 9 предметов (0,15/0,25/2 x 0,55/0,55*/1,00/1,10/2,30 л, * с отделениями)</v>
          </cell>
        </row>
        <row r="1347">
          <cell r="A1347">
            <v>3100515562</v>
          </cell>
          <cell r="B1347">
            <v>515562</v>
          </cell>
          <cell r="J1347" t="str">
            <v>Набор контейнеров CLIP&amp;CLOSE из 7 предметов (0,15/0,25/0,55/0,55*/1,00/2,30 л, * с отделениями)</v>
          </cell>
        </row>
        <row r="1348">
          <cell r="A1348">
            <v>3100512753</v>
          </cell>
          <cell r="B1348">
            <v>512753</v>
          </cell>
          <cell r="J1348" t="str">
            <v>Набор контейнеров CLIP&amp;CLOSE из 5 предметов (0,25/0,55/1,00/1,20/2,30 л)</v>
          </cell>
        </row>
        <row r="1349">
          <cell r="A1349">
            <v>3100508568</v>
          </cell>
          <cell r="B1349">
            <v>508568</v>
          </cell>
          <cell r="J1349" t="str">
            <v>Набор контейнеров CLIP&amp;CLOSE из 5 пр (0,15/0,25/0,55/1,00/3,70 л)</v>
          </cell>
        </row>
        <row r="1350">
          <cell r="A1350">
            <v>3110600856</v>
          </cell>
          <cell r="B1350" t="str">
            <v>N1030800</v>
          </cell>
          <cell r="J1350" t="str">
            <v>Emsa Color 4 PCS Set (0.20L/ 0.55L/ 0.80L/ 2.2L) Aqua Solid</v>
          </cell>
        </row>
        <row r="1351">
          <cell r="A1351">
            <v>3100517990</v>
          </cell>
          <cell r="B1351" t="str">
            <v>K3029012</v>
          </cell>
          <cell r="J1351" t="str">
            <v>Набор контейнеров 5шт Tefal K3029012</v>
          </cell>
        </row>
        <row r="1352">
          <cell r="A1352">
            <v>3100508567</v>
          </cell>
          <cell r="B1352">
            <v>508567</v>
          </cell>
          <cell r="J1352" t="str">
            <v xml:space="preserve">Набор из 3 контейнеров CLIP&amp;CLOSE 1л/2,3л/3,7л  </v>
          </cell>
        </row>
        <row r="1353">
          <cell r="A1353">
            <v>3100515585</v>
          </cell>
          <cell r="B1353">
            <v>515585</v>
          </cell>
          <cell r="J1353" t="str">
            <v xml:space="preserve">Набор из 3 контейнеров CLIP&amp;CLOSE 0,55л/1л/2,3л зеленый </v>
          </cell>
        </row>
        <row r="1354">
          <cell r="A1354">
            <v>3100515584</v>
          </cell>
          <cell r="B1354">
            <v>515584</v>
          </cell>
          <cell r="J1354" t="str">
            <v xml:space="preserve">Набор из 3 контейнеров CLIP&amp;CLOSE 0,55л/1л/2,3л малиновый </v>
          </cell>
        </row>
        <row r="1355">
          <cell r="A1355">
            <v>3100517989</v>
          </cell>
          <cell r="B1355" t="str">
            <v>K3028912</v>
          </cell>
          <cell r="J1355" t="str">
            <v>Набор контейнеров 3шт Tefal K3028912</v>
          </cell>
        </row>
        <row r="1356">
          <cell r="A1356">
            <v>3100508566</v>
          </cell>
          <cell r="B1356">
            <v>508566</v>
          </cell>
          <cell r="J1356" t="str">
            <v>Набор из 3 контейнеров CLIP&amp;CLOSE  0,5л/1л/2,3л</v>
          </cell>
        </row>
        <row r="1357">
          <cell r="A1357">
            <v>3100508558</v>
          </cell>
          <cell r="B1357">
            <v>508558</v>
          </cell>
          <cell r="J1357" t="str">
            <v>Набор из 3 контейнеров CLIP&amp;CLOSE 1л</v>
          </cell>
        </row>
        <row r="1358">
          <cell r="A1358">
            <v>3100508557</v>
          </cell>
          <cell r="B1358">
            <v>508557</v>
          </cell>
          <cell r="J1358" t="str">
            <v>Набор из 2 контейнеров CLIP&amp;CLOSE 1л/1,65 л</v>
          </cell>
        </row>
        <row r="1359">
          <cell r="A1359">
            <v>3100508570</v>
          </cell>
          <cell r="B1359">
            <v>508570</v>
          </cell>
          <cell r="J1359" t="str">
            <v>Набор из 3 контейнеров CLIP&amp;CLOSE 0,55л</v>
          </cell>
        </row>
        <row r="1360">
          <cell r="A1360">
            <v>3110600852</v>
          </cell>
          <cell r="B1360" t="str">
            <v>N1012800</v>
          </cell>
          <cell r="J1360" t="str">
            <v>Контейнер Emsa Color 2,2 л голубой</v>
          </cell>
        </row>
        <row r="1361">
          <cell r="A1361">
            <v>3100508553</v>
          </cell>
          <cell r="B1361">
            <v>508553</v>
          </cell>
          <cell r="J1361" t="str">
            <v>Контейнер CLIP&amp;CLOSE круглый 2 л</v>
          </cell>
        </row>
        <row r="1362">
          <cell r="A1362">
            <v>3100518012</v>
          </cell>
          <cell r="B1362" t="str">
            <v>K3021212</v>
          </cell>
          <cell r="J1362" t="str">
            <v>Контейнер Clip&amp;Close rect 1.20L Tefal K3021212</v>
          </cell>
        </row>
        <row r="1363">
          <cell r="A1363">
            <v>3100508540</v>
          </cell>
          <cell r="B1363">
            <v>508540</v>
          </cell>
          <cell r="J1363" t="str">
            <v>Контейнер CLIP&amp;CLOSE пласт. прямоуг. 1.0л</v>
          </cell>
        </row>
        <row r="1364">
          <cell r="A1364">
            <v>3100508537</v>
          </cell>
          <cell r="B1364">
            <v>508537</v>
          </cell>
          <cell r="J1364" t="str">
            <v>Контейнер CLIP&amp;CLOSE пласт. квадр. 1.75л</v>
          </cell>
        </row>
        <row r="1365">
          <cell r="A1365">
            <v>3110600849</v>
          </cell>
          <cell r="B1365" t="str">
            <v>N1012500</v>
          </cell>
          <cell r="J1365" t="str">
            <v>Контейнер Emsa Color 0,8 л голубой</v>
          </cell>
        </row>
        <row r="1366">
          <cell r="A1366">
            <v>3110600846</v>
          </cell>
          <cell r="B1366" t="str">
            <v>N1012200</v>
          </cell>
          <cell r="J1366" t="str">
            <v>Контейнер Emsa Color 0,55 л голубой</v>
          </cell>
        </row>
        <row r="1367">
          <cell r="A1367">
            <v>3100508542</v>
          </cell>
          <cell r="B1367">
            <v>508542</v>
          </cell>
          <cell r="J1367" t="str">
            <v xml:space="preserve">Контейнер CLIP &amp; CLOSE, прямоугольный, 1,2 л EMSA                                                                           </v>
          </cell>
        </row>
        <row r="1368">
          <cell r="A1368">
            <v>3100508536</v>
          </cell>
          <cell r="B1368">
            <v>508536</v>
          </cell>
          <cell r="J1368" t="str">
            <v>Контейнер CLIP&amp;CLOSE пласт. квадр. 0.85л</v>
          </cell>
        </row>
        <row r="1369">
          <cell r="A1369">
            <v>3100508539</v>
          </cell>
          <cell r="B1369">
            <v>508539</v>
          </cell>
          <cell r="J1369" t="str">
            <v xml:space="preserve">Контейнер CLIP &amp; CLOSE, прямоугольный, 0,8 л EMSA                                                                           </v>
          </cell>
        </row>
        <row r="1370">
          <cell r="A1370">
            <v>3100518018</v>
          </cell>
          <cell r="B1370" t="str">
            <v>K3021812</v>
          </cell>
          <cell r="J1370" t="str">
            <v>Контейнер Clip&amp;Close rect 0.80L Tefal K3021812</v>
          </cell>
        </row>
        <row r="1371">
          <cell r="A1371">
            <v>3100518011</v>
          </cell>
          <cell r="B1371" t="str">
            <v>K3021112</v>
          </cell>
          <cell r="J1371" t="str">
            <v>Контейнер Clip&amp;Close 0.55L Tefal K3021112</v>
          </cell>
        </row>
        <row r="1372">
          <cell r="A1372">
            <v>3100508551</v>
          </cell>
          <cell r="B1372">
            <v>508551</v>
          </cell>
          <cell r="J1372" t="str">
            <v>Контейнер CLIP&amp;CLOSE круглый 0,35 л</v>
          </cell>
        </row>
        <row r="1373">
          <cell r="A1373">
            <v>3100508538</v>
          </cell>
          <cell r="B1373">
            <v>508538</v>
          </cell>
          <cell r="J1373" t="str">
            <v>Контейнер CLIP&amp;CLOSE пласт. прямоуг. 0.55л</v>
          </cell>
        </row>
        <row r="1374">
          <cell r="A1374">
            <v>3100508552</v>
          </cell>
          <cell r="B1374">
            <v>508552</v>
          </cell>
          <cell r="J1374" t="str">
            <v>Контейнер CLIP&amp;CLOSE круглый 0,85 л EMSA</v>
          </cell>
        </row>
        <row r="1375">
          <cell r="A1375">
            <v>3100508535</v>
          </cell>
          <cell r="B1375">
            <v>508535</v>
          </cell>
          <cell r="J1375" t="str">
            <v>Контейнер CLIP&amp;CLOSE пласт. квадр. 0.25л</v>
          </cell>
        </row>
        <row r="1376">
          <cell r="A1376">
            <v>3100518013</v>
          </cell>
          <cell r="B1376" t="str">
            <v>K3021302</v>
          </cell>
          <cell r="J1376" t="str">
            <v>Контейнер Tefal Masterseal Fresh 1,1л прямоугольный</v>
          </cell>
        </row>
        <row r="1377">
          <cell r="A1377">
            <v>3100518021</v>
          </cell>
          <cell r="B1377" t="str">
            <v>K3022112</v>
          </cell>
          <cell r="J1377" t="str">
            <v>Контейнер Tefal Masterseal Fresh 0,85л квадратный</v>
          </cell>
        </row>
        <row r="1378">
          <cell r="A1378">
            <v>3100518023</v>
          </cell>
          <cell r="B1378" t="str">
            <v>K3022312</v>
          </cell>
          <cell r="J1378" t="str">
            <v>Контейнер Tefal Masterseal Fresh 0,85л круглый</v>
          </cell>
        </row>
        <row r="1379">
          <cell r="A1379">
            <v>3100518014</v>
          </cell>
          <cell r="B1379" t="str">
            <v>K3021412</v>
          </cell>
          <cell r="J1379" t="str">
            <v>Контейнер Tefal Masterseal Fresh 1,2л прямоугольный</v>
          </cell>
        </row>
        <row r="1380">
          <cell r="A1380">
            <v>3110601368</v>
          </cell>
          <cell r="B1380" t="str">
            <v>N1033110</v>
          </cell>
          <cell r="J1380" t="str">
            <v>Набор 3 контейнеров (1,2 л х 3)</v>
          </cell>
        </row>
        <row r="1381">
          <cell r="A1381">
            <v>2820509032</v>
          </cell>
          <cell r="B1381" t="str">
            <v>QA509D32</v>
          </cell>
          <cell r="J1381" t="str">
            <v>КУХОННАЯ МАШИНА MOULINEX. МОЩНОСТЬ 900 ВТ. 6 СКОРОСТЕЙ, ПУЛЬС. ЧАША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В КОМПЛЕКТЕ: МЯСОРУБКА С 2 РЕШЕТКАМИ, МУЛЬТИРЕЗКА С 4 НАСАДКАМИ ДЛЯ ТЕРКИ, ШИНКОВКИ, "ДРАНИКОВ", КУБИКОВ; СТАЦИОНАРНЫЙ БЛЕНДЕР, МИНИ-ИЗМЕЛЬЧИТЕЛЬ.  СДЕЛАНО В КНР.</v>
          </cell>
        </row>
        <row r="1382">
          <cell r="A1382">
            <v>7211004699</v>
          </cell>
          <cell r="B1382" t="str">
            <v>QA613DB1</v>
          </cell>
          <cell r="J1382" t="str">
            <v xml:space="preserve">КУХОННАЯ МАШИНА MOULINEX. МОЩНОСТЬ 1100 ВТ. КОРПУС ВЫПОЛНЕН ИЗ ЛИТОГО АЛЮМИНИЯ. 8 СКОРОСТЕЙ, ПУЛЬС. ЧАША С РУЧКОЙ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НАСАДКИ ДЛЯ ТЕРКИ, ШИНКОВКИ, ДРАНИКОВ. СТАЦИОНАРНЫЙ БЛЕНДЕР ИЗ НЕРЖАВЕЮЩЕЙ СТАЛИ ОБЪЕМОМ 1,5Л. МИНИ-ИЗМЕЛЬЧИТЕЛЬ. НАБОР НАСАДОК ДЛЯ ПРИГОТОВЛЕНИЯ ДОМАШНЕЙ ПАСТЫ. КНИГА РЕЦЕПТОВ.  </v>
          </cell>
        </row>
        <row r="1383">
          <cell r="A1383">
            <v>7211004674</v>
          </cell>
          <cell r="B1383" t="str">
            <v>QA530G10</v>
          </cell>
          <cell r="J1383" t="str">
            <v>КУХОННАЯ МАШИНА MOULINEX. МОЩНОСТЬ 1100 ВТ. 8 СКОРОСТЕЙ, ПУЛЬС. ЧАША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СКЛАДНАЯ СИЛИКОНОВАЯ ЧАША И НАСАДКА ДЛЯ ДЕЛИКАТНОГО СМЕШИВАНИЯ.</v>
          </cell>
        </row>
        <row r="1384">
          <cell r="A1384">
            <v>7211004682</v>
          </cell>
          <cell r="B1384" t="str">
            <v>QA519D32</v>
          </cell>
          <cell r="J1384" t="str">
            <v>КУХОННАЯ МАШИНА MOULINEX. МОЩНОСТЬ 1100 ВТ. 8 СКОРОСТЕЙ, ПУЛЬС. ЧАША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В КОМПЛЕКТЕ: МЯСОРУБКА С 2 РЕШЕТКАМИ, МУЛЬТИРЕЗКА С 4 НАСАДКАМИ ДЛЯ ТЕРКИ, ШИНКОВКИ, "ДРАНИКОВ", КУБИКОВ; СТАЦИОНАРНЫЙ БЛЕНДЕР.  СДЕЛАНО В КНР.</v>
          </cell>
        </row>
        <row r="1385">
          <cell r="A1385">
            <v>7211004683</v>
          </cell>
          <cell r="B1385" t="str">
            <v>QA51AD10</v>
          </cell>
          <cell r="J1385" t="str">
            <v>КУХОННАЯ МАШИНА MOULINEX. МОЩНОСТЬ 1100 ВТ. 8 СКОРОСТЕЙ, ПУЛЬС. ЧАША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 В КОМПЛЕКТЕ: МЯСОРУБКА С 2 РЕШЕТКАМИ, МУЛЬТИРЕЗКА С 3 НАСАДКАМИ ДЛЯ ТЕРКИ, ШИНКОВКИ, ПАРМЕЗАНА; СТАЦИОНАРНЫЙ БЛЕНДЕР.  СДЕЛАНО В КНР.</v>
          </cell>
        </row>
        <row r="1386">
          <cell r="A1386">
            <v>7211004688</v>
          </cell>
          <cell r="B1386" t="str">
            <v>QA510110</v>
          </cell>
          <cell r="J1386" t="str">
            <v>КУХОННАЯ МАШИНА MOULINEX. МОЩНОСТЬ 1100 ВТ. 8 СКОРОСТЕЙ, ПУЛЬС. ЧАША ИЗ НЕРЖАВЕЮЩЕЙ СТАЛИ ОБЪЕМОМ 4,6Л С КРЫШКОЙ ДЛЯ ЗАЩИТЫ ОТ РАЗБРЫЗГИВАНИЯ. МЕТАЛЛИЧЕСКИЕ НАСАДКИ ПРОФЕССИОНАЛЬНОГО КАЧЕСТВА ДЛЯ ЗАМЕШИВАНИЯ ТЕСТА. ЗАПАТЕНТОВАННЫЙ УДЛИНЕННЫЙ ВЕНЧИК ДЛЯ ЭФФЕКТИВНОГО СМЕШИВАНИЯ ИНГРЕДИЕНТОВ. "ПЛАНЕТАРНАЯ" СИСТЕМА СМЕШИВАНИЯ ИНГРЕДИЕНТОВ.</v>
          </cell>
        </row>
        <row r="1387">
          <cell r="A1387">
            <v>8010001135</v>
          </cell>
          <cell r="B1387" t="str">
            <v>QA151810</v>
          </cell>
          <cell r="J1387" t="str">
            <v>КУХОННАЯ МАШИНА MASTERCHEF ESSENTIAL</v>
          </cell>
        </row>
        <row r="1388">
          <cell r="A1388">
            <v>8010000956</v>
          </cell>
          <cell r="B1388" t="str">
            <v>QA150110</v>
          </cell>
          <cell r="J1388" t="str">
            <v>КУХОННАЯ МАШИНА MASTERCHEF ESSENTIAL</v>
          </cell>
        </row>
        <row r="1389">
          <cell r="A1389">
            <v>7211001873</v>
          </cell>
          <cell r="B1389" t="str">
            <v>FP211110</v>
          </cell>
          <cell r="J1389" t="str">
            <v>КУХОННЫЙ КОМБАЙН EASYFORCE, ЦВЕТ - БЕЛЫЙ, 500 ВТ, ЧАША 1,5 Л, 2 СКОРОСТИ+ИМПУЛЬСНЫЙ РЕЖИМ</v>
          </cell>
        </row>
        <row r="1390">
          <cell r="A1390">
            <v>2100133545</v>
          </cell>
          <cell r="B1390" t="str">
            <v>B7021002</v>
          </cell>
          <cell r="J1390" t="str">
            <v>Блинная сковорода 25 красная</v>
          </cell>
        </row>
        <row r="1391">
          <cell r="A1391">
            <v>2100133552</v>
          </cell>
          <cell r="B1391" t="str">
            <v>B0141002</v>
          </cell>
          <cell r="J1391" t="str">
            <v>Блинная сковорода 25 Сердце</v>
          </cell>
        </row>
        <row r="1392">
          <cell r="A1392">
            <v>2100130772</v>
          </cell>
          <cell r="B1392" t="str">
            <v>B9261002</v>
          </cell>
          <cell r="J1392" t="str">
            <v>Блинная сковорода 25 Банан и Шоколад</v>
          </cell>
        </row>
        <row r="1393">
          <cell r="A1393">
            <v>3100514508</v>
          </cell>
          <cell r="B1393">
            <v>514508</v>
          </cell>
          <cell r="J1393" t="str">
            <v>Термос-чайник  MAMBO 1.0л, оранжевый</v>
          </cell>
        </row>
        <row r="1394">
          <cell r="A1394">
            <v>3100514506</v>
          </cell>
          <cell r="B1394">
            <v>514506</v>
          </cell>
          <cell r="J1394" t="str">
            <v>Термос-чайник  MAMBO 1.0л, синий</v>
          </cell>
        </row>
        <row r="1395">
          <cell r="A1395">
            <v>3100514504</v>
          </cell>
          <cell r="B1395">
            <v>514504</v>
          </cell>
          <cell r="J1395" t="str">
            <v>Термос-чайник  MAMBO 1.0л, антрацит</v>
          </cell>
        </row>
        <row r="1396">
          <cell r="A1396">
            <v>3100514503</v>
          </cell>
          <cell r="B1396">
            <v>514503</v>
          </cell>
          <cell r="J1396" t="str">
            <v>Термос-чайник  MAMBO 1.0л, красный</v>
          </cell>
        </row>
        <row r="1397">
          <cell r="A1397">
            <v>7211004910</v>
          </cell>
          <cell r="B1397" t="str">
            <v>TT883D10</v>
          </cell>
          <cell r="J1397" t="str">
            <v>Тостер Tefal Majestuo, Интуитивно понятное управление, Тостер с двумя отделениями и 7 уровнями подрумянивания, Сохранение до 2 любимых настроек, Быстрый нагрев и экономия энергии, Высокое поднятие тоста, Размораживание, Разогрев, Съемный лоток для крошек, Подогрев выпечки, TT883D10</v>
          </cell>
        </row>
        <row r="1398">
          <cell r="A1398">
            <v>7211004904</v>
          </cell>
          <cell r="B1398" t="str">
            <v>CM883D10</v>
          </cell>
          <cell r="J1398" t="str">
            <v>Тостер с двумя отделениями Moulinex Morning, 7 уровней подрумянивания, Функция "Стоп", Высокое поднятие тоста, Съемный лоток для крошек, Широкие отделения, Стильный дизайн, LT2M0810</v>
          </cell>
        </row>
        <row r="1399">
          <cell r="A1399">
            <v>7211004901</v>
          </cell>
          <cell r="B1399" t="str">
            <v>KI883D10</v>
          </cell>
          <cell r="J1399" t="str">
            <v>Автоматическая кофемашина KRUPS Sensation C50, Удобно использовать, Легко обслуживать, Световая индикация, Простота очистки, Персональные настройки, EA910810</v>
          </cell>
        </row>
        <row r="1400">
          <cell r="A1400">
            <v>1830008350</v>
          </cell>
          <cell r="B1400" t="str">
            <v>BS1438V0</v>
          </cell>
          <cell r="J1400" t="str">
            <v>Напольные весы Premiss BS1438V0</v>
          </cell>
        </row>
        <row r="1401">
          <cell r="A1401">
            <v>1830008358</v>
          </cell>
          <cell r="B1401" t="str">
            <v>TN9118F0</v>
          </cell>
          <cell r="J1401" t="str">
            <v>TRIM &amp; STYLE 11 IN 1</v>
          </cell>
        </row>
        <row r="1402">
          <cell r="A1402">
            <v>1830006975</v>
          </cell>
          <cell r="B1402" t="str">
            <v>FV1844E0</v>
          </cell>
          <cell r="J1402" t="str">
            <v>УТЮГ TEFAL MAESTRO, 2400 ВТ, КЕРАМИЧЕСКАЯ ПОДОШВА EASY GLIDING , РЕГУЛИРУЕМЫЙ ПАР 0-35Г/МИН, ПАРОВОЙ УДАР 110 Г/МИН, ПРОТИВОКАПЕЛЬНАЯ СИСТЕМА, ВЕРТИКАЛЬНЫЙ ПАР, РЕЗЕРВУАР ДЛЯ ВОДЫ 270 МЛ,  ИНТЕГРИРОВАННАЯ ЗАЩИТА ОТ НАКИПИ ANTI SCALE SYSTEM, САМООЧИСТКА, ПРОТИВОИЗВЕСТКОВЫЙ СТЕРЖЕНЬ, СПРЕЙ.</v>
          </cell>
        </row>
        <row r="1403">
          <cell r="A1403">
            <v>1830007074</v>
          </cell>
          <cell r="B1403" t="str">
            <v>FV1846E0</v>
          </cell>
          <cell r="J1403" t="str">
            <v>УТЮГ TEFAL MAESTRO, 2300 ВТ, АВТООТКЛЮЧЕНИЕ, КЕРАМИЧЕСКАЯ ПОДОШВА EASY GLIDING , РЕГУЛИРУЕМЫЙ ПАР ДО 35Г/МИН, ПАРОВОЙ УДАР ДО 120 Г/МИН, ПРОТИВОКАПЕЛЬНАЯ СИСТЕМА, ВЕРТИКАЛЬНЫЙ ПАР, РЕЗЕРВУАР ДЛЯ ВОДЫ 270 МЛ,  ИНТЕГРИРОВАННАЯ ЗАЩИТА ОТ НАКИПИ ANTI SCALE SYSTEM, САМООЧИСТКА, ПРОТИВОИЗВЕСТКОВЫЙ СТЕРЖЕНЬ, СПРЕЙ.</v>
          </cell>
        </row>
        <row r="1404">
          <cell r="A1404">
            <v>1830007075</v>
          </cell>
          <cell r="B1404" t="str">
            <v>FV1849E0</v>
          </cell>
          <cell r="J1404" t="str">
            <v>УТЮГ TEFAL MAESTRO, 2300 ВТ, АВТООТКЛЮЧЕНИЕ, КЕРАМИЧЕСКАЯ ПОДОШВА EASY GLIDING , РЕГУЛИРУЕМЫЙ ПАР ДО 35Г/МИН, ПАРОВОЙ УДАР ДО 120 Г/МИН, ПРОТИВОКАПЕЛЬНАЯ СИСТЕМА, ВЕРТИКАЛЬНЫЙ ПАР, РЕЗЕРВУАР ДЛЯ ВОДЫ 270 МЛ,  ИНТЕГРИРОВАННАЯ ЗАЩИТА ОТ НАКИПИ ANTI SCALE SYSTEM, САМООЧИСТКА, ПРОТИВОИЗВЕСТКОВЫЙ СТЕРЖЕНЬ, СПРЕЙ.</v>
          </cell>
        </row>
        <row r="1405">
          <cell r="A1405">
            <v>9100039784</v>
          </cell>
          <cell r="B1405">
            <v>4202126</v>
          </cell>
          <cell r="J1405" t="str">
            <v>Сковорода 26 см Luminens</v>
          </cell>
        </row>
        <row r="1406">
          <cell r="A1406">
            <v>9100049047</v>
          </cell>
          <cell r="B1406">
            <v>4224122</v>
          </cell>
          <cell r="J1406" t="str">
            <v>Сковорода 22 см Luminens</v>
          </cell>
        </row>
        <row r="1407">
          <cell r="A1407">
            <v>9100039782</v>
          </cell>
          <cell r="B1407">
            <v>4202122</v>
          </cell>
          <cell r="J1407" t="str">
            <v>Сковорода 22 см Luminens</v>
          </cell>
        </row>
        <row r="1408">
          <cell r="A1408">
            <v>9100049050</v>
          </cell>
          <cell r="B1408">
            <v>4224128</v>
          </cell>
          <cell r="J1408" t="str">
            <v>Сковорода 28 см Luminens</v>
          </cell>
        </row>
        <row r="1409">
          <cell r="A1409">
            <v>9100049049</v>
          </cell>
          <cell r="B1409">
            <v>4224126</v>
          </cell>
          <cell r="J1409" t="str">
            <v>Сковорода 26 см Luminens</v>
          </cell>
        </row>
        <row r="1410">
          <cell r="A1410">
            <v>9100049048</v>
          </cell>
          <cell r="B1410">
            <v>4224124</v>
          </cell>
          <cell r="J1410" t="str">
            <v>Сковорода 24 см Luminens</v>
          </cell>
        </row>
        <row r="1411">
          <cell r="A1411">
            <v>9100049051</v>
          </cell>
          <cell r="B1411">
            <v>4224525</v>
          </cell>
          <cell r="J1411" t="str">
            <v>Сковорода для блинов 25 см Luminens</v>
          </cell>
        </row>
        <row r="1412">
          <cell r="A1412">
            <v>9100054283</v>
          </cell>
          <cell r="B1412">
            <v>4229122</v>
          </cell>
          <cell r="J1412" t="str">
            <v>Сковорода 22 см Luminens</v>
          </cell>
        </row>
        <row r="1413">
          <cell r="A1413">
            <v>9100054284</v>
          </cell>
          <cell r="B1413">
            <v>4229124</v>
          </cell>
          <cell r="J1413" t="str">
            <v>Сковорода 24 см Luminens</v>
          </cell>
        </row>
        <row r="1414">
          <cell r="A1414">
            <v>9100054285</v>
          </cell>
          <cell r="B1414">
            <v>4229126</v>
          </cell>
          <cell r="J1414" t="str">
            <v>Сковорода 26 см Luminens</v>
          </cell>
        </row>
        <row r="1415">
          <cell r="A1415">
            <v>9100054286</v>
          </cell>
          <cell r="B1415">
            <v>4229128</v>
          </cell>
          <cell r="J1415" t="str">
            <v>Сковорода 28 см Luminens</v>
          </cell>
        </row>
        <row r="1416">
          <cell r="A1416">
            <v>9100054287</v>
          </cell>
          <cell r="B1416">
            <v>4229525</v>
          </cell>
          <cell r="J1416" t="str">
            <v>Сковорода для блинов 25 см Luminens</v>
          </cell>
        </row>
        <row r="1417">
          <cell r="A1417">
            <v>3200001442</v>
          </cell>
          <cell r="B1417">
            <v>414190711</v>
          </cell>
          <cell r="J1417" t="str">
            <v xml:space="preserve">ТОСТЕР LONG SLOT LUMERO
</v>
          </cell>
        </row>
        <row r="1418">
          <cell r="A1418">
            <v>3200001158</v>
          </cell>
          <cell r="B1418">
            <v>412320711</v>
          </cell>
          <cell r="J1418" t="str">
            <v>Кофеварка со стеклянной колбой LUMERO Glass Coffee</v>
          </cell>
        </row>
        <row r="1419">
          <cell r="A1419">
            <v>3200001209</v>
          </cell>
          <cell r="B1419">
            <v>412360711</v>
          </cell>
          <cell r="J1419"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метал + черный пластик. В комплекте : металлический контейнер для молока, фильтр для воды, таблетки для чистки варочного механизма.</v>
          </cell>
        </row>
        <row r="1420">
          <cell r="A1420">
            <v>3200000446</v>
          </cell>
          <cell r="B1420">
            <v>412360011</v>
          </cell>
          <cell r="J1420"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хромированный алюминий + черный пластик. В комплекте : металлический контейнер для молока, фильтр для воды, таблетки для чистки варочного механизма.</v>
          </cell>
        </row>
        <row r="1421">
          <cell r="A1421">
            <v>7211004764</v>
          </cell>
          <cell r="B1421">
            <v>413260711</v>
          </cell>
          <cell r="J1421" t="str">
            <v xml:space="preserve">Электрический заварочный чайник LUMERO 1,7 л. </v>
          </cell>
        </row>
        <row r="1422">
          <cell r="A1422">
            <v>3200001440</v>
          </cell>
          <cell r="B1422">
            <v>413260711</v>
          </cell>
          <cell r="J1422" t="str">
            <v xml:space="preserve">Электрический заварочный чайник LUMERO 1,7 л. </v>
          </cell>
        </row>
        <row r="1423">
          <cell r="A1423">
            <v>3200001446</v>
          </cell>
          <cell r="B1423">
            <v>415480711</v>
          </cell>
          <cell r="J1423" t="str">
            <v>Мультифункциональная станция 3в1 - Гриль, Раклет и Фондю</v>
          </cell>
        </row>
        <row r="1424">
          <cell r="A1424">
            <v>2100128202</v>
          </cell>
          <cell r="B1424" t="str">
            <v>E2590604</v>
          </cell>
          <cell r="J1424" t="str">
            <v>Овальная кастрюля бежевая 34 см LOV</v>
          </cell>
        </row>
        <row r="1425">
          <cell r="A1425">
            <v>2100128199</v>
          </cell>
          <cell r="B1425" t="str">
            <v>E2580404</v>
          </cell>
          <cell r="J1425" t="str">
            <v xml:space="preserve">Кастрюля зеленая 25 см LOV </v>
          </cell>
        </row>
        <row r="1426">
          <cell r="A1426">
            <v>2100128201</v>
          </cell>
          <cell r="B1426" t="str">
            <v>E2587204</v>
          </cell>
          <cell r="J1426" t="str">
            <v>Сотейник зеленый 28 см LOV</v>
          </cell>
        </row>
        <row r="1427">
          <cell r="A1427">
            <v>2100128200</v>
          </cell>
          <cell r="B1427" t="str">
            <v>E2580504</v>
          </cell>
          <cell r="J1427" t="str">
            <v xml:space="preserve">Кастрюля зеленая 29 см LOV </v>
          </cell>
        </row>
        <row r="1428">
          <cell r="A1428">
            <v>2100128198</v>
          </cell>
          <cell r="B1428" t="str">
            <v>E2580604</v>
          </cell>
          <cell r="J1428" t="str">
            <v>Овальная кастрюля зеленая 34 см LOV</v>
          </cell>
        </row>
        <row r="1429">
          <cell r="A1429">
            <v>2100128207</v>
          </cell>
          <cell r="B1429" t="str">
            <v>E2600404</v>
          </cell>
          <cell r="J1429" t="str">
            <v xml:space="preserve">Кастрюля оранжевая 25 см LOV </v>
          </cell>
        </row>
        <row r="1430">
          <cell r="A1430">
            <v>2100128209</v>
          </cell>
          <cell r="B1430" t="str">
            <v>E2607204</v>
          </cell>
          <cell r="J1430" t="str">
            <v>Сотейник оранжевый 28 см LOV</v>
          </cell>
        </row>
        <row r="1431">
          <cell r="A1431">
            <v>2100128208</v>
          </cell>
          <cell r="B1431" t="str">
            <v>E2600504</v>
          </cell>
          <cell r="J1431" t="str">
            <v xml:space="preserve">Кастрюля оранжевая 29 см LOV </v>
          </cell>
        </row>
        <row r="1432">
          <cell r="A1432">
            <v>2100128206</v>
          </cell>
          <cell r="B1432" t="str">
            <v>E2600604</v>
          </cell>
          <cell r="J1432" t="str">
            <v>Овальная кастрюля оранжевая 34 см LOV</v>
          </cell>
        </row>
        <row r="1433">
          <cell r="A1433">
            <v>2100128203</v>
          </cell>
          <cell r="B1433" t="str">
            <v>E2590404</v>
          </cell>
          <cell r="J1433" t="str">
            <v xml:space="preserve">Кастрюля бежевая 25 см LOV </v>
          </cell>
        </row>
        <row r="1434">
          <cell r="A1434">
            <v>2100128204</v>
          </cell>
          <cell r="B1434" t="str">
            <v>E2590504</v>
          </cell>
          <cell r="J1434" t="str">
            <v xml:space="preserve">Кастрюля бежевая 29 см LOV </v>
          </cell>
        </row>
        <row r="1435">
          <cell r="A1435">
            <v>2100128205</v>
          </cell>
          <cell r="B1435" t="str">
            <v>E2597204</v>
          </cell>
          <cell r="J1435" t="str">
            <v>Сотейник бежевый 28 см LOV</v>
          </cell>
        </row>
        <row r="1436">
          <cell r="A1436">
            <v>2100134248</v>
          </cell>
          <cell r="B1436" t="str">
            <v>E2600405</v>
          </cell>
          <cell r="J1436" t="str">
            <v xml:space="preserve">Кастрюля оранжевая 25 см LOV </v>
          </cell>
        </row>
        <row r="1437">
          <cell r="A1437">
            <v>2100134250</v>
          </cell>
          <cell r="B1437" t="str">
            <v>E2607205</v>
          </cell>
          <cell r="J1437" t="str">
            <v>Сотейник оранжевый 28 см LOV</v>
          </cell>
        </row>
        <row r="1438">
          <cell r="A1438">
            <v>2100134249</v>
          </cell>
          <cell r="B1438" t="str">
            <v>E2600505</v>
          </cell>
          <cell r="J1438" t="str">
            <v xml:space="preserve">Кастрюля оранжевая 29 см LOV </v>
          </cell>
        </row>
        <row r="1439">
          <cell r="A1439">
            <v>2100134247</v>
          </cell>
          <cell r="B1439" t="str">
            <v>E2600605</v>
          </cell>
          <cell r="J1439" t="str">
            <v>Овальная кастрюля оранжевая 34 см LOV</v>
          </cell>
        </row>
        <row r="1440">
          <cell r="A1440">
            <v>2100134240</v>
          </cell>
          <cell r="B1440" t="str">
            <v>E2590405</v>
          </cell>
          <cell r="J1440" t="str">
            <v xml:space="preserve">Кастрюля бежевая 25 см LOV </v>
          </cell>
        </row>
        <row r="1441">
          <cell r="A1441">
            <v>2100134063</v>
          </cell>
          <cell r="B1441" t="str">
            <v>E2590505</v>
          </cell>
          <cell r="J1441" t="str">
            <v xml:space="preserve">Кастрюля бежевая 29 см LOV </v>
          </cell>
        </row>
        <row r="1442">
          <cell r="A1442">
            <v>2100134241</v>
          </cell>
          <cell r="B1442" t="str">
            <v>E2597205</v>
          </cell>
          <cell r="J1442" t="str">
            <v>Сотейник бежевый 28 см LOV</v>
          </cell>
        </row>
        <row r="1443">
          <cell r="A1443">
            <v>2100134062</v>
          </cell>
          <cell r="B1443" t="str">
            <v>E2590605</v>
          </cell>
          <cell r="J1443" t="str">
            <v>Овальная кастрюля бежевая 34 см LOV</v>
          </cell>
        </row>
        <row r="1444">
          <cell r="A1444">
            <v>2100134244</v>
          </cell>
          <cell r="B1444" t="str">
            <v>E2580405</v>
          </cell>
          <cell r="J1444" t="str">
            <v xml:space="preserve">Кастрюля зеленая 25 см LOV </v>
          </cell>
        </row>
        <row r="1445">
          <cell r="A1445">
            <v>2100134246</v>
          </cell>
          <cell r="B1445" t="str">
            <v>E2587205</v>
          </cell>
          <cell r="J1445" t="str">
            <v>Сотейник зеленый 28 см LOV</v>
          </cell>
        </row>
        <row r="1446">
          <cell r="A1446">
            <v>2100134245</v>
          </cell>
          <cell r="B1446" t="str">
            <v>E2580505</v>
          </cell>
          <cell r="J1446" t="str">
            <v xml:space="preserve">Кастрюля зеленая 29 см LOV </v>
          </cell>
        </row>
        <row r="1447">
          <cell r="A1447">
            <v>2100134243</v>
          </cell>
          <cell r="B1447" t="str">
            <v>E2580605</v>
          </cell>
          <cell r="J1447" t="str">
            <v>Овальная кастрюля зеленая 34 см LOV</v>
          </cell>
        </row>
        <row r="1448">
          <cell r="A1448">
            <v>3200000496</v>
          </cell>
          <cell r="B1448">
            <v>413170711</v>
          </cell>
          <cell r="J1448" t="str">
            <v>Капучинатор  LONO Milk&amp;Choc</v>
          </cell>
        </row>
        <row r="1449">
          <cell r="A1449">
            <v>3200000596</v>
          </cell>
          <cell r="B1449">
            <v>415230711</v>
          </cell>
          <cell r="J1449" t="str">
            <v>ЭЛЕКТРИЧЕСКИЙ ПОДОГРЕВАТЕЛЬ БУТЫЛОЧЕК LONO</v>
          </cell>
        </row>
        <row r="1450">
          <cell r="A1450">
            <v>3200001810</v>
          </cell>
          <cell r="B1450">
            <v>414140711</v>
          </cell>
          <cell r="J1450" t="str">
            <v>Тостер со стеклянными стенками LONO</v>
          </cell>
        </row>
        <row r="1451">
          <cell r="A1451">
            <v>3200000492</v>
          </cell>
          <cell r="B1451">
            <v>414090711</v>
          </cell>
          <cell r="J1451" t="str">
            <v>ЭЛЕКТРИЧЕСКИЙ ТОСТЕР LONO</v>
          </cell>
        </row>
        <row r="1452">
          <cell r="A1452">
            <v>3200000491</v>
          </cell>
          <cell r="B1452">
            <v>413160711</v>
          </cell>
          <cell r="J1452" t="str">
            <v>Электрический чайник (заварочный чайник) LONO</v>
          </cell>
        </row>
        <row r="1453">
          <cell r="A1453">
            <v>3200000484</v>
          </cell>
          <cell r="B1453">
            <v>413150711</v>
          </cell>
          <cell r="J1453" t="str">
            <v>Электрический чайник LONO 1.7 л</v>
          </cell>
        </row>
        <row r="1454">
          <cell r="A1454">
            <v>3200001206</v>
          </cell>
          <cell r="B1454">
            <v>413210711</v>
          </cell>
          <cell r="J1454" t="str">
            <v xml:space="preserve">Чайник с двойными стенками LONO
</v>
          </cell>
        </row>
        <row r="1455">
          <cell r="A1455">
            <v>3200000493</v>
          </cell>
          <cell r="B1455">
            <v>413130711</v>
          </cell>
          <cell r="J1455" t="str">
            <v>Электрический чайник LONO 1.6 л</v>
          </cell>
        </row>
        <row r="1456">
          <cell r="A1456">
            <v>1830008072</v>
          </cell>
          <cell r="B1456" t="str">
            <v xml:space="preserve">TN1700D8 </v>
          </cell>
          <cell r="J1456" t="str">
            <v>Машинка для стрижки Rowenta Logic TN1700D8 . Длина регулируется при помощи рычажка на корпусе (1, 1,5 и 2 мм) и четырёх съёмных насадок-гребней (3, 6, 9, и 12 мм). Щеточка для очистки и масло в комплекте. Длина сетевого шнура – 1,8 м, петля для подвешивания, шарнирный шнур.</v>
          </cell>
        </row>
        <row r="1457">
          <cell r="A1457">
            <v>7211003936</v>
          </cell>
          <cell r="B1457" t="str">
            <v>TT761138</v>
          </cell>
          <cell r="J1457" t="str">
            <v xml:space="preserve">ТОСТЕР LOFT, МОЩНОСТЬ 850 ВТ, 7 СТЕПЕНЕЙ ПОДЖАРИВАНИЯ ТОСТОВ, КНОПКИ "СТОП", "ПОДОГРЕВ", "РАЗМОРОЗКА", ВЫСОКИЙ ПОДЪЕМ ТОСТОВ, СЪЕМНЫЙ ПОДДОН ДЛЯ КРОШЕК, МАТЕРИАЛ КОРПУСА - ПЛАСТИК. ЦВЕТ - БЕЛЫЙ.     </v>
          </cell>
        </row>
        <row r="1458">
          <cell r="A1458">
            <v>7211003356</v>
          </cell>
          <cell r="B1458" t="str">
            <v>KO250130</v>
          </cell>
          <cell r="J1458" t="str">
            <v>Пластиковый чайник Tefal Loft, мощность 2400 Вт, объем 1,7 литра, фильтр против накипи, индикатор уровня воды, скрытый нагревательный элемент, материал - пластик. Цвет - белый.</v>
          </cell>
        </row>
        <row r="1459">
          <cell r="A1459">
            <v>7211004347</v>
          </cell>
          <cell r="B1459" t="str">
            <v>KO251430</v>
          </cell>
          <cell r="J1459" t="str">
            <v>Пластиковый чайник Tefal Loft, мощность 2400 Вт, объем 1,7 литра, фильтр против накипи, индикатор уровня воды, скрытый нагревательный элемент, материал - пластик. Цвет - синий.</v>
          </cell>
        </row>
        <row r="1460">
          <cell r="A1460">
            <v>7211003922</v>
          </cell>
          <cell r="B1460" t="str">
            <v>TT761838</v>
          </cell>
          <cell r="J1460" t="str">
            <v xml:space="preserve">ТОСТЕР LOFT, МОЩНОСТЬ 850 ВТ, 7 СТЕПЕНЕЙ ПОДЖАРИВАНИЯ ТОСТОВ, КНОПКИ "СТОП", "ПОДОГРЕВ", "РАЗМОРОЗКА", ВЫСОКИЙ ПОДЪЕМ ТОСТОВ, СЪЕМНЫЙ ПОДДОН ДЛЯ КРОШЕК, МАТЕРИАЛ КОРПУСА - ПЛАСТИК. ЦВЕТ - черный.     </v>
          </cell>
        </row>
        <row r="1461">
          <cell r="A1461">
            <v>7211003392</v>
          </cell>
          <cell r="B1461" t="str">
            <v>KO250830</v>
          </cell>
          <cell r="J1461" t="str">
            <v>Пластиковый чайник Tefal Loft, мощность 2400 Вт, объем 1,7 литра, фильтр против накипи, индикатор уровня воды, скрытый нагревательный элемент, материал - пластик. Цвет - черный.</v>
          </cell>
        </row>
        <row r="1462">
          <cell r="A1462">
            <v>1830004959</v>
          </cell>
          <cell r="B1462" t="str">
            <v>SF6010F0</v>
          </cell>
          <cell r="J1462" t="str">
            <v>Purple Style</v>
          </cell>
        </row>
        <row r="1463">
          <cell r="A1463">
            <v>1830006479</v>
          </cell>
          <cell r="B1463" t="str">
            <v>SF4210F0</v>
          </cell>
          <cell r="J1463" t="str">
            <v xml:space="preserve">Выпрямитель LISS&amp;CURL c системой OPTIMAL STRAIGHTENING AND DEFINED CURLS: Керамическое покрытие пластин, нагревающаяся закругленная верхняя часть, ионизация, плавающие пластины, быстрый нагрев за 30 секунд, LCD экран для выбора температуры (от 95 до 230 градусов) </v>
          </cell>
        </row>
        <row r="1464">
          <cell r="A1464">
            <v>1830008359</v>
          </cell>
          <cell r="B1464" t="str">
            <v>SF4216F0</v>
          </cell>
          <cell r="J1464" t="str">
            <v>Выпрямитель Liss &amp; Curl 2-в-1: Превосходный блеск и бесконечное разнообразие стилей SF4216F0</v>
          </cell>
        </row>
        <row r="1465">
          <cell r="A1465">
            <v>1830005680</v>
          </cell>
          <cell r="B1465" t="str">
            <v>SF6220D0</v>
          </cell>
          <cell r="J1465" t="str">
            <v>Выпрямитель Liss &amp; Curl Ultimate shine</v>
          </cell>
        </row>
        <row r="1466">
          <cell r="A1466">
            <v>1830004932</v>
          </cell>
          <cell r="B1466" t="str">
            <v>SF4522D0</v>
          </cell>
          <cell r="J1466" t="str">
            <v xml:space="preserve">Выпрямитель Liss&amp;Curl Keratin Tourmaline: покрытие Кератин+Турмалин, LCD дисплей, </v>
          </cell>
        </row>
        <row r="1467">
          <cell r="A1467">
            <v>1830007030</v>
          </cell>
          <cell r="B1467" t="str">
            <v>JA1011D1</v>
          </cell>
          <cell r="J1467" t="str">
            <v>УСТРОЙСТВО ДЛЯ УДАЛЕНИЯ КАТЫШЕК</v>
          </cell>
        </row>
        <row r="1468">
          <cell r="A1468">
            <v>1830007031</v>
          </cell>
          <cell r="B1468" t="str">
            <v>JB1011E0</v>
          </cell>
          <cell r="J1468" t="str">
            <v>JB1011E0 ПРИБОР Д/УДАЛЕНИЯ КАТЫШКОВ</v>
          </cell>
        </row>
        <row r="1469">
          <cell r="A1469">
            <v>1830007120</v>
          </cell>
          <cell r="B1469" t="str">
            <v>JB1013E0</v>
          </cell>
          <cell r="J1469" t="str">
            <v>JB1013E0 ПРИБОР ДЛЯ УДАЛЕНИЯ КАТЫШКОВ</v>
          </cell>
        </row>
        <row r="1470">
          <cell r="A1470">
            <v>3200001439</v>
          </cell>
          <cell r="B1470">
            <v>413300711</v>
          </cell>
          <cell r="J1470" t="str">
            <v>Электрический капучинатор LUMERO</v>
          </cell>
        </row>
        <row r="1471">
          <cell r="A1471">
            <v>3200000497</v>
          </cell>
          <cell r="B1471">
            <v>413120711</v>
          </cell>
          <cell r="J1471" t="str">
            <v>Электрический капучинатор LINEO</v>
          </cell>
        </row>
        <row r="1472">
          <cell r="A1472">
            <v>3200000595</v>
          </cell>
          <cell r="B1472">
            <v>413060711</v>
          </cell>
          <cell r="J1472" t="str">
            <v>Электрический чайник LINEO 1.6 л</v>
          </cell>
        </row>
        <row r="1473">
          <cell r="A1473">
            <v>3200000483</v>
          </cell>
          <cell r="B1473">
            <v>416350711</v>
          </cell>
          <cell r="J1473" t="str">
            <v>ЭЛЕКТРИЧЕСКИЙ ПОГРУЖНОЙ БЛЕНДЕР LINEO</v>
          </cell>
        </row>
        <row r="1474">
          <cell r="A1474">
            <v>8010001305</v>
          </cell>
          <cell r="B1474" t="str">
            <v>LM1C0410</v>
          </cell>
          <cell r="J1474" t="str">
            <v xml:space="preserve">Портативный блендер LightMix </v>
          </cell>
        </row>
        <row r="1475">
          <cell r="A1475">
            <v>8010001303</v>
          </cell>
          <cell r="B1475" t="str">
            <v>LM1C0210</v>
          </cell>
          <cell r="J1475" t="str">
            <v xml:space="preserve">Портативный блендер LightMix </v>
          </cell>
        </row>
        <row r="1476">
          <cell r="A1476">
            <v>1830006593</v>
          </cell>
          <cell r="B1476" t="str">
            <v>SV7010E0</v>
          </cell>
          <cell r="J1476" t="str">
            <v xml:space="preserve">ПАРОГЕНЕРАТОР БЕЗ БОЙЛЕРА LIBERTY, ВРЕМЯ НАГРЕВА ВОДЫ 2 МИНУТЫ, РУЧНОЕ РЕГУЛИРОВАНИЕ. ДАВЛЕНИЕ НАСОСА ПОДАЧИ ВОДЫ 5,3 БАР, ПОСТОЯННЫЙ ПАР 120 Г/МИН, ПАРОВОЙ УДАР 300 Г/МИН, КЕРАМИЧЕСКАЯ ПОДОШВА, АВТООТКЛЮЧЕНИЕ, ЭКО-ФУНКЦИЯ, 3 КАРТРИДЖА ДЛЯ ОЧИСТКИ ВОДЫ, СИСТЕМА ЗАЩЕЛКИВАНИЯ УТЮГА,  СЪЕМНЫЙ РЕЗЕРВУАР ДЛЯ ВОДЫ 1,5 Л, МОЩНОСТЬ 2200 ВТ,  ДОЛИВ ВОДЫ В РЕЗЕРВУАР В ЛЮБОЙ МОМЕНТ, CПЕЦИАЛЬНЫЙ ОТСЕК ДЛЯ УДОБНОГО ХРАНЕНИЯ ШЛАНГА </v>
          </cell>
        </row>
        <row r="1477">
          <cell r="A1477">
            <v>1830006840</v>
          </cell>
          <cell r="B1477" t="str">
            <v>SV7040E0</v>
          </cell>
          <cell r="J1477" t="str">
            <v>ПАРОГЕНЕРАТОР TEFAL LIBERTY, ДАВЛЕНИЕ НАСОСА 6 БАР, ПОСТОЯННЫЙ ПАР 120 Г/МИН, ПАРОВОЙ УДАР 350 Г/МИН, МОЩНОСТЬ 2200 ВАТ, ВРЕМЯ НАГРЕВА ВОДЫ 2 МИНУТЫ, РУЧНОЕ РЕГУЛИРОВАНИЕ, КЕРАМИЧЕСКАЯ ПОДОШВА, АВТООТКЛЮЧЕНИЕ, ЭКО-ФУНКЦИЯ, 2 КАРТРИДЖА ДЛЯ ОЧИСТКИ ВОДЫ, СИСТЕМА ЗАЩЕЛКИВАНИЯ УТЮГА,  СЪЕМНЫЙ РЕЗЕРВУАР ДЛЯ ВОДЫ 1,5 Л,  ДОЛИВ ВОДЫ В РЕЗЕРВУАР В ЛЮБОЙ МОМЕНТ, CПЕЦИАЛЬНЫЙ ОТСЕК ДЛЯ УДОБНОГО ХРАНЕНИЯ ШЛАНГА, ДЛИНА ШНУРА 1,6М</v>
          </cell>
        </row>
        <row r="1478">
          <cell r="A1478">
            <v>1830007047</v>
          </cell>
          <cell r="B1478" t="str">
            <v>SV7041E0</v>
          </cell>
          <cell r="J1478" t="str">
            <v>ПАРОГЕНЕРАТОР TEFAL LIBERTY, ДАВЛЕНИЕ НАСОСА 6 БАР, ПОСТОЯННЫЙ ПАР 120 Г/МИН, ПАРОВОЙ УДАР 360 Г/МИН, МОЩНОСТЬ 2200 ВАТ, ВРЕМЯ НАГРЕВА ВОДЫ 2 МИНУТЫ, РУЧНОЕ РЕГУЛИРОВАНИЕ, КЕРАМИЧЕСКАЯ ПОДОШВА, АВТООТКЛЮЧЕНИЕ, ЭКО-ФУНКЦИЯ, 6 КАРТРИДЖЕЙ ДЛЯ ОЧИСТКИ ВОДЫ, СИСТЕМА ЗАЩЕЛКИВАНИЯ УТЮГА,  СЪЕМНЫЙ РЕЗЕРВУАР ДЛЯ ВОДЫ 1,5 Л,  ДОЛИВ ВОДЫ В РЕЗЕРВУАР В ЛЮБОЙ МОМЕНТ, CПЕЦИАЛЬНЫЙ ОТСЕК ДЛЯ УДОБНОГО ХРАНЕНИЯ ШЛАНГА, ДЛИНА ШНУРА 1,6М</v>
          </cell>
        </row>
        <row r="1479">
          <cell r="A1479">
            <v>1500888672</v>
          </cell>
          <cell r="B1479" t="str">
            <v>YG260132</v>
          </cell>
          <cell r="J1479" t="str">
            <v>YG LACTEO 1.8L BLC VER CIS  АВТОМАТИЧЕСКАЯ ЙОГУРТНИЦА С ФУНКЦИЕЙ ПРИГОТОВЛЕНИЯ ПИТЬЕВОГО ЙОГУРТА И КЕФИРА С LCD ДИСПЛЕЕМ И ЦИФРОВЫМ ТАЙМЕРОМ, ПЛАСТИКОВЫЙ КОНТЕЙНЕР 1,75Л. ЦВЕТ - БЕЛЫЙ С ЗЕЛЕНЫМ</v>
          </cell>
        </row>
        <row r="1480">
          <cell r="A1480">
            <v>1510001429</v>
          </cell>
          <cell r="B1480" t="str">
            <v>YG500132</v>
          </cell>
          <cell r="J1480" t="str">
            <v>ЙОГУРТНИЦА LA YAOURTIERE 2</v>
          </cell>
        </row>
        <row r="1481">
          <cell r="A1481">
            <v>2100093086</v>
          </cell>
          <cell r="B1481" t="str">
            <v>C7922024</v>
          </cell>
          <cell r="J1481" t="str">
            <v xml:space="preserve">Чайник для газовых плит со свистком: объем 3 л, полированная нерж.сталь  </v>
          </cell>
        </row>
        <row r="1482">
          <cell r="A1482">
            <v>2100093085</v>
          </cell>
          <cell r="B1482" t="str">
            <v>C7921024</v>
          </cell>
          <cell r="J1482" t="str">
            <v xml:space="preserve">Чайник для газовых плит со свистком: объем 2,5 л, шлифованная нерж.сталь  </v>
          </cell>
        </row>
        <row r="1483">
          <cell r="A1483">
            <v>3110600794</v>
          </cell>
          <cell r="B1483" t="str">
            <v>N3111200</v>
          </cell>
          <cell r="J1483" t="str">
            <v>Бутылка Emsa Sleeve 0,7 л бирюзовая</v>
          </cell>
        </row>
        <row r="1484">
          <cell r="A1484">
            <v>3110600792</v>
          </cell>
          <cell r="B1484" t="str">
            <v>N3111100</v>
          </cell>
          <cell r="J1484" t="str">
            <v>Бутылка Emsa Sleeve 0,7 л чёрная</v>
          </cell>
        </row>
        <row r="1485">
          <cell r="A1485">
            <v>3110600789</v>
          </cell>
          <cell r="B1485" t="str">
            <v>N3110700</v>
          </cell>
          <cell r="J1485" t="str">
            <v>Бутылка Emsa Sleeve 0,5 л синяя</v>
          </cell>
        </row>
        <row r="1486">
          <cell r="A1486">
            <v>2100112782</v>
          </cell>
          <cell r="B1486" t="str">
            <v>K2481574</v>
          </cell>
          <cell r="J1486" t="str">
            <v xml:space="preserve">Чайник TEFAL для всех видов плит со свистком: объем 2,7 л,  нерж.сталь  </v>
          </cell>
        </row>
        <row r="1487">
          <cell r="A1487">
            <v>3200000470</v>
          </cell>
          <cell r="B1487">
            <v>415240711</v>
          </cell>
          <cell r="J1487" t="str">
            <v>ИНДУКЦИОННАЯ ПАНЕЛЬ KULT X MONO</v>
          </cell>
        </row>
        <row r="1488">
          <cell r="A1488">
            <v>3200001210</v>
          </cell>
          <cell r="B1488">
            <v>415140711</v>
          </cell>
          <cell r="J1488" t="str">
            <v>ХЛЕБОПЕЧКА KULT X</v>
          </cell>
        </row>
        <row r="1489">
          <cell r="A1489">
            <v>3200000467</v>
          </cell>
          <cell r="B1489">
            <v>416480711</v>
          </cell>
          <cell r="J1489" t="str">
            <v xml:space="preserve"> Спиралайзер KULT X</v>
          </cell>
        </row>
        <row r="1490">
          <cell r="A1490">
            <v>3200000623</v>
          </cell>
          <cell r="B1490">
            <v>416560711</v>
          </cell>
          <cell r="J1490" t="str">
            <v>ЭЛЕКТРИЧЕСКИЙ РУЧНОЙ МИКСЕР KULT X</v>
          </cell>
        </row>
        <row r="1491">
          <cell r="A1491">
            <v>3200000469</v>
          </cell>
          <cell r="B1491">
            <v>416530711</v>
          </cell>
          <cell r="J1491" t="str">
            <v>ЭЛЕКТРИЧЕСКИЙ БЛЕНДЕР KULT PRO</v>
          </cell>
        </row>
        <row r="1492">
          <cell r="A1492">
            <v>1830007850</v>
          </cell>
          <cell r="B1492" t="str">
            <v>BC5400V1</v>
          </cell>
          <cell r="J1492" t="str">
            <v>BC5400V1 Кухонные весы</v>
          </cell>
        </row>
        <row r="1493">
          <cell r="A1493">
            <v>3200002260</v>
          </cell>
          <cell r="B1493">
            <v>413140071</v>
          </cell>
          <cell r="J1493" t="str">
            <v>Электрический чайник 0,8л KITCHENminis Black</v>
          </cell>
        </row>
        <row r="1494">
          <cell r="A1494">
            <v>3200002234</v>
          </cell>
          <cell r="B1494">
            <v>414120071</v>
          </cell>
          <cell r="J1494" t="str">
            <v>Электрический тостер Long Slot KITCHENminis Black</v>
          </cell>
        </row>
        <row r="1495">
          <cell r="A1495">
            <v>3200002261</v>
          </cell>
          <cell r="B1495">
            <v>416500071</v>
          </cell>
          <cell r="J1495" t="str">
            <v>Электрический блендер Smoothie-to-go KITCHENminis Black</v>
          </cell>
        </row>
        <row r="1496">
          <cell r="A1496">
            <v>3200001445</v>
          </cell>
          <cell r="B1496">
            <v>415470711</v>
          </cell>
          <cell r="J1496" t="str">
            <v>АППАРАТ ДЛЯ ПРИГОТОВЛЕНИЯ ПОПКОРНА</v>
          </cell>
        </row>
        <row r="1497">
          <cell r="A1497">
            <v>3200001925</v>
          </cell>
          <cell r="B1497">
            <v>415490711</v>
          </cell>
          <cell r="J1497" t="str">
            <v>Фритюрница KITCHENminis</v>
          </cell>
        </row>
        <row r="1498">
          <cell r="A1498">
            <v>3200000592</v>
          </cell>
          <cell r="B1498">
            <v>414120051</v>
          </cell>
          <cell r="J1498" t="str">
            <v xml:space="preserve">ТОСТЕР KITCHENMINIS LONG SLOT
</v>
          </cell>
        </row>
        <row r="1499">
          <cell r="A1499">
            <v>3200000590</v>
          </cell>
          <cell r="B1499">
            <v>414120041</v>
          </cell>
          <cell r="J1499" t="str">
            <v xml:space="preserve">ТОСТЕР KITCHENMINIS LONG SLOT
</v>
          </cell>
        </row>
        <row r="1500">
          <cell r="A1500">
            <v>3200000480</v>
          </cell>
          <cell r="B1500">
            <v>414120711</v>
          </cell>
          <cell r="J1500" t="str">
            <v>ЭЛЕКТРИЧЕСКИЙ ТОСТЕР KITCHENMINIS (LONGSLICE)</v>
          </cell>
        </row>
        <row r="1501">
          <cell r="A1501">
            <v>3200000478</v>
          </cell>
          <cell r="B1501">
            <v>414100711</v>
          </cell>
          <cell r="J1501" t="str">
            <v>ЭЛЕКТРИЧЕСКИЙ ТОСТЕР KITCHENMINIS (НА 1 ТОСТ)</v>
          </cell>
        </row>
        <row r="1502">
          <cell r="A1502">
            <v>3200000015</v>
          </cell>
          <cell r="B1502">
            <v>414100011</v>
          </cell>
          <cell r="J1502" t="str">
            <v>ЭЛЕКТРИЧЕСКИЙ ТОСТЕР KITCHENMINIS (НА 1 ТОСТ)</v>
          </cell>
        </row>
        <row r="1503">
          <cell r="A1503">
            <v>3200000462</v>
          </cell>
          <cell r="B1503">
            <v>415250711</v>
          </cell>
          <cell r="J1503" t="str">
            <v xml:space="preserve">ЭЛЕКТРИЧЕСКАЯ СУШИЛКА ДЛЯ ОВОЩЕЙ И ФРУКТОВ KITCHENMINIS </v>
          </cell>
        </row>
        <row r="1504">
          <cell r="A1504">
            <v>3200002116</v>
          </cell>
          <cell r="B1504">
            <v>415090711</v>
          </cell>
          <cell r="J1504" t="str">
            <v>Электрическая пароварка KITCHENminis</v>
          </cell>
        </row>
        <row r="1505">
          <cell r="A1505">
            <v>3200000463</v>
          </cell>
          <cell r="B1505">
            <v>415090711</v>
          </cell>
          <cell r="J1505" t="str">
            <v>ЭЛЕКТРИЧЕСКАЯ ПАРОВАРКА KITCHENMINIS</v>
          </cell>
        </row>
        <row r="1506">
          <cell r="A1506">
            <v>3200000458</v>
          </cell>
          <cell r="B1506">
            <v>415260711</v>
          </cell>
          <cell r="J1506" t="str">
            <v xml:space="preserve">ЭЛЕКТРИЧЕСКАЯ РИСОВАРКА KITCHENMINIS </v>
          </cell>
        </row>
        <row r="1507">
          <cell r="A1507">
            <v>3200001441</v>
          </cell>
          <cell r="B1507">
            <v>413290711</v>
          </cell>
          <cell r="J1507" t="str">
            <v>Электрический чайник LUMERO 1,7л</v>
          </cell>
        </row>
        <row r="1508">
          <cell r="A1508">
            <v>7211004472</v>
          </cell>
          <cell r="B1508">
            <v>413180712</v>
          </cell>
          <cell r="J1508" t="str">
            <v>Электрический чайник (заварочный чайник)  1л  KITCHENminis</v>
          </cell>
        </row>
        <row r="1509">
          <cell r="A1509">
            <v>3200000784</v>
          </cell>
          <cell r="B1509">
            <v>413180712</v>
          </cell>
          <cell r="J1509" t="str">
            <v>Электрический чайник (заварочный чайник)  1л  KITCHENminis</v>
          </cell>
        </row>
        <row r="1510">
          <cell r="A1510">
            <v>3200001155</v>
          </cell>
          <cell r="B1510">
            <v>413190711</v>
          </cell>
          <cell r="J1510" t="str">
            <v xml:space="preserve">Чайник стеклянный 1л KITCHENminis 
</v>
          </cell>
        </row>
        <row r="1511">
          <cell r="A1511">
            <v>3200000444</v>
          </cell>
          <cell r="B1511">
            <v>413190011</v>
          </cell>
          <cell r="J1511" t="str">
            <v xml:space="preserve">Чайник стеклянный KITCHENminis 0.8
</v>
          </cell>
        </row>
        <row r="1512">
          <cell r="A1512">
            <v>3200000852</v>
          </cell>
          <cell r="B1512">
            <v>413190051</v>
          </cell>
          <cell r="J1512" t="str">
            <v xml:space="preserve">Чайник стеклянный KITCHENminis 0.8 (тонированное стекло, цвет медный)
</v>
          </cell>
        </row>
        <row r="1513">
          <cell r="A1513">
            <v>3200000851</v>
          </cell>
          <cell r="B1513">
            <v>413190041</v>
          </cell>
          <cell r="J1513" t="str">
            <v xml:space="preserve">Чайник стеклянный KITCHENminis 0.8 (тонированное стекло, цвет графит)
</v>
          </cell>
        </row>
        <row r="1514">
          <cell r="A1514">
            <v>3200000570</v>
          </cell>
          <cell r="B1514">
            <v>413140711</v>
          </cell>
          <cell r="J1514" t="str">
            <v>Электрический чайник KITCHENminis 0.8 л</v>
          </cell>
        </row>
        <row r="1515">
          <cell r="A1515">
            <v>3200000588</v>
          </cell>
          <cell r="B1515">
            <v>413140051</v>
          </cell>
          <cell r="J1515" t="str">
            <v xml:space="preserve">Чайник KITCHENminis Color Edition 0.8л
</v>
          </cell>
        </row>
        <row r="1516">
          <cell r="A1516">
            <v>3200000587</v>
          </cell>
          <cell r="B1516">
            <v>413140041</v>
          </cell>
          <cell r="J1516" t="str">
            <v xml:space="preserve">Чайник KITCHENminis Color Edition 0,8л
</v>
          </cell>
        </row>
        <row r="1517">
          <cell r="A1517">
            <v>3200000456</v>
          </cell>
          <cell r="B1517">
            <v>415020711</v>
          </cell>
          <cell r="J1517" t="str">
            <v>ЭЛЕКТРИЧЕСКАЯ ЯЙЦЕВАРКА KITCHENMINIS (НА 2 ЯЙЦА)</v>
          </cell>
        </row>
        <row r="1518">
          <cell r="A1518">
            <v>3200000468</v>
          </cell>
          <cell r="B1518">
            <v>415220711</v>
          </cell>
          <cell r="J1518" t="str">
            <v>ЭЛЕКТРИЧЕСКАЯ ЯЙЦЕВАРКА KITCHENMINIS (НА 1 ЯЙЦО)</v>
          </cell>
        </row>
        <row r="1519">
          <cell r="A1519">
            <v>3200000457</v>
          </cell>
          <cell r="B1519">
            <v>416450711</v>
          </cell>
          <cell r="J1519" t="str">
            <v>ЭЛЕКТРИЧЕСКАЯ МОРОЖЕНИЦА KITCHENMINIS</v>
          </cell>
        </row>
        <row r="1520">
          <cell r="A1520">
            <v>3200001162</v>
          </cell>
          <cell r="B1520">
            <v>416400711</v>
          </cell>
          <cell r="J1520" t="str">
            <v>ОВОЩЕРЕЗКА KITCHENMINIS SALAD-TO-GO</v>
          </cell>
        </row>
        <row r="1521">
          <cell r="A1521">
            <v>3200000026</v>
          </cell>
          <cell r="B1521">
            <v>416400011</v>
          </cell>
          <cell r="J1521" t="str">
            <v>ОВОЩЕРЕЗКА KITCHENMINIS SALAD-TO-GO</v>
          </cell>
        </row>
        <row r="1522">
          <cell r="A1522">
            <v>3200001154</v>
          </cell>
          <cell r="B1522">
            <v>416500711</v>
          </cell>
          <cell r="J1522" t="str">
            <v>Блендер KITCHENminis smoothie-to-go</v>
          </cell>
        </row>
        <row r="1523">
          <cell r="A1523">
            <v>3200000481</v>
          </cell>
          <cell r="B1523">
            <v>416490711</v>
          </cell>
          <cell r="J1523" t="str">
            <v>ЭЛЕКТРИЧЕСКИЙ БЛЕНДЕР 0.8 Л KITCHENMINIS</v>
          </cell>
        </row>
        <row r="1524">
          <cell r="A1524">
            <v>3200001949</v>
          </cell>
          <cell r="B1524">
            <v>416700711</v>
          </cell>
          <cell r="J1524" t="str">
            <v>Портативный блендер Mix on the go KITCHENminis</v>
          </cell>
        </row>
        <row r="1525">
          <cell r="A1525">
            <v>3200000092</v>
          </cell>
          <cell r="B1525">
            <v>416500011</v>
          </cell>
          <cell r="J1525" t="str">
            <v>БЛЕНДЕР KITCHENMINIS SMOOTHIE-TO-GO</v>
          </cell>
        </row>
        <row r="1526">
          <cell r="A1526">
            <v>3200000548</v>
          </cell>
          <cell r="B1526">
            <v>416320771</v>
          </cell>
          <cell r="J1526" t="str">
            <v>КУХОННАЯ МАШИНА PROFI PLUS (СЕРЫЙ)</v>
          </cell>
        </row>
        <row r="1527">
          <cell r="A1527">
            <v>3200001450</v>
          </cell>
          <cell r="B1527">
            <v>416680771</v>
          </cell>
          <cell r="J1527" t="str">
            <v>КУХОННАЯ МАШИНА KITCHENMINIS (СЕРЫЙ)</v>
          </cell>
        </row>
        <row r="1528">
          <cell r="A1528">
            <v>1830007876</v>
          </cell>
          <cell r="B1528" t="str">
            <v>LV7030F0</v>
          </cell>
          <cell r="J1528" t="str">
            <v>Lift Contour</v>
          </cell>
        </row>
        <row r="1529">
          <cell r="A1529">
            <v>1830008578</v>
          </cell>
          <cell r="B1529" t="str">
            <v>LV8530F0</v>
          </cell>
          <cell r="J1529" t="str">
            <v>Lift Contour</v>
          </cell>
        </row>
        <row r="1530">
          <cell r="A1530">
            <v>3100515695</v>
          </cell>
          <cell r="B1530">
            <v>515695</v>
          </cell>
          <cell r="J1530" t="str">
            <v>Фляжка питьевая детская  0.4 л EMSA (Лиса)</v>
          </cell>
        </row>
        <row r="1531">
          <cell r="A1531">
            <v>3100514416</v>
          </cell>
          <cell r="B1531">
            <v>514416</v>
          </cell>
          <cell r="J1531" t="str">
            <v>Фляжка питьевая детская  с ручками 0.4 л EMSA (Муравей Антон)</v>
          </cell>
        </row>
        <row r="1532">
          <cell r="A1532">
            <v>3100514415</v>
          </cell>
          <cell r="B1532">
            <v>514415</v>
          </cell>
          <cell r="J1532" t="str">
            <v>Фляжка питьевая детская  с ручками 0.4 л EMSA (Веселая ферма)</v>
          </cell>
        </row>
        <row r="1533">
          <cell r="A1533">
            <v>3100514401</v>
          </cell>
          <cell r="B1533">
            <v>514401</v>
          </cell>
          <cell r="J1533" t="str">
            <v xml:space="preserve">Фляжка питьевая детская  0.4 л EMSA "Цифры" </v>
          </cell>
        </row>
        <row r="1534">
          <cell r="A1534">
            <v>3100514399</v>
          </cell>
          <cell r="B1534">
            <v>514399</v>
          </cell>
          <cell r="J1534" t="str">
            <v>Фляжка питьевая детская  0.4 л EMSA (Сова)</v>
          </cell>
        </row>
        <row r="1535">
          <cell r="A1535">
            <v>3100514398</v>
          </cell>
          <cell r="B1535">
            <v>514398</v>
          </cell>
          <cell r="J1535" t="str">
            <v>Фляжка питьевая детская  0.4 л EMSA (Футболист)</v>
          </cell>
        </row>
        <row r="1536">
          <cell r="A1536">
            <v>3100514397</v>
          </cell>
          <cell r="B1536">
            <v>514397</v>
          </cell>
          <cell r="J1536" t="str">
            <v>Фляжка питьевая детская  0.4 л EMSA (Ферма)</v>
          </cell>
        </row>
        <row r="1537">
          <cell r="A1537">
            <v>3100514395</v>
          </cell>
          <cell r="B1537">
            <v>514395</v>
          </cell>
          <cell r="J1537" t="str">
            <v>Фляжка питьевая детская  0.4 л EMSA "Лабиринт" (девочка)</v>
          </cell>
        </row>
        <row r="1538">
          <cell r="A1538">
            <v>3100514394</v>
          </cell>
          <cell r="B1538">
            <v>514394</v>
          </cell>
          <cell r="J1538" t="str">
            <v>Фляжка питьевая детская  0.4 л EMSA "Лабиринт" (мальчик)</v>
          </cell>
        </row>
        <row r="1539">
          <cell r="A1539">
            <v>3100514393</v>
          </cell>
          <cell r="B1539">
            <v>514393</v>
          </cell>
          <cell r="J1539" t="str">
            <v>Фляжка питьевая детская  0.4 л EMSA (Принцесса)</v>
          </cell>
        </row>
        <row r="1540">
          <cell r="A1540">
            <v>3100514392</v>
          </cell>
          <cell r="B1540">
            <v>514392</v>
          </cell>
          <cell r="J1540" t="str">
            <v>Фляжка питьевая детская  0.4 л EMSA (Пират)</v>
          </cell>
        </row>
        <row r="1541">
          <cell r="A1541">
            <v>7211003721</v>
          </cell>
          <cell r="B1541" t="str">
            <v>BY320A30</v>
          </cell>
          <cell r="J1541" t="str">
            <v>Пластиковый чайник Moulinex Soleil, мощность 2400 Вт, объем 1,7 литра, фильтр против накипи, индикатор уровня воды, скрытый нагревательный элемент, материал - пластик. Цвет - бежевый.</v>
          </cell>
        </row>
        <row r="1542">
          <cell r="A1542">
            <v>7211003503</v>
          </cell>
          <cell r="B1542" t="str">
            <v>BY320B16</v>
          </cell>
          <cell r="J1542" t="str">
            <v>MOULINEX SOLEIL BY320 BY320B16 Чайник, объём 1,7 л, мощность 2400 Вт, фильтр от накипи</v>
          </cell>
        </row>
        <row r="1543">
          <cell r="A1543">
            <v>7211419379</v>
          </cell>
          <cell r="B1543" t="str">
            <v>KI666AE0</v>
          </cell>
          <cell r="J1543" t="str">
            <v>Металлический чайник 1,7 л, 2400 Вт</v>
          </cell>
        </row>
        <row r="1544">
          <cell r="A1544">
            <v>7211419380</v>
          </cell>
          <cell r="B1544" t="str">
            <v>KI6668E0</v>
          </cell>
          <cell r="J1544" t="str">
            <v>Металлический чайник 1,7 л, 2400 Вт</v>
          </cell>
        </row>
        <row r="1545">
          <cell r="A1545">
            <v>1510002143</v>
          </cell>
          <cell r="B1545" t="str">
            <v>KI700830</v>
          </cell>
          <cell r="J1545" t="str">
            <v>Стеклянный чайник Tefal, мощность 2200 Вт, объем 1,7 литра, фильтр против накипи, индикатор уровня воды, скрытый нагревательный элемент, материал - стекло. Цвет -нержавеющая сталь</v>
          </cell>
        </row>
        <row r="1546">
          <cell r="A1546">
            <v>1510003005</v>
          </cell>
          <cell r="B1546" t="str">
            <v>KI700830</v>
          </cell>
          <cell r="J1546" t="str">
            <v>Стеклянный чайник Tefal, мощность 2200 Вт, объем 1,7 литра, фильтр против накипи, индикатор уровня воды, скрытый нагревательный элемент, материал - стекло. Цвет -нержавеющая сталь</v>
          </cell>
        </row>
        <row r="1547">
          <cell r="A1547">
            <v>7211419351</v>
          </cell>
          <cell r="B1547" t="str">
            <v>BY6R5130</v>
          </cell>
          <cell r="J1547" t="str">
            <v>KET GLASS KET 1.7L SNOW WHT EU</v>
          </cell>
        </row>
        <row r="1548">
          <cell r="A1548">
            <v>1830009439</v>
          </cell>
          <cell r="B1548" t="str">
            <v>SF712LE0</v>
          </cell>
        </row>
        <row r="1549">
          <cell r="A1549">
            <v>1830009468</v>
          </cell>
          <cell r="B1549" t="str">
            <v>UB572LE0</v>
          </cell>
          <cell r="J1549" t="str">
            <v>POWERBRUSH. Нагревающаяся щетка без обдува для быстрой укладки</v>
          </cell>
        </row>
        <row r="1550">
          <cell r="A1550">
            <v>7211003955</v>
          </cell>
          <cell r="B1550" t="str">
            <v>DD533132</v>
          </cell>
          <cell r="J1550" t="str">
            <v>ПОГРУЖНОЙ БЛЕНДЕР DAILYMIX, МОЩНОСТЬ 600 ВТ, ПЛАВНАЯ РЕГУЛИРОВКА СКОРОСТЕЙ, МЕРНЫЙ СТАКАН, МЕТАЛЛИЧЕСКАЯ НОГА , ТЕХНОЛОГИЯ ЛЕЗВИЙ POWELIX, ВЕНЧИК, ИЗМЕЛЬЧИТЕЛЬ 500МЛ</v>
          </cell>
        </row>
        <row r="1551">
          <cell r="A1551">
            <v>7211000621</v>
          </cell>
          <cell r="B1551" t="str">
            <v>BF560140</v>
          </cell>
          <cell r="J1551" t="str">
            <v>Чайник Justine 1.7 бело-бежевый</v>
          </cell>
        </row>
        <row r="1552">
          <cell r="A1552">
            <v>7211003242</v>
          </cell>
          <cell r="B1552" t="str">
            <v>ZU150110</v>
          </cell>
          <cell r="J1552" t="str">
            <v>ШНЕКОВАЯ СОКОВЫЖИМАЛКА JUCEO. МОЩНОСТЬ 150 ВТ, 1 СКОРОСТЬ + РЕВЕРС, ДИАМЕТР ЗАГРУЗОЧНОГО ОТВЕРСТИЯ 45 ММ, КОНТЕЙНЕР ДЛЯ СОКА ОБЪЕМОМ 0,8 Л, КОНТЕЙНЕР ДЛЯ СБОРА МЯКОТИ 0,8 Л, СИСТЕМА КАПЛЯ-СТОП, ЦВЕТ БЕЛЫЙ. СЪЕМНЫЕ ЧАСТИ МОЖНО МЫТЬ В ПОСУДОМОЕЧНОЙ МАШИНЕ. ГАРАНТИЯ 2 ГОДА.</v>
          </cell>
        </row>
        <row r="1553">
          <cell r="A1553">
            <v>7211003245</v>
          </cell>
          <cell r="B1553" t="str">
            <v>ZU420E10</v>
          </cell>
          <cell r="J1553" t="str">
            <v>ШНЕКОВАЯ СОКОВЫЖИМАЛКА JUCEO. МОЩНОСТЬ 150 ВТ, 4 СКОРОСТИ + РЕВЕРС, ДИАМЕТР ЗАГРУЗОЧНОГО ОТВЕРСТИЯ 45 ММ, КОНТЕЙНЕР ДЛЯ СОКА ОБЪЕМОМ 0,8 Л, КОНТЕЙНЕР ДЛЯ СБОРА МЯКОТИ 0,8 Л, СИСТЕМА КАПЛЯ-СТОП, ЦВЕТ СЕРЫЙ. СЪЕМНЫЕ ЧАСТИ МОЖНО МЫТЬ В ПОСУДОМОЕЧНОЙ МАШИНЕ. ГАРАНТИЯ 2 ГОДА.</v>
          </cell>
        </row>
        <row r="1554">
          <cell r="A1554">
            <v>3200002009</v>
          </cell>
          <cell r="B1554">
            <v>416670711</v>
          </cell>
          <cell r="J1554" t="str">
            <v>Соковыжималка для цитрусовых Profi Plus</v>
          </cell>
        </row>
        <row r="1555">
          <cell r="A1555">
            <v>8010000213</v>
          </cell>
          <cell r="B1555" t="str">
            <v>JU550D10</v>
          </cell>
          <cell r="J1555" t="str">
            <v xml:space="preserve">СОКОВЫЖИМАЛКА MOULINEX JUICE EXPRESS, ЦЕНТРИФУЖНАЯ СОКОВЫЖИМАЛКАМОЩНОСТЬ: 800 ВТ, 2 СКОРОСТИ (ДЛЯ ТВЕРДЫХ И МЯГКИХ ИНГРЕДИЕНТОВ), ДИАМЕТР ЗАГРУЗОЧНОГО ОТВЕРСТИЯ: 75 ММ, РЕЗЕРВУАР ДЛЯ СОКА: 1,5 Л, ВСТРОЕННЫЙ РЕЗЕРВУАР ДЛЯ МЯКОТИ: 0,8 Л, ЩЕТКА ДЛЯ ОЧИСТКИ, МАТЕРИАЛ КОРПУСА: НЕРЖАВЕЮЩАЯ СТАЛЬ
</v>
          </cell>
        </row>
        <row r="1556">
          <cell r="A1556">
            <v>2100121191</v>
          </cell>
          <cell r="B1556" t="str">
            <v>E3134444</v>
          </cell>
          <cell r="J1556" t="str">
            <v>Кастрюля 20 с крышкой JO Essential</v>
          </cell>
        </row>
        <row r="1557">
          <cell r="A1557">
            <v>2100121192</v>
          </cell>
          <cell r="B1557" t="str">
            <v>E3134644</v>
          </cell>
          <cell r="J1557" t="str">
            <v>Кастрюля 24 с крышкой JO Essential</v>
          </cell>
        </row>
        <row r="1558">
          <cell r="A1558">
            <v>2100122333</v>
          </cell>
          <cell r="B1558" t="str">
            <v>E313S674</v>
          </cell>
          <cell r="J1558" t="str">
            <v>Набор JO Essential 6 предметов: ковш 16 см+крышка+Кастрюля 20/24 см+ 2 крышки</v>
          </cell>
        </row>
        <row r="1559">
          <cell r="A1559">
            <v>3201112516</v>
          </cell>
          <cell r="B1559">
            <v>1274916340</v>
          </cell>
          <cell r="J1559" t="str">
            <v>Набор столовых приборов 30 пр. JETTE</v>
          </cell>
        </row>
        <row r="1560">
          <cell r="A1560">
            <v>2100122313</v>
          </cell>
          <cell r="B1560" t="str">
            <v>E311S674</v>
          </cell>
          <cell r="J1560" t="str">
            <v>Набор Jamie Oliver 6 пр.: ковш 16 + крышка, кастрюли 20/24+ крышки</v>
          </cell>
        </row>
        <row r="1561">
          <cell r="A1561">
            <v>2100122312</v>
          </cell>
          <cell r="B1561" t="str">
            <v>E310S874</v>
          </cell>
          <cell r="J1561" t="str">
            <v>Набор Jamie Oliver 8 предметов: сковороды 24/28 + ковш 16 с крышкой + сотейнки 25 с крышкой + кастрюля 24 с крышкой</v>
          </cell>
        </row>
        <row r="1562">
          <cell r="A1562">
            <v>2100128648</v>
          </cell>
          <cell r="B1562" t="str">
            <v>K267S456</v>
          </cell>
          <cell r="J1562" t="str">
            <v>Набор ножей Tefal Jamie Oliver 4 шт Шеф 15 см + Сантоку 16,5 см + многофункц. 9 см + универсальный 11 см</v>
          </cell>
        </row>
        <row r="1563">
          <cell r="A1563">
            <v>2100126790</v>
          </cell>
          <cell r="B1563" t="str">
            <v>K267S355</v>
          </cell>
          <cell r="J1563" t="str">
            <v>Набор ножей Tefal Jamie Oliver 3 шт Шеф 15 см + многофункц. 9 см + универсальный 11 см</v>
          </cell>
        </row>
        <row r="1564">
          <cell r="A1564">
            <v>2100126788</v>
          </cell>
          <cell r="B1564" t="str">
            <v>K267S255</v>
          </cell>
          <cell r="J1564" t="str">
            <v>Набор ножей Tefal Jamie Oliver 2 шт Шеф 15 см + многофункц. 9 см</v>
          </cell>
        </row>
        <row r="1565">
          <cell r="A1565">
            <v>2100128650</v>
          </cell>
          <cell r="B1565" t="str">
            <v>K267S656</v>
          </cell>
          <cell r="J1565" t="str">
            <v>Набор ножей Tefal Jamie Oliver с блоком 6 шт Шеф 15 см + Сантоку 16,5 см + многофункц. 9 см + универсальный 11 см + нож для хлеба 20 см + нож для измельчения 20 см</v>
          </cell>
        </row>
        <row r="1566">
          <cell r="A1566">
            <v>2100128649</v>
          </cell>
          <cell r="B1566" t="str">
            <v>K267S556</v>
          </cell>
          <cell r="J1566" t="str">
            <v>Набор ножей Tefal Jamie Oliver с блоком 5 шт Шеф 15 см + Сантоку 16,5 см + многофункц. 9 см + универсальный 11 см + нож для хлеба 20 см</v>
          </cell>
        </row>
        <row r="1567">
          <cell r="A1567">
            <v>2100126786</v>
          </cell>
          <cell r="B1567" t="str">
            <v>K2670859</v>
          </cell>
          <cell r="J1567" t="str">
            <v>Набор ножей для стейка Tefal Jamie Oliver 4 шт</v>
          </cell>
        </row>
        <row r="1568">
          <cell r="A1568">
            <v>2100126782</v>
          </cell>
          <cell r="B1568" t="str">
            <v>K2670155</v>
          </cell>
          <cell r="J1568" t="str">
            <v>Шеф-нож Tefal Jamie Oliver 20 см</v>
          </cell>
        </row>
        <row r="1569">
          <cell r="A1569">
            <v>2100128646</v>
          </cell>
          <cell r="B1569" t="str">
            <v>K2671556</v>
          </cell>
          <cell r="J1569" t="str">
            <v>Нож Сантоку Tefal Jamie Oliver 16,5 см</v>
          </cell>
        </row>
        <row r="1570">
          <cell r="A1570">
            <v>2100126781</v>
          </cell>
          <cell r="B1570" t="str">
            <v>K2670355</v>
          </cell>
          <cell r="J1570" t="str">
            <v>Нож для хлеба Tefal Jamie Oliver 20 см</v>
          </cell>
        </row>
        <row r="1571">
          <cell r="A1571">
            <v>2100126778</v>
          </cell>
          <cell r="B1571" t="str">
            <v>K2670255</v>
          </cell>
          <cell r="J1571" t="str">
            <v>Нож для измельчения Tefal Jamie Oliver 20 см</v>
          </cell>
        </row>
        <row r="1572">
          <cell r="A1572">
            <v>2100126783</v>
          </cell>
          <cell r="B1572" t="str">
            <v>K2670955</v>
          </cell>
          <cell r="J1572" t="str">
            <v>Универсальный нож Tefal Jamie Oliver 12 см</v>
          </cell>
        </row>
        <row r="1573">
          <cell r="A1573">
            <v>2100126780</v>
          </cell>
          <cell r="B1573" t="str">
            <v>K2671155</v>
          </cell>
          <cell r="J1573" t="str">
            <v>Многофункциональный нож Tefal Jamie Oliver 9 см</v>
          </cell>
        </row>
        <row r="1574">
          <cell r="A1574">
            <v>2100126779</v>
          </cell>
          <cell r="B1574" t="str">
            <v>K2671655</v>
          </cell>
          <cell r="J1574" t="str">
            <v>Нож для разделки Tefal Jamie Oliver 7 см</v>
          </cell>
        </row>
        <row r="1575">
          <cell r="A1575">
            <v>1830009516</v>
          </cell>
          <cell r="B1575" t="str">
            <v>QT1811E0</v>
          </cell>
          <cell r="J1575" t="str">
            <v>ГЛАДИЛЬНАЯ СИСТЕМА IXEO VISION С КОМПАКТНОЙ ДИНАМИЧЕСКОЙ ДОСКОЙ, ГЛАДЬТЕ ИЛИ ОТПАРИВАЙТЕ В ЛЮБОЙ ИЗ 3Х ПОЗИЦИЯХ, 1 НАСТРОЙКА ТЕМПЕРАТУРЫ - ДЛЯ ЛЮБЫХ ТИПОВ ТКАНИ, СЕМНАЯ БАЗА ДЛЯ УДОБСТВА, КОЛЕСИКИ ДЛЯ ТРАНСПОРТИРОВКИ, ПОДАЧА ПАРА ПО ЗАПРОСУ, 1600 ВАТ, ДАВЛЕНИЕ 5,8 БАР, ПАРОВОЙ УДАР ДО 200Г\МИН, ПОСТОЯННЫЙ ПАР 90 Г.МИН, ГОТОВНОСТЬ К РАБОТЕ ЧЕРЕЗ 70 СЕК, ЛЕГКИЙ УТЮГ, СЪЕМНЫЙ РЕЗЕРВУАР ДЛЯ ВОДЫ 1 Л, АКСЕССУАРЫ 3 ШТ: ЩЕТКА ДЛЯ ПЛОТНОЙ ТКАНИ, ЗАЖИМЫ ДЛЯ БРЮК, ЩЕТКА ПРОТИВ КАТЫШКОВ</v>
          </cell>
        </row>
        <row r="1576">
          <cell r="A1576">
            <v>1830007520</v>
          </cell>
          <cell r="B1576" t="str">
            <v>QT2020E0</v>
          </cell>
          <cell r="J1576" t="str">
            <v>ГЛАДИЛЬНАЯ СИСТЕМА IXEO POWER С КОМПАКТНОЙ ДИНАМИЧЕСКОЙ ДОСКОЙ, ГЛАДЬТЕ ИЛИ ОТПАРИВАЙТЕ В ЛЮБОЙ ИЗ 3Х ПОЗИЦИЯХ, 1 НАСТРОЙКА ТЕМПЕРАТУРЫ - ДЛЯ ЛЮБЫХ ТИПОВ ТКАНИ, СЕМНАЯ БАЗА ДЛЯ УДОБСТВА, КОЛЕСИКИ ДЛЯ ТРАНСПОРТИРОВКИ, ПОДАЧА ПАРА ПО ЗАПРОСУ, 1600 ВАТ, ДАВЛЕНИЕ 5,8 БАР, ПАРОВОЙ УДАР ДО 200Г\МИН, ПОСТОЯННЫЙ ПАР 90 Г.МИН, ГОТОВНОСТЬ К РАБОТЕ ЧЕРЕЗ 70 СЕК, ЛЕГКИЙ УТЮГ, СЪЕМНЫЙ РЕЗЕРВУАР ДЛЯ ВОДЫ 1 Л, АКСЕССУАРЫ 3 ШТ: ЩЕТКА ДЛЯ ПЛОТНОЙ ТКАНИ, ЗАЖИМЫ ДЛЯ БРЮК, ЩЕТКА ПРОТИВ КАТЫШКОВ</v>
          </cell>
        </row>
        <row r="1577">
          <cell r="A1577">
            <v>1830009481</v>
          </cell>
          <cell r="B1577" t="str">
            <v>QT2028F0</v>
          </cell>
          <cell r="J1577" t="str">
            <v>ГЛАДИЛЬНАЯ СИСТЕМА IXEO POWER С КОМПАКТНОЙ ДИНАМИЧЕСКОЙ ДОСКОЙ, ГЛАДЬТЕ ИЛИ ОТПАРИВАЙТЕ В ЛЮБОЙ ИЗ 3Х ПОЗИЦИЯХ, 1 НАСТРОЙКА ТЕМПЕРАТУРЫ - ДЛЯ ЛЮБЫХ ТИПОВ ТКАНИ, СЕМНАЯ БАЗА ДЛЯ УДОБСТВА, КОЛЕСИКИ ДЛЯ ТРАНСПОРТИРОВКИ, ПОДАЧА ПАРА ПО ЗАПРОСУ, 1600 ВАТ, ДАВЛЕНИЕ 5,8 БАР, ПАРОВОЙ УДАР ДО 200Г\МИН, ПОСТОЯННЫЙ ПАР 90 Г.МИН, ГОТОВНОСТЬ К РАБОТЕ ЧЕРЕЗ 70 СЕК, ЛЕГКИЙ УТЮГ, СЪЕМНЫЙ РЕЗЕРВУАР ДЛЯ ВОДЫ 1 Л, АКСЕССУАРЫ 3 ШТ: ЩЕТКА ДЛЯ ПЛОТНОЙ ТКАНИ, ЗАЖИМЫ ДЛЯ БРЮК, ЩЕТКА ПРОТИВ КАТЫШКОВ</v>
          </cell>
        </row>
        <row r="1578">
          <cell r="A1578">
            <v>2841851000</v>
          </cell>
          <cell r="B1578" t="str">
            <v>XD5100E0</v>
          </cell>
          <cell r="J1578" t="str">
            <v>СМЕННЫЙ КАРТРИДЖ ДЛЯ ГЛАДИЛЬНОЙ СИСТЕМЫ IXEO QT1010E0/ QT1020E0. ДО 100% ЗАЩИТЫ ОТ НАКИПИ.</v>
          </cell>
        </row>
        <row r="1579">
          <cell r="A1579">
            <v>1600005119</v>
          </cell>
          <cell r="B1579" t="str">
            <v>XD5150E0</v>
          </cell>
          <cell r="J1579" t="str">
            <v xml:space="preserve">ДОПОЛНИТЕЛЬНЫЙ ЧЕХОЛ ДЛЯ ГЛАДИЛЬНОЙ ДОСКИ ОТ IXEO QT1010, ТКАНЫЙ С ГУБЧАТОЙ ПОДКЛАДКОЙ ТОЛЩИНОЙ 4 ММ, МАТЕРИАЛ - ЛЕН, ЦВЕТ СЕРО-БЕЛЫЙ. ТЕРМОСТОЙКОСТЬ ДО 145°C. СДЕЛАНО В КИТАЕ. </v>
          </cell>
        </row>
        <row r="1580">
          <cell r="A1580">
            <v>1600005120</v>
          </cell>
          <cell r="B1580" t="str">
            <v>XD5151E0</v>
          </cell>
          <cell r="J1580" t="str">
            <v xml:space="preserve">ДОПОЛНИТЕЛЬНЫЙ ЧЕХОЛ ДЛЯ ГЛАДИЛЬНОЙ ДОСКИ ОТ IXEO QT1020, ТКАНЫЙ С  ГУБЧАТОЙ ПОДКЛАДКОЙ, МАТЕРИАЛ - ЛЕН, ЦВЕТ - ЧЕРНЫЙ. СДЕЛАНО В КИТАЕ. </v>
          </cell>
        </row>
        <row r="1581">
          <cell r="A1581">
            <v>1600005372</v>
          </cell>
          <cell r="B1581" t="str">
            <v>XD5160E0</v>
          </cell>
          <cell r="J1581" t="str">
            <v xml:space="preserve">ДОПОЛНИТЕЛЬНЫЙ ЧЕХОЛ ДЛЯ ГЛАДИЛЬНОЙ ДОСКИ ОТ IXEO QT2020, ТКАНЫЙ С ГУБЧАТОЙ ПОДКЛАДКОЙ ТОЛЩИНОЙ 4 ММ, МАТЕРИАЛ - ХЛОПОК, ЦВЕТ ЧЕРНЫЙ. ТЕРМОСТОЙКОСТЬ ДО 145°C. СДЕЛАНО В КИТАЕ. </v>
          </cell>
        </row>
        <row r="1582">
          <cell r="A1582">
            <v>1830008176</v>
          </cell>
          <cell r="B1582" t="str">
            <v>QT1510E0</v>
          </cell>
          <cell r="J1582" t="str">
            <v>ПАРОВАЯ ГЛАДИЛЬНАЯ СИСТЕМА IXEO+ QT1510E0</v>
          </cell>
        </row>
        <row r="1583">
          <cell r="A1583">
            <v>1830008254</v>
          </cell>
          <cell r="B1583" t="str">
            <v>QT1511E0</v>
          </cell>
          <cell r="J1583" t="str">
            <v>ПАРОВАЯ ГЛАДИЛЬНАЯ СИСТЕМА IXEO+ QT1511</v>
          </cell>
        </row>
        <row r="1584">
          <cell r="A1584">
            <v>2100125818</v>
          </cell>
          <cell r="B1584" t="str">
            <v>B864S674</v>
          </cell>
          <cell r="J1584" t="str">
            <v>INTUITION Набор посуды из нержавеющей стали 6 предметов :  Кастрюля 20/24 с крышками, ковш 16 с крышкой</v>
          </cell>
        </row>
        <row r="1585">
          <cell r="A1585">
            <v>8010001245</v>
          </cell>
          <cell r="B1585" t="str">
            <v>EA877D10</v>
          </cell>
          <cell r="J1585" t="str">
            <v>Espresseria digital new frame</v>
          </cell>
        </row>
        <row r="1586">
          <cell r="A1586">
            <v>8010000986</v>
          </cell>
          <cell r="B1586" t="str">
            <v>EA875E10</v>
          </cell>
          <cell r="J1586" t="str">
            <v>Полностью автоматическая эспрессо машина Latt Happy от KRUPS. Возможность приготовления капучино с помощью одной кнопки. Технология KRUPS Quattro Force. Металлическая кофемолка с новым типом жерновов. Запатентованный Компактный Термоблок. LCD дисплей. Возможность сохранения 4 любимых наапитков.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контейнер для молока, фильтр для воды, таблетки для чистки варочного механизма.</v>
          </cell>
        </row>
        <row r="1587">
          <cell r="A1587">
            <v>8010000985</v>
          </cell>
          <cell r="B1587" t="str">
            <v>EA873810</v>
          </cell>
          <cell r="J1587" t="str">
            <v>QUATTRO FORCE LCD</v>
          </cell>
        </row>
        <row r="1588">
          <cell r="A1588">
            <v>8010000732</v>
          </cell>
          <cell r="B1588" t="str">
            <v>EA870810</v>
          </cell>
          <cell r="J1588" t="str">
            <v>Полностью автоматическая кофемашина Intuition Preference от KRUPS. 4 встроенных рецептов различных напитков (эспрессо, ристретто, лунго, горячая вода). Интуитивно понятный дисплей с сенсорными кнопками. Возможность приготовления двух чашек кофе одновременно. Возможность установки 5 степеней помола кофе, 3 режима крепости кофе. Технология KRUPS Quattro Force. Металлическая кофемолка с новым типом жерновов. Запатентованный Компактный Термоблок. Интуитивная световая индикация для легкого обслуживания и настройки до 2 любимых рецептов. Объем  контейнера для кофе 260 гр. Объем резервуара для воды – 3 литра, давление 15 бар, мощность 1450 Вт. Съемный поддон для капель. Материал корпуса – пластик черного цвета. В комплекте : фильтр для воды, таблетки для очистки заварочного блока.</v>
          </cell>
        </row>
        <row r="1589">
          <cell r="A1589">
            <v>1830005027</v>
          </cell>
          <cell r="B1589" t="str">
            <v>SF1012F0</v>
          </cell>
          <cell r="J1589" t="str">
            <v>SF1012F0 Выпрямитель</v>
          </cell>
        </row>
        <row r="1590">
          <cell r="A1590">
            <v>7211002126</v>
          </cell>
          <cell r="B1590" t="str">
            <v>PU4025F0</v>
          </cell>
          <cell r="J1590" t="str">
            <v>Воздухоочиститель Intense Pure Air Mid-size Automatic</v>
          </cell>
        </row>
        <row r="1591">
          <cell r="A1591">
            <v>7211004283</v>
          </cell>
          <cell r="B1591" t="str">
            <v>PU4026F0</v>
          </cell>
          <cell r="J1591" t="str">
            <v>Очиститель воздуха Intense Pure Air, рекомендуемая площадь до 35 м2, 4 режима работы, ионизация, коэффициент подачи чистого воздуха 150 куб.м/ час, уровень шума 22-45 дБ(А)</v>
          </cell>
        </row>
        <row r="1592">
          <cell r="A1592">
            <v>1830007003</v>
          </cell>
          <cell r="B1592" t="str">
            <v>SE9420F0</v>
          </cell>
          <cell r="J1592" t="str">
            <v>Tefal Mini Excel керамический нагреватель,1200/2400 W</v>
          </cell>
        </row>
        <row r="1593">
          <cell r="A1593">
            <v>1830005683</v>
          </cell>
          <cell r="B1593" t="str">
            <v>HD5120F0</v>
          </cell>
          <cell r="J1593" t="str">
            <v>Увлажнитель воздуха ультразвуковой, пар холодный/ горячий, 3 режима (автоматический, детский и ночной), автономия 18 часов, съемный резервуар для воды: 5,5 л, электронное управление, ЖК дисплей, таймер на 9 часов, автоотключение, мощность: 110 Вт, индикатор нехватки воды, картридж против накипи</v>
          </cell>
        </row>
        <row r="1594">
          <cell r="A1594">
            <v>9100048497</v>
          </cell>
          <cell r="B1594">
            <v>4219124</v>
          </cell>
          <cell r="J1594" t="str">
            <v>Сковорода 24 INTENSE</v>
          </cell>
        </row>
        <row r="1595">
          <cell r="A1595">
            <v>9100048498</v>
          </cell>
          <cell r="B1595">
            <v>4219126</v>
          </cell>
          <cell r="J1595" t="str">
            <v>Сковорода 26 INTENSE</v>
          </cell>
        </row>
        <row r="1596">
          <cell r="A1596">
            <v>9100048499</v>
          </cell>
          <cell r="B1596">
            <v>4219128</v>
          </cell>
          <cell r="J1596" t="str">
            <v>Сковорода 28 INTENSE</v>
          </cell>
        </row>
        <row r="1597">
          <cell r="A1597">
            <v>9100048501</v>
          </cell>
          <cell r="B1597">
            <v>4219628</v>
          </cell>
          <cell r="J1597" t="str">
            <v>Сковорода ВОК 28 INTENSE</v>
          </cell>
        </row>
        <row r="1598">
          <cell r="A1598">
            <v>9100048500</v>
          </cell>
          <cell r="B1598">
            <v>4219522</v>
          </cell>
          <cell r="J1598" t="str">
            <v>Сковорода 22бл INTENSE</v>
          </cell>
        </row>
        <row r="1599">
          <cell r="A1599">
            <v>9100054014</v>
          </cell>
          <cell r="B1599">
            <v>4218124</v>
          </cell>
          <cell r="J1599" t="str">
            <v>Сковорода 24 INTENSE</v>
          </cell>
        </row>
        <row r="1600">
          <cell r="A1600">
            <v>9100054015</v>
          </cell>
          <cell r="B1600">
            <v>4218126</v>
          </cell>
          <cell r="J1600" t="str">
            <v>Сковорода 26 INTENSE</v>
          </cell>
        </row>
        <row r="1601">
          <cell r="A1601">
            <v>9100054016</v>
          </cell>
          <cell r="B1601">
            <v>4218128</v>
          </cell>
          <cell r="J1601" t="str">
            <v>Сковорода 28 INTENSE</v>
          </cell>
        </row>
        <row r="1602">
          <cell r="A1602">
            <v>9100054017</v>
          </cell>
          <cell r="B1602">
            <v>4234522</v>
          </cell>
          <cell r="J1602" t="str">
            <v>Сковорода 22бл INTENSE</v>
          </cell>
        </row>
        <row r="1603">
          <cell r="A1603">
            <v>9100054018</v>
          </cell>
          <cell r="B1603">
            <v>4234628</v>
          </cell>
          <cell r="J1603" t="str">
            <v>Сковорода ВОК 28 INTENSE</v>
          </cell>
        </row>
        <row r="1604">
          <cell r="A1604">
            <v>9100054013</v>
          </cell>
          <cell r="B1604">
            <v>4218122</v>
          </cell>
          <cell r="J1604" t="str">
            <v>Сковорода 22 INTENSE</v>
          </cell>
        </row>
        <row r="1605">
          <cell r="A1605">
            <v>1830006501</v>
          </cell>
          <cell r="B1605" t="str">
            <v>CF5712F0</v>
          </cell>
          <cell r="J1605" t="str">
            <v>Instant Brush ionic</v>
          </cell>
        </row>
        <row r="1606">
          <cell r="A1606">
            <v>1510002638</v>
          </cell>
          <cell r="B1606" t="str">
            <v>GC271D10</v>
          </cell>
          <cell r="J1606" t="str">
            <v>Комбо 2 в 1 Панини мейкер и гриль, поверхность приготовления 29*26 см</v>
          </cell>
        </row>
        <row r="1607">
          <cell r="A1607">
            <v>1510002623</v>
          </cell>
          <cell r="B1607" t="str">
            <v>GC272D10</v>
          </cell>
          <cell r="J1607" t="str">
            <v>Комбо 2 в 1 Панини мейкер и гриль, поверхность приготовления 29*26 см, регулируемый термостат с 3 температурами</v>
          </cell>
        </row>
        <row r="1608">
          <cell r="A1608">
            <v>1510002856</v>
          </cell>
          <cell r="B1608" t="str">
            <v>GC2728E0</v>
          </cell>
          <cell r="J1608" t="str">
            <v>Комбо 2 в 1 Панини мейкер и гриль, поверхность приготовления 29*26 см, регулируемый термостат с 3 температурами</v>
          </cell>
        </row>
        <row r="1609">
          <cell r="A1609">
            <v>2100124925</v>
          </cell>
          <cell r="B1609" t="str">
            <v>L7638942</v>
          </cell>
          <cell r="J1609" t="str">
            <v xml:space="preserve">Набор Ingenio Unlimited Black G6 3 пр: сковороды 24/28+ ручка  </v>
          </cell>
        </row>
        <row r="1610">
          <cell r="A1610">
            <v>2100124948</v>
          </cell>
          <cell r="B1610" t="str">
            <v>L7637732</v>
          </cell>
          <cell r="J1610" t="str">
            <v>Сковорода ВОК Ingenio 26 Unlimited Black G6</v>
          </cell>
        </row>
        <row r="1611">
          <cell r="A1611">
            <v>2100125145</v>
          </cell>
          <cell r="B1611" t="str">
            <v>L7633502</v>
          </cell>
          <cell r="J1611" t="str">
            <v>Сотейник Ingenio 24 Unlimited Black G6</v>
          </cell>
        </row>
        <row r="1612">
          <cell r="A1612">
            <v>2100124945</v>
          </cell>
          <cell r="B1612" t="str">
            <v>L7632832</v>
          </cell>
          <cell r="J1612" t="str">
            <v>Ковш Ingenio 16 Unlimited Black G6</v>
          </cell>
        </row>
        <row r="1613">
          <cell r="A1613">
            <v>2100124944</v>
          </cell>
          <cell r="B1613" t="str">
            <v>L7639032</v>
          </cell>
          <cell r="J1613" t="str">
            <v xml:space="preserve">Набор Ingenio Unlimited Black G6 3 пр: сковороды 22/26+ ручка  </v>
          </cell>
        </row>
        <row r="1614">
          <cell r="A1614">
            <v>2100125020</v>
          </cell>
          <cell r="B1614" t="str">
            <v>L7630302</v>
          </cell>
          <cell r="J1614" t="str">
            <v xml:space="preserve">Сковорода Ingenio 22 Unlimited Black G6 </v>
          </cell>
        </row>
        <row r="1615">
          <cell r="A1615">
            <v>2100124949</v>
          </cell>
          <cell r="B1615" t="str">
            <v>L7630432</v>
          </cell>
          <cell r="J1615" t="str">
            <v xml:space="preserve">Сковорода Ingenio 24 Unlimited Black G6 </v>
          </cell>
        </row>
        <row r="1616">
          <cell r="A1616">
            <v>2100124950</v>
          </cell>
          <cell r="B1616" t="str">
            <v>L7630532</v>
          </cell>
          <cell r="J1616" t="str">
            <v>Сковорода Ingenio 26 Unlimited Black G6</v>
          </cell>
        </row>
        <row r="1617">
          <cell r="A1617">
            <v>2100124951</v>
          </cell>
          <cell r="B1617" t="str">
            <v>L7630632</v>
          </cell>
          <cell r="J1617" t="str">
            <v>Сковорода Ingenio 28 Unlimited Black G6</v>
          </cell>
        </row>
        <row r="1618">
          <cell r="A1618">
            <v>2100124946</v>
          </cell>
          <cell r="B1618" t="str">
            <v>L7632932</v>
          </cell>
          <cell r="J1618" t="str">
            <v>Ковш Ingenio 18 Unlimited Black G6</v>
          </cell>
        </row>
        <row r="1619">
          <cell r="A1619">
            <v>2100124947</v>
          </cell>
          <cell r="B1619" t="str">
            <v>L7633032</v>
          </cell>
          <cell r="J1619" t="str">
            <v>Ковш Ingenio 20 Unlimited Black G6</v>
          </cell>
        </row>
        <row r="1620">
          <cell r="A1620">
            <v>2100125143</v>
          </cell>
          <cell r="B1620" t="str">
            <v>L7639002</v>
          </cell>
          <cell r="J1620" t="str">
            <v>Набор Unlimited G6 Black 13 пр: сковороды 22/28+ковши 16/20+стекл.крышки 16/20/24+пл.крышки 16/20+ВОК26+сотейник24+2 ручки</v>
          </cell>
        </row>
        <row r="1621">
          <cell r="A1621">
            <v>9100039978</v>
          </cell>
          <cell r="B1621">
            <v>4180860</v>
          </cell>
          <cell r="J1621" t="str">
            <v>Набор Ingenio Twinkle Grey 10пр: сковороды 22/26/28 + ковш 16/20 + 4 аксс. ручка 5</v>
          </cell>
        </row>
        <row r="1622">
          <cell r="A1622">
            <v>9100033278</v>
          </cell>
          <cell r="B1622">
            <v>4180850</v>
          </cell>
          <cell r="J1622" t="str">
            <v>Набор Ingenio Twinkle Grey 4 пр: сковороды 22/26 + ковш 16 + ручка 5</v>
          </cell>
        </row>
        <row r="1623">
          <cell r="A1623">
            <v>2100098777</v>
          </cell>
          <cell r="B1623" t="str">
            <v>K1181714</v>
          </cell>
          <cell r="J1623" t="str">
            <v>Венчик Ingenio</v>
          </cell>
        </row>
        <row r="1624">
          <cell r="A1624">
            <v>2100098780</v>
          </cell>
          <cell r="B1624" t="str">
            <v>K1181214</v>
          </cell>
          <cell r="J1624" t="str">
            <v>Толкушка для картофеля  Ingenio</v>
          </cell>
        </row>
        <row r="1625">
          <cell r="A1625">
            <v>2100098774</v>
          </cell>
          <cell r="B1625" t="str">
            <v>K1180814</v>
          </cell>
          <cell r="J1625" t="str">
            <v>Ложка для пасты Ingenio</v>
          </cell>
        </row>
        <row r="1626">
          <cell r="A1626">
            <v>2100098775</v>
          </cell>
          <cell r="B1626" t="str">
            <v>K1180614</v>
          </cell>
          <cell r="J1626" t="str">
            <v>Шумовка Ingenio</v>
          </cell>
        </row>
        <row r="1627">
          <cell r="A1627">
            <v>2100098781</v>
          </cell>
          <cell r="B1627" t="str">
            <v>K1180314</v>
          </cell>
          <cell r="J1627" t="str">
            <v>Лопатка Ingenio</v>
          </cell>
        </row>
        <row r="1628">
          <cell r="A1628">
            <v>2100098776</v>
          </cell>
          <cell r="B1628" t="str">
            <v>K1180114</v>
          </cell>
          <cell r="J1628" t="str">
            <v>Ложка Ingenio</v>
          </cell>
        </row>
        <row r="1629">
          <cell r="A1629">
            <v>9100038189</v>
          </cell>
          <cell r="B1629">
            <v>4175890</v>
          </cell>
          <cell r="J1629" t="str">
            <v>Набор Ingenio RED: сковороды 22/26 + ковш 16 + ручка 5</v>
          </cell>
        </row>
        <row r="1630">
          <cell r="A1630">
            <v>9100041452</v>
          </cell>
          <cell r="B1630">
            <v>4186840</v>
          </cell>
          <cell r="J1630" t="str">
            <v>Набор Ingenio red 9 пр:  сковороды22 /28+ сотейник 26 + ковш 16 / пл. крышка 16+ лопатка, ложка, шумовка+ ручка 5</v>
          </cell>
        </row>
        <row r="1631">
          <cell r="A1631">
            <v>9100041635</v>
          </cell>
          <cell r="B1631">
            <v>4186850</v>
          </cell>
          <cell r="J1631" t="str">
            <v>Ingenio red 11 пр : сковороды 22/28 + сот 26+ вок26 + ковш 16/20+ лопатка, шумовка, черпак+2 ручки 5</v>
          </cell>
        </row>
        <row r="1632">
          <cell r="A1632">
            <v>9100020383</v>
          </cell>
          <cell r="B1632">
            <v>4154810</v>
          </cell>
          <cell r="J1632" t="str">
            <v xml:space="preserve">Набор INGENIO RED 3 предмета: Сковороды 22/26 + ручка INGENIO 3  </v>
          </cell>
        </row>
        <row r="1633">
          <cell r="A1633">
            <v>9100020384</v>
          </cell>
          <cell r="B1633">
            <v>4154820</v>
          </cell>
          <cell r="J1633" t="str">
            <v xml:space="preserve">Набор INGENIO RED 3 предмета: Сковороды 24/28 + ручка INGENIO 3 </v>
          </cell>
        </row>
        <row r="1634">
          <cell r="A1634">
            <v>2100095266</v>
          </cell>
          <cell r="B1634" t="str">
            <v>K2203004</v>
          </cell>
          <cell r="J1634" t="str">
            <v>4 защитных чехла из фетра</v>
          </cell>
        </row>
        <row r="1635">
          <cell r="A1635">
            <v>2100125542</v>
          </cell>
          <cell r="B1635" t="str">
            <v>L3969072</v>
          </cell>
          <cell r="J1635" t="str">
            <v>Набор Ingenio Natural Force 7 пр (ковш 16, сковорода 26, ВОК 26, 3 аксс + ручка)</v>
          </cell>
        </row>
        <row r="1636">
          <cell r="A1636">
            <v>2100123178</v>
          </cell>
          <cell r="B1636" t="str">
            <v>L3969202</v>
          </cell>
          <cell r="J1636" t="str">
            <v>Набор Ingenio Natural Force 3пр сковороды 22/26 + ручка</v>
          </cell>
        </row>
        <row r="1637">
          <cell r="A1637">
            <v>2100123155</v>
          </cell>
          <cell r="B1637" t="str">
            <v>L3963002</v>
          </cell>
          <cell r="J1637" t="str">
            <v>Ковш Ingenio NATURAL FORCE 20 см</v>
          </cell>
        </row>
        <row r="1638">
          <cell r="A1638">
            <v>2100123158</v>
          </cell>
          <cell r="B1638" t="str">
            <v>L3960402</v>
          </cell>
          <cell r="J1638" t="str">
            <v>Сковорода Ingenio  Natural Force  24 см</v>
          </cell>
        </row>
        <row r="1639">
          <cell r="A1639">
            <v>2100125162</v>
          </cell>
          <cell r="B1639" t="str">
            <v>L3960502</v>
          </cell>
          <cell r="J1639" t="str">
            <v>Сковорода Ingenio  Natural Force  26 см</v>
          </cell>
        </row>
        <row r="1640">
          <cell r="A1640">
            <v>2100123159</v>
          </cell>
          <cell r="B1640" t="str">
            <v>L3960602</v>
          </cell>
          <cell r="J1640" t="str">
            <v>Сковорода Ingenio  Natural Force  28 см</v>
          </cell>
        </row>
        <row r="1641">
          <cell r="A1641">
            <v>2100123157</v>
          </cell>
          <cell r="B1641" t="str">
            <v>L3968302</v>
          </cell>
          <cell r="J1641" t="str">
            <v>Глубокая сковорода Ingenio  Natural Force  22 см</v>
          </cell>
        </row>
        <row r="1642">
          <cell r="A1642">
            <v>2100123156</v>
          </cell>
          <cell r="B1642" t="str">
            <v>L3967702</v>
          </cell>
          <cell r="J1642" t="str">
            <v xml:space="preserve">Сковорода Ingenio ВОК NATURAL FORCE 26 см </v>
          </cell>
        </row>
        <row r="1643">
          <cell r="A1643">
            <v>2100123160</v>
          </cell>
          <cell r="B1643" t="str">
            <v>L3963502</v>
          </cell>
          <cell r="J1643" t="str">
            <v>Сотейник Ingenio  Natural Force  24 см</v>
          </cell>
        </row>
        <row r="1644">
          <cell r="A1644">
            <v>2100123154</v>
          </cell>
          <cell r="B1644" t="str">
            <v>L3962802</v>
          </cell>
          <cell r="J1644" t="str">
            <v>Ковш Ingenio NATURAL FORCE 16 см</v>
          </cell>
        </row>
        <row r="1645">
          <cell r="A1645">
            <v>2100123177</v>
          </cell>
          <cell r="B1645" t="str">
            <v>L3969102</v>
          </cell>
          <cell r="J1645" t="str">
            <v>Набор Ingenio Natural Force 3пр сковороды 24/28 + ручка</v>
          </cell>
        </row>
        <row r="1646">
          <cell r="A1646">
            <v>2100124982</v>
          </cell>
          <cell r="B1646" t="str">
            <v>L3969053</v>
          </cell>
          <cell r="J1646" t="str">
            <v xml:space="preserve">Набор Ingenio Natural Force 5пр (сковороды 22/28, ковши 16/20 + ручка)  </v>
          </cell>
        </row>
        <row r="1647">
          <cell r="A1647">
            <v>2100125543</v>
          </cell>
          <cell r="B1647" t="str">
            <v>L3969172</v>
          </cell>
          <cell r="J1647" t="str">
            <v xml:space="preserve">Набор Ingenio Natural Force 7 пр: (ковш 16, сковорода 24, сотейник 24, ст. крышка 24 +2 аксс+ ручка) </v>
          </cell>
        </row>
        <row r="1648">
          <cell r="A1648">
            <v>2100125376</v>
          </cell>
          <cell r="B1648" t="str">
            <v>L3969153</v>
          </cell>
          <cell r="J1648" t="str">
            <v>Набор Ingenio Natural Force 8 пр: (ковши 16/20, сковороды 22/26, стекл. Крышки 16/20 +2 ручки )</v>
          </cell>
        </row>
        <row r="1649">
          <cell r="A1649">
            <v>2100104607</v>
          </cell>
          <cell r="B1649" t="str">
            <v>K2350204</v>
          </cell>
          <cell r="J1649" t="str">
            <v>Блок для ножей Ice Force со встроенной ножеточкой</v>
          </cell>
        </row>
        <row r="1650">
          <cell r="A1650">
            <v>2100093260</v>
          </cell>
          <cell r="B1650" t="str">
            <v>K206S414</v>
          </cell>
          <cell r="J1650" t="str">
            <v>Набор аксессуаров TEFAL Ingenio</v>
          </cell>
        </row>
        <row r="1651">
          <cell r="A1651">
            <v>2100087320</v>
          </cell>
          <cell r="B1651" t="str">
            <v>K2060714</v>
          </cell>
          <cell r="J1651" t="str">
            <v>Кулинарные Щипцы Ingenio</v>
          </cell>
        </row>
        <row r="1652">
          <cell r="A1652">
            <v>2100087321</v>
          </cell>
          <cell r="B1652" t="str">
            <v>K2060814</v>
          </cell>
          <cell r="J1652" t="str">
            <v>Угловая лопатка Ingenio</v>
          </cell>
        </row>
        <row r="1653">
          <cell r="A1653">
            <v>2100087317</v>
          </cell>
          <cell r="B1653" t="str">
            <v>K2060614</v>
          </cell>
          <cell r="J1653" t="str">
            <v>Щипцы для салата Ingenio</v>
          </cell>
        </row>
        <row r="1654">
          <cell r="A1654">
            <v>2100087323</v>
          </cell>
          <cell r="B1654" t="str">
            <v>K2060514</v>
          </cell>
          <cell r="J1654" t="str">
            <v>Ложка Ingenio</v>
          </cell>
        </row>
        <row r="1655">
          <cell r="A1655">
            <v>2100087393</v>
          </cell>
          <cell r="B1655" t="str">
            <v>K2060314</v>
          </cell>
          <cell r="J1655" t="str">
            <v>Шумовка Ingenio</v>
          </cell>
        </row>
        <row r="1656">
          <cell r="A1656">
            <v>2100087319</v>
          </cell>
          <cell r="B1656" t="str">
            <v>K2060214</v>
          </cell>
          <cell r="J1656" t="str">
            <v>Ложка для пасты Ingenio</v>
          </cell>
        </row>
        <row r="1657">
          <cell r="A1657">
            <v>2100087318</v>
          </cell>
          <cell r="B1657" t="str">
            <v>K2060114</v>
          </cell>
          <cell r="J1657" t="str">
            <v>Половник Ingenio</v>
          </cell>
        </row>
        <row r="1658">
          <cell r="A1658">
            <v>2100087661</v>
          </cell>
          <cell r="B1658" t="str">
            <v>K2070614</v>
          </cell>
          <cell r="J1658" t="str">
            <v>Дуршлаг "Индженио" пластик</v>
          </cell>
        </row>
        <row r="1659">
          <cell r="A1659">
            <v>2100093246</v>
          </cell>
          <cell r="B1659" t="str">
            <v>K2072614</v>
          </cell>
          <cell r="J1659" t="str">
            <v>Пресс для чеснока "Индженио"</v>
          </cell>
        </row>
        <row r="1660">
          <cell r="A1660">
            <v>2100087400</v>
          </cell>
          <cell r="B1660" t="str">
            <v>K2071314</v>
          </cell>
          <cell r="J1660" t="str">
            <v>Кухонные ножницы Ingenio</v>
          </cell>
        </row>
        <row r="1661">
          <cell r="A1661">
            <v>2100088630</v>
          </cell>
          <cell r="B1661" t="str">
            <v>K2070514</v>
          </cell>
          <cell r="J1661" t="str">
            <v>Консервный нож Ingenio</v>
          </cell>
        </row>
        <row r="1662">
          <cell r="A1662">
            <v>2100087329</v>
          </cell>
          <cell r="B1662" t="str">
            <v>K2070714</v>
          </cell>
          <cell r="J1662" t="str">
            <v>Ручная терка Ingenio</v>
          </cell>
        </row>
        <row r="1663">
          <cell r="A1663">
            <v>2100094913</v>
          </cell>
          <cell r="B1663" t="str">
            <v>K2073414</v>
          </cell>
          <cell r="J1663" t="str">
            <v>Штопор "Индженио"</v>
          </cell>
        </row>
        <row r="1664">
          <cell r="A1664">
            <v>2100087331</v>
          </cell>
          <cell r="B1664" t="str">
            <v>K2071114</v>
          </cell>
          <cell r="J1664" t="str">
            <v>Нож для пиццы "Индженио"</v>
          </cell>
        </row>
        <row r="1665">
          <cell r="A1665">
            <v>2100087332</v>
          </cell>
          <cell r="B1665" t="str">
            <v>K2071814</v>
          </cell>
          <cell r="J1665" t="str">
            <v>Нож для чистки овощей Ingenio</v>
          </cell>
        </row>
        <row r="1666">
          <cell r="A1666">
            <v>2100087333</v>
          </cell>
          <cell r="B1666" t="str">
            <v>K2071714</v>
          </cell>
          <cell r="J1666" t="str">
            <v>Венчик Ingenio</v>
          </cell>
        </row>
        <row r="1667">
          <cell r="A1667">
            <v>2100087330</v>
          </cell>
          <cell r="B1667" t="str">
            <v>K2071214</v>
          </cell>
          <cell r="J1667" t="str">
            <v>Толкушка для картофеля Ingenio</v>
          </cell>
        </row>
        <row r="1668">
          <cell r="A1668">
            <v>2100093251</v>
          </cell>
          <cell r="B1668" t="str">
            <v>K2073514</v>
          </cell>
          <cell r="J1668" t="str">
            <v>Яйцерезка с набором дисков "Индженио"</v>
          </cell>
        </row>
        <row r="1669">
          <cell r="A1669">
            <v>2100087325</v>
          </cell>
          <cell r="B1669" t="str">
            <v>K2071014</v>
          </cell>
          <cell r="J1669" t="str">
            <v>Картофелечистка Ingenio</v>
          </cell>
        </row>
        <row r="1670">
          <cell r="A1670">
            <v>2100129606</v>
          </cell>
          <cell r="B1670" t="str">
            <v>L7639453</v>
          </cell>
          <cell r="J1670" t="str">
            <v>Набор Ingenio Exception Noir 12 пр. сковороды 26/28 см, сотейник 24 см, WOK 28 см, ковш 22см,  пл. крышки 22/24, ст. крышки 22/24/28 + 2  ручки</v>
          </cell>
        </row>
        <row r="1671">
          <cell r="A1671">
            <v>2100127762</v>
          </cell>
          <cell r="B1671" t="str">
            <v>L896SD04</v>
          </cell>
          <cell r="J1671" t="str">
            <v>Набор Ingenio 13 пр: Сковороды 22/26/28 см + Ковши 16/20 см + Пластиковые крышки 16/20 см + 5 аксессуаров (Шумовка, Лопатка, 3 защитных чехла из фетра) + 1 ручка Ingenio 6</v>
          </cell>
        </row>
        <row r="1672">
          <cell r="A1672">
            <v>2100125024</v>
          </cell>
          <cell r="B1672" t="str">
            <v>L897S574</v>
          </cell>
          <cell r="J1672" t="str">
            <v>Набор Ingenio 5 пр: Сковороды 22/28 см + Ковши 16/20 см + 1 ручка Ingenio 6</v>
          </cell>
        </row>
        <row r="1673">
          <cell r="A1673">
            <v>2100126233</v>
          </cell>
          <cell r="B1673" t="str">
            <v>L8978S04</v>
          </cell>
          <cell r="J1673" t="str">
            <v>Набор Ingenio 8 пр: Сковороды 22/26 см + Ковш 18 см + Сотейник 24 см + 1 ручка Ingenio 6 + 3 аксессуара (Половник, Ложка, Лопатка)</v>
          </cell>
        </row>
        <row r="1674">
          <cell r="A1674">
            <v>2100126157</v>
          </cell>
          <cell r="B1674" t="str">
            <v>L896S504</v>
          </cell>
          <cell r="J1674" t="str">
            <v>Набор Ingenio 5 пр без покрытия: Сковороды 22/26 см + Ковш 18 см + Пластиковая крышка 18 см  + 1 ручка Ingenio 6</v>
          </cell>
        </row>
        <row r="1675">
          <cell r="A1675">
            <v>2100127738</v>
          </cell>
          <cell r="B1675" t="str">
            <v>L8968S04</v>
          </cell>
          <cell r="J1675" t="str">
            <v>Набор Ingenio 8 пр без покрытия: Сковорода 22/24/26 + Ковши 16/18 см + Пластиковые крышки 16/18 см+ 1 Ручка Ingenio 6</v>
          </cell>
        </row>
        <row r="1676">
          <cell r="A1676">
            <v>2100128754</v>
          </cell>
          <cell r="B1676" t="str">
            <v>L7839622</v>
          </cell>
          <cell r="J1676" t="str">
            <v>Набор 6 пр: Сковорода 24/28 см+Ковш 18 см+Стеклянная крышка 18 см+Пластиковая крышка 18 см +1 ручка Ingenio 6</v>
          </cell>
        </row>
        <row r="1677">
          <cell r="A1677">
            <v>2100128756</v>
          </cell>
          <cell r="B1677" t="str">
            <v>L7839522</v>
          </cell>
          <cell r="J1677" t="str">
            <v>Набор 6 пр: Сковорода 28 см+Вок 26 см+Ковш 18+Стеклянная крышка 18 см+Пластиковая крышка 18 см+1 ручка Ingenio 6</v>
          </cell>
        </row>
        <row r="1678">
          <cell r="A1678">
            <v>2100139602</v>
          </cell>
          <cell r="B1678" t="str">
            <v>L7839202</v>
          </cell>
          <cell r="J1678" t="str">
            <v>Набор 11 пр: Сковорода 24/28 см, ковш 18/20 см + 2 пластиковые крышки+4 протектора+ 1 ручка Ingenio 6</v>
          </cell>
        </row>
        <row r="1679">
          <cell r="A1679">
            <v>2100125357</v>
          </cell>
          <cell r="B1679" t="str">
            <v>L7629553</v>
          </cell>
          <cell r="J1679" t="str">
            <v>Набор Ingenio Daily Chef Black 3пр: сковороды 24/28 + ручка</v>
          </cell>
        </row>
        <row r="1680">
          <cell r="A1680">
            <v>2100124930</v>
          </cell>
          <cell r="B1680" t="str">
            <v>L7629242</v>
          </cell>
          <cell r="J1680" t="str">
            <v>Набор Ingenio Daily Chef Black 8 пр: ВОК 26 + сковороды 22/26  + ковши 16/18  + 2 стеклянные крышки 22/26 + ручка</v>
          </cell>
        </row>
        <row r="1681">
          <cell r="A1681">
            <v>2100125137</v>
          </cell>
          <cell r="B1681" t="str">
            <v>L7629453</v>
          </cell>
          <cell r="J1681" t="str">
            <v>Набор Ingenio Daily Chef Black 4 пр: глубокая сковорода 22 / 26 см + ковш 18  + ручка)</v>
          </cell>
        </row>
        <row r="1682">
          <cell r="A1682">
            <v>2100124929</v>
          </cell>
          <cell r="B1682" t="str">
            <v>L7629102</v>
          </cell>
          <cell r="J1682" t="str">
            <v xml:space="preserve">Набор Ingenio Daily Chef Black  5пр: сковороды 24/28, ковши 16/20+ручка </v>
          </cell>
        </row>
        <row r="1683">
          <cell r="A1683">
            <v>2100124928</v>
          </cell>
          <cell r="B1683" t="str">
            <v>L7629142</v>
          </cell>
          <cell r="J1683" t="str">
            <v>Набор Ingenio Daily Chef Black 10 пр: сковороды 24/28 + ковши 16/20 + сотейник 24 + стеклянные крышки 16/20/24   + 2 ручки</v>
          </cell>
        </row>
        <row r="1684">
          <cell r="A1684">
            <v>9100059473</v>
          </cell>
          <cell r="B1684">
            <v>4252830</v>
          </cell>
          <cell r="J1684" t="str">
            <v xml:space="preserve">Набор INGENIO COOK'S BASICS 4 пр: 22/26 + ковш 16 + ручка 6 </v>
          </cell>
        </row>
        <row r="1685">
          <cell r="A1685">
            <v>9100059474</v>
          </cell>
          <cell r="B1685">
            <v>4252840</v>
          </cell>
          <cell r="J1685" t="str">
            <v>Набор INGENIO COOK'S BASICS 9 пр:  сковороды22 /28+ сотейник 26 + ковш 16 / пл. крышка 16+ лопатка, ложка, шумовка+ ручка 6</v>
          </cell>
        </row>
        <row r="1686">
          <cell r="A1686">
            <v>9100059475</v>
          </cell>
          <cell r="B1686">
            <v>4252850</v>
          </cell>
          <cell r="J1686" t="str">
            <v>Набор INGENIO COOK'S BASICS 11 пр : сковороды 22/28 + сот 26+ вок26 + ковш 16/20+ лопатка, шумовка, черпак+2 ручки 6</v>
          </cell>
        </row>
        <row r="1687">
          <cell r="A1687">
            <v>2100132529</v>
          </cell>
          <cell r="B1687" t="str">
            <v>L881S304</v>
          </cell>
          <cell r="J1687" t="str">
            <v xml:space="preserve">Набор 3 пр: ковш  18 + сковорода 24 + ручка 6 </v>
          </cell>
        </row>
        <row r="1688">
          <cell r="A1688">
            <v>2100132882</v>
          </cell>
          <cell r="B1688" t="str">
            <v>L8813S75</v>
          </cell>
          <cell r="J1688" t="str">
            <v>Набор 3 пр: сковороды 22/26 + ручка 6</v>
          </cell>
        </row>
        <row r="1689">
          <cell r="A1689">
            <v>2100132528</v>
          </cell>
          <cell r="B1689" t="str">
            <v>L881S404</v>
          </cell>
          <cell r="J1689" t="str">
            <v xml:space="preserve">Набор 4 пр:  ковш 16 + сковороды 22/26 + ручка 6  </v>
          </cell>
        </row>
        <row r="1690">
          <cell r="A1690">
            <v>2100132543</v>
          </cell>
          <cell r="B1690" t="str">
            <v>L881SA04</v>
          </cell>
          <cell r="J1690" t="str">
            <v xml:space="preserve">Набор 10 пр: ковши 16/18 + сковороды 22/26 + ручка 6  + 5 аксессуаров </v>
          </cell>
        </row>
        <row r="1691">
          <cell r="A1691">
            <v>2100132526</v>
          </cell>
          <cell r="B1691" t="str">
            <v>L881S604</v>
          </cell>
          <cell r="J1691" t="str">
            <v xml:space="preserve">Набор 6 пр: ковши 16/18 + сковороды 22/24/28 + ручка 6  </v>
          </cell>
        </row>
        <row r="1692">
          <cell r="A1692">
            <v>2100132525</v>
          </cell>
          <cell r="B1692" t="str">
            <v>L881S804</v>
          </cell>
          <cell r="J1692" t="str">
            <v>Набор 8 пр: ковши 16/18 + сковороды 22/24/26 + ручка 6 + пластиковые крышки 16/18</v>
          </cell>
        </row>
        <row r="1693">
          <cell r="A1693">
            <v>2100132537</v>
          </cell>
          <cell r="B1693" t="str">
            <v>L881S904</v>
          </cell>
          <cell r="J1693" t="str">
            <v xml:space="preserve">Набор 9 пр: ковши 16/20 + сковороды 24/28 + сотейник 24 + ручка 6 + 3 аксессуара </v>
          </cell>
        </row>
        <row r="1694">
          <cell r="A1694">
            <v>2100132524</v>
          </cell>
          <cell r="B1694" t="str">
            <v>L881SB04</v>
          </cell>
          <cell r="J1694" t="str">
            <v>Набор 11 пр: ковши 16/20 + сковороды 22/26/28 + сотейник 24 + ручка 6 + 2 аксессуара + 2 протектора</v>
          </cell>
        </row>
        <row r="1695">
          <cell r="A1695">
            <v>2100132523</v>
          </cell>
          <cell r="B1695" t="str">
            <v>L881SF04</v>
          </cell>
          <cell r="J1695" t="str">
            <v xml:space="preserve">Набор 15 пр: ковши 16/20 + сковороды 22/26 /28 + вок 26 + сотейник 24 + ручка 6 + 3 аксессуара + 2 протектора + пластиковые крышки 16/20 </v>
          </cell>
        </row>
        <row r="1696">
          <cell r="A1696">
            <v>9100048105</v>
          </cell>
          <cell r="B1696">
            <v>4217840</v>
          </cell>
          <cell r="J1696" t="str">
            <v>Э 04217840 Наб В26/К20/руч 3 ING BROWNIE</v>
          </cell>
        </row>
        <row r="1697">
          <cell r="A1697">
            <v>2100126098</v>
          </cell>
          <cell r="B1697" t="str">
            <v>L3999032</v>
          </cell>
          <cell r="J1697" t="str">
            <v>Набор Ingenio Black Stone 3пр 24/28 + ручка</v>
          </cell>
        </row>
        <row r="1698">
          <cell r="A1698">
            <v>2100123906</v>
          </cell>
          <cell r="B1698" t="str">
            <v>L3999002</v>
          </cell>
          <cell r="J1698" t="str">
            <v>Набор Ingenio Black Stone 6 пр: глубокая сковорода 22, cковорода 26, ковш 18, аксессуары + ручка</v>
          </cell>
        </row>
        <row r="1699">
          <cell r="A1699">
            <v>9100044817</v>
          </cell>
          <cell r="B1699">
            <v>4193850</v>
          </cell>
          <cell r="J1699" t="str">
            <v>Набор Ingenio Black 8 пр: сковорода 24/28/Вок 26/ковш 16/3акс/ручка 5</v>
          </cell>
        </row>
        <row r="1700">
          <cell r="A1700">
            <v>9100054086</v>
          </cell>
          <cell r="B1700">
            <v>4238850</v>
          </cell>
          <cell r="J1700" t="str">
            <v>Набор Ingenio Black 8 пр: сковорода 24/28/Вок 26/ковш 16/3акс/ручка 5</v>
          </cell>
        </row>
        <row r="1701">
          <cell r="A1701">
            <v>9100048103</v>
          </cell>
          <cell r="B1701" t="str">
            <v>04217820</v>
          </cell>
          <cell r="J1701" t="str">
            <v>SET FP24/28/HDL3 ING BROWNIE</v>
          </cell>
        </row>
        <row r="1702">
          <cell r="A1702">
            <v>9100048102</v>
          </cell>
          <cell r="B1702" t="str">
            <v>04217810</v>
          </cell>
          <cell r="J1702" t="str">
            <v>SET FP22/26/HDL3 ING BROWNIE</v>
          </cell>
        </row>
        <row r="1703">
          <cell r="A1703">
            <v>7211003929</v>
          </cell>
          <cell r="B1703" t="str">
            <v>DD95HD10</v>
          </cell>
          <cell r="J1703" t="str">
            <v>ПОГРУЖНОЙ БЛЕНДЕР INFINY FORCE PRO, МОЩНОСТЬ 1200 ВТ, ПЛАВНАЯ РЕГУЛИРОВКА СКОРОСТЕЙ, МЕРНЫЙ СТАКАН, МЕТАЛЛИЧЕСКАЯ НОГА , ТЕХНОЛОГИЯ ЛЕЗВИЙ POWELIX, ВЕНЧИК, ИЗМЕЛЬЧИТЕЛЬ 500МЛ, НАСАДКА ДЛЯ ПЮРЕ, МЕТАЛЛИЧЕСКИЙ КОРПУС.</v>
          </cell>
        </row>
        <row r="1704">
          <cell r="A1704">
            <v>7211004244</v>
          </cell>
          <cell r="B1704" t="str">
            <v>DD95KD10</v>
          </cell>
          <cell r="J1704" t="str">
            <v xml:space="preserve">ПОГРУЖНОЙ БЛЕНДЕР              </v>
          </cell>
        </row>
        <row r="1705">
          <cell r="A1705">
            <v>7211004054</v>
          </cell>
          <cell r="B1705" t="str">
            <v>DD95MD10</v>
          </cell>
          <cell r="J1705" t="str">
            <v>ПОГРУЖНОЙ БЛЕНДЕР INFINY FORCE PRO, МОЩНОСТЬ 1200 ВТ, ПЛАВНАЯ РЕГУЛИРОВКА СКОРОСТЕЙ, МЕРНЫЙ СТАКАН, МЕТАЛЛИЧЕСКАЯ НОГА , ТЕХНОЛОГИЯ ЛЕЗВИЙ POWELIX, ВЕНЧИК, ИЗМЕЛЬЧИТЕЛЬ 500МЛ, НАСАДКА ДЛЯ ПЮРЕ, НАСАДКА - КУХОННЫЙ КОМБАЙН, НАСАДКА ДЛЯ ПРИГОТОВЛЕНИЯ СОУСОВ И МАЙОНЕЗА, МЕТАЛЛИЧЕСКИЙ КОРПУС.</v>
          </cell>
        </row>
        <row r="1706">
          <cell r="A1706">
            <v>7211003820</v>
          </cell>
          <cell r="B1706" t="str">
            <v>ZU255B10</v>
          </cell>
          <cell r="J1706" t="str">
            <v>ШНЕКОВАЯ СОКОВЫЖИМАЛКА, 200 ВТ, СИСТЕМА КАПЛЯ СТОП, РЕЗЕРВУАР ДЛЯ МЯКОТИ 0.5 Л, АКСЕССУАРЫ МОЖНО МЫТЬ В ПОСУДОМОЕЧНОЙ МАШИНЕ, ПОДХОДИТ ДЛЯ ПРИГОТОВЛЕНИЯ СОКА ИЗ ФРУКТОВ, ОВОЩЕЙ, ЯГОД И ТРАВ</v>
          </cell>
        </row>
        <row r="1707">
          <cell r="A1707">
            <v>7211004274</v>
          </cell>
          <cell r="B1707" t="str">
            <v>DD94J110</v>
          </cell>
          <cell r="J1707" t="str">
            <v>ПОГРУЖНОЙ БЛЕНДЕР INFINY FORCE, МОЩНОСТЬ 1000 ВТ, ПЛАВНАЯ РЕГУЛИРОВКА СКОРОСТЕЙ, МЕРНЫЙ СТАКАН, МЕТАЛЛИЧЕСКАЯ НОГА , ТЕХНОЛОГИЯ ЛЕЗВИЙ POWELIX LIFE, ВЕНЧИК, ИЗМЕЛЬЧИТЕЛЬ 500МЛ, ЛЕЗВИЯ ДЛЯ КОЛКИ ЛЬДА, СПЕЦИАЛЬНАЯ НАСАДКА ДЛЯ СОУСОВ, НАСАДКА ДЛЯ ПРИГОТОВЛЕНИЯ ПЮРЕ, ЦВЕТ - БЕЛЫЙ.</v>
          </cell>
        </row>
        <row r="1708">
          <cell r="A1708">
            <v>7211003925</v>
          </cell>
          <cell r="B1708" t="str">
            <v>DD944810</v>
          </cell>
          <cell r="J1708" t="str">
            <v>ПОГРУЖНОЙ БЛЕНДЕР INFINY FORCE 3 В 1, МОЩНОСТЬ 1000 ВТ, ПЛАВНАЯ РЕГУЛИРОВКА СКОРОСТЕЙ, МЕРНЫЙ СТАКАН, МЕТАЛЛИЧЕСКАЯ НОГА , ТЕХНОЛОГИЯ ЛЕЗВИЙ POWELIX, ВЕНЧИК, ИЗМЕЛЬЧИТЕЛЬ 500МЛ, ЛЕЗВИЯ ДЛЯ КОЛКИ ЛЬДА, ЦВЕТ - ЧЕРНЫЙ.</v>
          </cell>
        </row>
        <row r="1709">
          <cell r="A1709">
            <v>7211004243</v>
          </cell>
          <cell r="B1709" t="str">
            <v>HB944138</v>
          </cell>
          <cell r="J1709" t="str">
            <v>HB944138 HBL INFINYFORCE 4IN1 WHT</v>
          </cell>
        </row>
        <row r="1710">
          <cell r="A1710">
            <v>7211419086</v>
          </cell>
          <cell r="B1710" t="str">
            <v>DD94L810</v>
          </cell>
          <cell r="J1710" t="str">
            <v>HBL INFINYFORCE 4IN1 with 1L chopper</v>
          </cell>
        </row>
        <row r="1711">
          <cell r="A1711">
            <v>7211419378</v>
          </cell>
          <cell r="B1711" t="str">
            <v>DD94G8F0</v>
          </cell>
          <cell r="J1711" t="str">
            <v>DD94G8F0 HBL INFINYFORCE 4IN1 BLACK</v>
          </cell>
        </row>
        <row r="1712">
          <cell r="A1712">
            <v>1830005420</v>
          </cell>
          <cell r="B1712" t="str">
            <v>CV8730D0</v>
          </cell>
          <cell r="J1712" t="str">
            <v>Фен Infini Pro, мощность 2200 Вт, профессиональный AC мотор, уникальный световой индикатор ионизации, ионизация (65 млн ионов на 1 см!), керамическое покрытие решеток, 6 режимов, холодный воздух, ультра-тонкие концентраторы 6 и 8 мм, классический диффузор, съемная решетка, петля для подвешивания</v>
          </cell>
        </row>
        <row r="1713">
          <cell r="A1713">
            <v>1830005488</v>
          </cell>
          <cell r="B1713" t="str">
            <v>CV8722D0</v>
          </cell>
          <cell r="J1713" t="str">
            <v>INFINI PRO</v>
          </cell>
        </row>
        <row r="1714">
          <cell r="A1714">
            <v>1830005242</v>
          </cell>
          <cell r="B1714" t="str">
            <v>CV8653D0</v>
          </cell>
          <cell r="J1714" t="str">
            <v>Фен Infini Pro Volume, мощность 2200 Вт, профессиональный мотор, ионизация, керамическое покрытие решеток, 6 режимов, холодный воздух, насадка для придания объема у корней (с керамическими пластинами), классический диффузор, ультра-тонкий концентратор 8 мм, съемная решетка, петля для подвешивания</v>
          </cell>
        </row>
        <row r="1715">
          <cell r="A1715">
            <v>1830003901</v>
          </cell>
          <cell r="B1715" t="str">
            <v>CV8642D0</v>
          </cell>
          <cell r="J1715" t="str">
            <v>Фен Infini Pro 2200, мощность 2200 Вт, профессиональный мотор, ионизация, керамическое покрытие решеток, 6 режимов, холодный воздух, ультра-тонкий концентратор 8 мм, съемная решетка, петля для подвешивания, коллекция Rowenta for Elite Model Look</v>
          </cell>
        </row>
        <row r="1716">
          <cell r="A1716">
            <v>7211003861</v>
          </cell>
          <cell r="B1716" t="str">
            <v>RK802B32</v>
          </cell>
          <cell r="J1716" t="str">
            <v xml:space="preserve">МУЛЬТИВАРКА: ИНДУКЦИОННЫЙ НАГРЕВ, ОБЪЕМ 5 Л, МОЩНОСТЬ 1200 ВТ, 41 РЕЖИМ,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ОТСРОЧКА СТАРТА ДО 24 ЧАСОВ; АВТОПОДОГРЕВ И ВОЗМОЖНОСТЬ ЕГО ОТМЕНЫ ПЕРЕД НАЧАЛОМ ПРИГОТОВЛЕНИЯ, ВОЗМОЖНОСТЬ ОТКЛЮЧЕНИЯ ЗВУКА; СЪЕМНАЯ 2ММ 6ТИ СЛОЙНАЯ СФЕРИЧЕСКАЯ ЧАША С АНТИПРИГАРНЫМ ПОКРЫТИЕМ ПОКРЫТИЕМ, КОРЗИНА ДЛЯ ПРИГОТОВЛЕНИЯ НА ПАРУ, МЕРНАЯ ЧАШКА И СПЕЦИАЛЬНЫЕ ЛОЖКИ ДЛЯ СУПА И РИСА, КНИГА РЕЦЕПТОВ В КОМПЛЕКТЕ. </v>
          </cell>
        </row>
        <row r="1717">
          <cell r="A1717">
            <v>7211004316</v>
          </cell>
          <cell r="B1717" t="str">
            <v>TT533811</v>
          </cell>
          <cell r="J1717" t="str">
            <v>Тостер Tefal Includeo, мощность 850 Вт, 7 степеней поджаривания тостов, кнопка "СТОП", высокий подъем тостов, съемный поддон для крошек, магнитные щипцы для извлечения тостов, материал корпуса - пластик. Цвет - чёрный и бронзовый</v>
          </cell>
        </row>
        <row r="1718">
          <cell r="A1718">
            <v>7211004341</v>
          </cell>
          <cell r="B1718" t="str">
            <v>CM533811</v>
          </cell>
          <cell r="J1718" t="str">
            <v>Капельная кофеварка Tefal Includeo на 10-15 чашек. Стеклянный кувшин объемом 1,25 л, хорошо видимый уровень воды, функция "капля-стоп", эргономичный дизайн, материал -  пластик. Цвет - черный и бронзовый</v>
          </cell>
        </row>
        <row r="1719">
          <cell r="A1719">
            <v>7211004322</v>
          </cell>
          <cell r="B1719" t="str">
            <v>KI533811</v>
          </cell>
          <cell r="J1719" t="str">
            <v>ЧАЙНИК INCLUDEO KI533811</v>
          </cell>
        </row>
        <row r="1720">
          <cell r="A1720">
            <v>7211419366</v>
          </cell>
          <cell r="B1720" t="str">
            <v>QB951DF0</v>
          </cell>
          <cell r="J1720" t="str">
            <v>Tefal i-Coach Touch - ваш ключ к разнообразной и вкусной свежей выпечке и десертам каждый день. Эта
кухонная машина способна удивить даже опытных кулинаров: 21 автоматическая программа, пошаговое
сопровождение во время готовки на интуитивно понятном сенсорном дисплее диагональю 4,3 дюйма,
более 100 рецептов при подключении по Wi-Fi с ежемесячными обновлениями непосредственно на
кухонной машине и через приложение, а также кухонные весы с возможностью подключения по
Bluetooth</v>
          </cell>
        </row>
        <row r="1721">
          <cell r="A1721">
            <v>1600007202</v>
          </cell>
          <cell r="B1721" t="str">
            <v>XF650038</v>
          </cell>
          <cell r="J1721" t="str">
            <v>I-COACH XF650038 MIX &amp; DRINK BOX</v>
          </cell>
        </row>
        <row r="1722">
          <cell r="A1722">
            <v>1600007205</v>
          </cell>
          <cell r="B1722" t="str">
            <v>XF651038</v>
          </cell>
          <cell r="J1722" t="str">
            <v>I-COACH XF651038 MEAT &amp; PASTA BOX</v>
          </cell>
        </row>
        <row r="1723">
          <cell r="A1723">
            <v>1600007208</v>
          </cell>
          <cell r="B1723" t="str">
            <v>XF652038</v>
          </cell>
          <cell r="J1723" t="str">
            <v>I-COACH XF652038 FRESH BOX</v>
          </cell>
        </row>
        <row r="1724">
          <cell r="A1724">
            <v>2100110589</v>
          </cell>
          <cell r="B1724" t="str">
            <v>K232S574</v>
          </cell>
          <cell r="J1724" t="str">
            <v>Набор ножей Ice Force деревянный блок и 5 ножей</v>
          </cell>
        </row>
        <row r="1725">
          <cell r="A1725">
            <v>2100119885</v>
          </cell>
          <cell r="B1725" t="str">
            <v>K2324S74</v>
          </cell>
          <cell r="J1725" t="str">
            <v>Набор из 4 ножей Ice Force</v>
          </cell>
        </row>
        <row r="1726">
          <cell r="A1726">
            <v>2100119880</v>
          </cell>
          <cell r="B1726" t="str">
            <v>K2323S74</v>
          </cell>
          <cell r="J1726" t="str">
            <v>Набор из 3 ножей Ice Force</v>
          </cell>
        </row>
        <row r="1727">
          <cell r="A1727">
            <v>2100104356</v>
          </cell>
          <cell r="B1727" t="str">
            <v>K232S414</v>
          </cell>
          <cell r="J1727" t="str">
            <v>Набор из 4 ножей для стейка Ice Force</v>
          </cell>
        </row>
        <row r="1728">
          <cell r="A1728">
            <v>2100104354</v>
          </cell>
          <cell r="B1728" t="str">
            <v>K2320614</v>
          </cell>
          <cell r="J1728" t="str">
            <v>Нож-сантоку 18см Ice Force</v>
          </cell>
        </row>
        <row r="1729">
          <cell r="A1729">
            <v>2100104352</v>
          </cell>
          <cell r="B1729" t="str">
            <v>K2320214</v>
          </cell>
          <cell r="J1729" t="str">
            <v>Шеф-нож 20см Ice Force</v>
          </cell>
        </row>
        <row r="1730">
          <cell r="A1730">
            <v>2100104351</v>
          </cell>
          <cell r="B1730" t="str">
            <v>K2320414</v>
          </cell>
          <cell r="J1730" t="str">
            <v>Нож для хлеба 20см Ice Force</v>
          </cell>
        </row>
        <row r="1731">
          <cell r="A1731">
            <v>2100104348</v>
          </cell>
          <cell r="B1731" t="str">
            <v>K2320714</v>
          </cell>
          <cell r="J1731" t="str">
            <v>Нож для измельчения 20 см Ice Force</v>
          </cell>
        </row>
        <row r="1732">
          <cell r="A1732">
            <v>2100104349</v>
          </cell>
          <cell r="B1732" t="str">
            <v>K2321214</v>
          </cell>
          <cell r="J1732" t="str">
            <v>Нож д/разделки 7см Ice Force</v>
          </cell>
        </row>
        <row r="1733">
          <cell r="A1733">
            <v>2100104353</v>
          </cell>
          <cell r="B1733" t="str">
            <v>K2320914</v>
          </cell>
          <cell r="J1733" t="str">
            <v>Универсальный нож 11 см Ice Force</v>
          </cell>
        </row>
        <row r="1734">
          <cell r="A1734">
            <v>2100104350</v>
          </cell>
          <cell r="B1734" t="str">
            <v>K2320514</v>
          </cell>
          <cell r="J1734" t="str">
            <v>Многофункциональный нож 9 см Ice Force</v>
          </cell>
        </row>
        <row r="1735">
          <cell r="A1735">
            <v>2100124542</v>
          </cell>
          <cell r="B1735" t="str">
            <v>K2320324</v>
          </cell>
          <cell r="J1735" t="str">
            <v>Шеф-нож Ice Force 15 см</v>
          </cell>
        </row>
        <row r="1736">
          <cell r="A1736">
            <v>2100125810</v>
          </cell>
          <cell r="B1736" t="str">
            <v>K232S374</v>
          </cell>
          <cell r="J1736" t="str">
            <v>Набор ножей Tefal ICE FORCE 3 шт. Нож-сантоку 18 см, нож для измельчения 20 см, универсальный нож 11 см</v>
          </cell>
        </row>
        <row r="1737">
          <cell r="A1737">
            <v>2100124585</v>
          </cell>
          <cell r="B1737" t="str">
            <v>K2650534</v>
          </cell>
          <cell r="J1737" t="str">
            <v>Ножеточка Ice Force</v>
          </cell>
        </row>
        <row r="1738">
          <cell r="A1738">
            <v>1830008703</v>
          </cell>
          <cell r="B1738" t="str">
            <v>TN602LF0</v>
          </cell>
          <cell r="J1738" t="str">
            <v>4 sets,  120 min, Wet&amp;dry beard trimmer</v>
          </cell>
        </row>
        <row r="1739">
          <cell r="A1739">
            <v>1500869984</v>
          </cell>
          <cell r="B1739" t="str">
            <v>ME740H30</v>
          </cell>
          <cell r="J1739" t="str">
            <v>МЯСОРУБКА ME740 СЕРИИ HV9. МАКСИМАЛЬНАЯ МОЩНОСТЬ 2300 ВАТТ, НОМИНАЛЬНАЯ МОЩНОСТЬ 900 ВТ, ПРОИЗВОДИТЕЛЬНОСТЬ 5 КГ/МИН, 3 РЕШЕТКИ. ЦВЕТ КОРПУСА ШАМПАНЬ, ЛОТОК ПОДАЧИ ИЗ НЕРЖАВЕЮЩЕЙ СТАЛИ, АКСЕССУАРЫ "КЕББЕ" И "ДОМАШНИЕ СОСИСКИ",ТЕРКА, ШИНКОВКА,НАРЕЗКА КУБИКАМИ. ХРАНЕНИЕ АКСЕССУАРОВ В КОРПУСЕ МЯСОРУБКИ. ФУНКЦИЯ "РЕВЕРС". СДЕЛАНО ВО ФРАНЦИИ</v>
          </cell>
        </row>
        <row r="1740">
          <cell r="A1740">
            <v>1510001319</v>
          </cell>
          <cell r="B1740" t="str">
            <v>ME688832</v>
          </cell>
          <cell r="J1740" t="str">
            <v xml:space="preserve">МЯСОРУБКА MOULINEX HV8,МАКСИМАЛЬНАЯ МОЩНОСТЬ 2200 ВТ, ПРОИЗВОДИТЕЛЬНОСТЬ 4,5 КГ/МИН, МЕТАЛЛИЧЕСКИЙ ЛОТОК ДЛЯ МЯСА, МУЛЬТИРЕЗКА С 4 КОНУСАМИ (В ТОМ ЧИСЛЕ НАРЕЗКА КУБИКАМИ), 3 РЕШЕТКИ ДЛЯ ПОМОЛА, ФУНКЦИЯ РЕВЕРСА, АКСЕССУАРЫ ДЛЯ ПРИГОТОВЛЕНИЯ КЕББЕ И ДОМАШНЕЙ КОЛБАСЫ, РУЧКА ДЛЯ ПЕРЕНОСКИ. СДЕЛАНО ВО ФРАНЦИИ </v>
          </cell>
        </row>
        <row r="1741">
          <cell r="A1741">
            <v>1510001324</v>
          </cell>
          <cell r="B1741" t="str">
            <v>ME687832</v>
          </cell>
          <cell r="J1741" t="str">
            <v xml:space="preserve">МЯСОРУБКА MOULINEX HV8,МАКСИМАЛЬНАЯ МОЩНОСТЬ 2200 ВТ, ПРОИЗВОДИТЕЛЬНОСТЬ 4,5 КГ/МИН, МУЛЬТИРЕЗКА С 3 КОНУСАМИ, 2 РЕШЕТКИ ДЛЯ ПОМОЛА, ФУНКЦИЯ РЕВЕРСА, АКСЕССУАРЫ ДЛЯ ПРИГОТОВЛЕНИЯ КЕББЕ И ДОМАШНЕЙ КОЛБАСЫ, РУЧКА ДЛЯ ПЕРЕНОСКИ. СДЕЛАНО ВО ФРАНЦИИ </v>
          </cell>
        </row>
        <row r="1742">
          <cell r="A1742">
            <v>1510001687</v>
          </cell>
          <cell r="B1742" t="str">
            <v>ME686832</v>
          </cell>
          <cell r="J1742" t="str">
            <v xml:space="preserve">МЯСОРУБКА MOULINEX HV8,МАКСИМАЛЬНАЯ МОЩНОСТЬ 2200 ВТ, ПРОИЗВОДИТЕЛЬНОСТЬ 4,5 КГ/МИН, МЕТАЛЛИЧЕСКИЙ ЛОТОК ДЛЯ МЯСА, 2 РЕШЕТКИ ДЛЯ ПОМОЛА, ФУНКЦИЯ РЕВЕРСА, АКСЕССУАРЫ ДЛЯ ПРИГОТОВЛЕНИЯ КЕББЕ И ДОМАШНЕЙ КОЛБАСЫ, РУЧКА ДЛЯ ПЕРЕНОСКИ. СДЕЛАНО ВО ФРАНЦИИ </v>
          </cell>
        </row>
        <row r="1743">
          <cell r="A1743">
            <v>1510001318</v>
          </cell>
          <cell r="B1743" t="str">
            <v>ME684832</v>
          </cell>
          <cell r="J1743" t="str">
            <v xml:space="preserve">МЯСОРУБКА MOULINEX HV8,МАКСИМАЛЬНАЯ МОЩНОСТЬ 2000 ВТ, ПРОИЗВОДИТЕЛЬНОСТЬ 2,6 КГ/МИН, МУЛЬТИРЕЗКА С 5 НАСАДКАМИ (В ТОМ ЧИСЛЕ НАСАДКА ДЛЯ ДРАНИКОВ), 3 РЕШЕТКИ ДЛЯ ПОМОЛА, ФУНКЦИЯ РЕВЕРСА, АКСЕССУАРЫ ДЛЯ ПРИГОТОВЛЕНИЯ КЕББЕ И ДОМАШНЕЙ КОЛБАСЫ, РУЧКА ДЛЯ ПЕРЕНОСКИ. СДЕЛАНО ВО ФРАНЦИИ </v>
          </cell>
        </row>
        <row r="1744">
          <cell r="A1744">
            <v>1510001599</v>
          </cell>
          <cell r="B1744" t="str">
            <v>ME683832</v>
          </cell>
          <cell r="J1744" t="str">
            <v xml:space="preserve">МЯСОРУБКА MOULINEX HV8,МАКСИМАЛЬНАЯ МОЩНОСТЬ 2000 ВТ, ПРОИЗВОДИТЕЛЬНОСТЬ 2,6 КГ/МИН, МУЛЬТИРЕЗКА С 5 НАСАДКАМИ (В ТОМ ЧИСЛЕ НАСАДКА ДЛЯ ДРАНИКОВ), 3 РЕШЕТКИ ДЛЯ ПОМОЛА, ФУНКЦИЯ РЕВЕРСА, АКСЕССУАРЫ ДЛЯ ПРИГОТОВЛЕНИЯ КЕББЕ И ДОМАШНЕЙ КОЛБАСЫ, РУЧКА ДЛЯ ПЕРЕНОСКИ. ЦВЕТ ЧЕРНЫЙ С СЕРЕБРИСТОЙ ФРОНТАЛЬНОЙ ПАНЕЛЬЮ. СДЕЛАНО ВО ФРАНЦИИ </v>
          </cell>
        </row>
        <row r="1745">
          <cell r="A1745">
            <v>1510001279</v>
          </cell>
          <cell r="B1745" t="str">
            <v>ME682832</v>
          </cell>
          <cell r="J1745" t="str">
            <v>MMC HV8 PLUS 4IN1 2000W DG RU</v>
          </cell>
        </row>
        <row r="1746">
          <cell r="A1746">
            <v>1510001153</v>
          </cell>
          <cell r="B1746" t="str">
            <v>ME626132</v>
          </cell>
          <cell r="J1746" t="str">
            <v>ME626132 МЯСОРУБКА HV8</v>
          </cell>
        </row>
        <row r="1747">
          <cell r="A1747">
            <v>1510001157</v>
          </cell>
          <cell r="B1747" t="str">
            <v>ME622832</v>
          </cell>
          <cell r="J1747" t="str">
            <v>MMC HV8 2000W DARK WARM GREY</v>
          </cell>
        </row>
        <row r="1748">
          <cell r="A1748">
            <v>1510001152</v>
          </cell>
          <cell r="B1748" t="str">
            <v>ME620132</v>
          </cell>
          <cell r="J1748" t="str">
            <v>МЯСОРУБКА HV6, МОЩНОСТЬ ПРИ ЗАБЛОКИРОВАННОМ ДВИГАТЕЛЕ 2000 ВТ,  НОМИНАЛЬНАЯ МОЩНОСТЬ 800 ВТ, ПРОИЗВОДИТЕЛЬНОСТЬ 2.6 КГ/МИН, 2 РЕШЕТКИ ДЛЯ ФАРША, ФУНКЦИЯ РЕВЕРС, НАСАДКА ДЛЯ КЕББЕ, КОМПАКТНОЕ ХРАНЕНИЕ АКСЕССУАРОВ И ШНУРА,. ЦВЕТ - БЕЛЫЙ С СЕРЫМ. ЛОТОК ПОДАЧИ - БЕЛЫЙ ПЛАСТИК. СДЕЛАНО ВО ФРАНЦИИ.</v>
          </cell>
        </row>
        <row r="1749">
          <cell r="A1749">
            <v>8010001064</v>
          </cell>
          <cell r="B1749" t="str">
            <v>ME558810</v>
          </cell>
          <cell r="J1749" t="str">
            <v>МЯСОРУБКА HV7 PLUS</v>
          </cell>
        </row>
        <row r="1750">
          <cell r="A1750">
            <v>8010001058</v>
          </cell>
          <cell r="B1750" t="str">
            <v>ME556810</v>
          </cell>
          <cell r="J1750" t="str">
            <v>МЯСОРУБКА HV7 PLUS</v>
          </cell>
        </row>
        <row r="1751">
          <cell r="A1751">
            <v>8010001063</v>
          </cell>
          <cell r="B1751" t="str">
            <v>ME552810</v>
          </cell>
          <cell r="J1751" t="str">
            <v>МЯСОРУБКА HV7 PLUS</v>
          </cell>
        </row>
        <row r="1752">
          <cell r="A1752">
            <v>8010000136</v>
          </cell>
          <cell r="B1752" t="str">
            <v>ME548810</v>
          </cell>
          <cell r="J1752" t="str">
            <v>МЯСОРУБКА MOULINEX HV7,МАКСИМАЛЬНАЯ МОЩНОСТЬ 2200 ВТ, ПРОИЗВОДИТЕЛЬНОСТЬ 4,3 КГ/МИН, МЕТАЛЛИЧЕСКАЯ ФРОНТАЛЬНАЯ ПАНЕЛЬ, МЕТАЛЛИЧЕСКИЙ ЛОТОК ДЛЯ МЯСА, МУЛЬТИРЕЗКА С 3 НАСАДКАМИ, 3 РЕШЕТКИ ДЛЯ ПОМОЛА, ФУНКЦИЯ РЕВЕРСА, АКСЕССУАРЫ ДЛЯ ПРИГОТОВЛЕНИЯ КЕББЕ И ДОМАШНЕЙ КОЛБАСЫ, РУЧКА ДЛЯ ПЕРЕНОСКИ</v>
          </cell>
        </row>
        <row r="1753">
          <cell r="A1753">
            <v>8010000135</v>
          </cell>
          <cell r="B1753" t="str">
            <v>ME546810</v>
          </cell>
          <cell r="J1753" t="str">
            <v>МЯСОРУБКА MOULINEX HV7</v>
          </cell>
        </row>
        <row r="1754">
          <cell r="A1754">
            <v>1510002155</v>
          </cell>
          <cell r="B1754" t="str">
            <v>ME478138</v>
          </cell>
          <cell r="J1754" t="str">
            <v>МЯСОРУБКА, 2000 ВТ, 54 ММ, НАСАДКИ ДЛЯ КЕББЕ/КОЛБАС/ИЗМЕЛЬЧЕНИЯ</v>
          </cell>
        </row>
        <row r="1755">
          <cell r="A1755">
            <v>1510002154</v>
          </cell>
          <cell r="B1755" t="str">
            <v>ME476132</v>
          </cell>
          <cell r="J1755" t="str">
            <v>МЯСОРУБКА, 2000 ВТ, 54 ММ, НАСАДКИ ДЛЯ КЕББЕ/КОЛБАС/ИЗМЕЛЬЧЕНИЯ</v>
          </cell>
        </row>
        <row r="1756">
          <cell r="A1756">
            <v>1510002153</v>
          </cell>
          <cell r="B1756" t="str">
            <v>ME472832</v>
          </cell>
          <cell r="J1756" t="str">
            <v>МЯСОРУБКА, 2000 ВТ, 54 ММ, НАСАДКИ ДЛЯ КЕББЕ/КОЛБАС/ИЗМЕЛЬЧЕНИЯ</v>
          </cell>
        </row>
        <row r="1757">
          <cell r="A1757">
            <v>1510002151</v>
          </cell>
          <cell r="B1757" t="str">
            <v>ME462132</v>
          </cell>
          <cell r="J1757" t="str">
            <v>МЯСОРУБКА, 2000 ВТ, 54 ММ, НАСАДКИ ДЛЯ КЕББЕ/КОЛБАС</v>
          </cell>
        </row>
        <row r="1758">
          <cell r="A1758">
            <v>1510002152</v>
          </cell>
          <cell r="B1758" t="str">
            <v>ME460132</v>
          </cell>
          <cell r="J1758" t="str">
            <v>МЯСОРУБКА, 2000 ВТ, 54 ММ, НАСАДКИ ДЛЯ КЕББЕ/КОЛБАС</v>
          </cell>
        </row>
        <row r="1759">
          <cell r="A1759">
            <v>1510002150</v>
          </cell>
          <cell r="B1759" t="str">
            <v>ME461132</v>
          </cell>
          <cell r="J1759" t="str">
            <v>MMC HV4  SUCCESSOR  WHT  EE</v>
          </cell>
        </row>
        <row r="1760">
          <cell r="A1760">
            <v>1510001009</v>
          </cell>
          <cell r="B1760" t="str">
            <v>ME458139</v>
          </cell>
          <cell r="J1760" t="str">
            <v>ME458139 МЯСОРУБКА HV4</v>
          </cell>
        </row>
        <row r="1761">
          <cell r="A1761">
            <v>1510001005</v>
          </cell>
          <cell r="B1761" t="str">
            <v>ME456139</v>
          </cell>
          <cell r="J1761" t="str">
            <v>МЯСОРУБКА HV4, МОЩНОСТЬ ПРИ ЗАБЛОКИРОВАННОМ ДВИГАТЕЛЕ 2000 ВТ,  НОМИНАЛЬНАЯ МОЩНОСТЬ 700 ВТ, ПРОИЗВОДИТЕЛЬНОСТЬ 2,3 КГ/МИН, 2 РЕШЕТКИ ДЛЯ ФАРША, НАСАДКА ДЛЯ КЕББЕ, СОСИСОК, КРУПНАЯ И МЕЛКАЯ ТЕРКИ, ШИНКОВКА, НАСАДКА ДЛЯ НАРЕЗКИ КУБИКАМИ, КОМПАКТНОЕ ХРАНЕНИЕ АКСЕССУАРОВ И ШНУРА,. ЦВЕТ - БЕЛЫЙ СО СВЕТЛО-СЕРЫМ. ЛОТОК ПОДАЧИ - ПРОЗРАЧНЫЙ ПЛАСТИК. СДЕЛАНО ВО ФРАНЦИИ.</v>
          </cell>
        </row>
        <row r="1762">
          <cell r="A1762">
            <v>1510001004</v>
          </cell>
          <cell r="B1762" t="str">
            <v>ME452839</v>
          </cell>
          <cell r="J1762" t="str">
            <v>МЯСОРУБКА HV4, МОЩНОСТЬ ПРИ ЗАБЛОКИРОВАННОМ ДВИГАТЕЛЕ 2000 ВТ,  НОМИНАЛЬНАЯ МОЩНОСТЬ 700 ВТ, ПРОИЗВОДИТЕЛЬНОСТЬ 2,3 КГ/МИН, 2 РЕШЕТКИ ДЛЯ ФАРША, НАСАДКА ДЛЯ КЕББЕ, СОСИСОК, КРУПНАЯ И МЕЛКАЯ ТЕРКИ, ШИНКОВКА, КОМПАКТНОЕ ХРАНЕНИЕ АКСЕССУАРОВ И ШНУРА,. ЦВЕТ - ЧЕРНЫЙ. ЛОТОК ПОДАЧИ - ПРОЗРАЧНЫЙ ПЛАСТИК. СДЕЛАНО ВО ФРАНЦИИ.</v>
          </cell>
        </row>
        <row r="1763">
          <cell r="A1763">
            <v>1510001003</v>
          </cell>
          <cell r="B1763" t="str">
            <v>ME442139</v>
          </cell>
          <cell r="J1763" t="str">
            <v>МЯСОРУБКА HV4, МОЩНОСТЬ 2000 ВТ (НОМИНАЛЬНАЯ 700 ВТ), ПРОИЗВОДИТЕЛЬНОСТЬ 2,3 КГ/МИН, 2 РЕШЕТКИ ДЛЯ ФАРША, НАСАДКА ДЛЯ КЕББЕ, СОСИСОК, КОМПАКТНОЕ ХРАНЕНИЕ АКСЕССУАРОВ И ШНУРА, РУЧКА ДЛЯ ПЕРЕНОСКИ. ЦВЕТ - БЕЛЫЙ СО СВЕТЛО-СЕРЫМ. ЛОТОК ПОДАЧИ - ПРОЗРАЧНЫЙ ПЛАСТИК. СДЕЛАНО ВО ФРАНЦИИ.</v>
          </cell>
        </row>
        <row r="1764">
          <cell r="A1764">
            <v>8010000095</v>
          </cell>
          <cell r="B1764" t="str">
            <v>ME306832</v>
          </cell>
          <cell r="J1764" t="str">
            <v>МЯСОРУБКА MOULINEX HV3,МАКСИМАЛЬНАЯ МОЩНОСТЬ 1600 ВТ, ПРОИЗВОДИТЕЛЬНОСТЬ 1,9 КГ/МИН, МЕТАЛЛИЧЕСКИЙ ЛОТОК ДЛЯ МЯСА, 3 РЕШЕТКИ ДЛЯ ПОМОЛА, 2 НАСАДКИ ДЛЯ ТЕРКИ И ШИНКОВКИ, ФУНКЦИЯ РЕВЕРСА, АКСЕССУАРЫ ДЛЯ ПРИГОТОВЛЕНИЯ КЕББЕ И ДОМАШНИХ КОЛБАСОК, РУЧКА ДЛЯ ПЕРЕНОСКИ</v>
          </cell>
        </row>
        <row r="1765">
          <cell r="A1765">
            <v>8010001045</v>
          </cell>
          <cell r="B1765" t="str">
            <v>ME301132</v>
          </cell>
          <cell r="J1765" t="str">
            <v>МЯСОРУБКА HV3 3В1 ME301132</v>
          </cell>
        </row>
        <row r="1766">
          <cell r="A1766">
            <v>1500193985</v>
          </cell>
          <cell r="B1766" t="str">
            <v>XF403030</v>
          </cell>
          <cell r="J1766" t="str">
            <v>ACC SHREDDER ABAKAN</v>
          </cell>
        </row>
        <row r="1767">
          <cell r="A1767">
            <v>1600005697</v>
          </cell>
          <cell r="B1767" t="str">
            <v>XF911101</v>
          </cell>
          <cell r="J1767" t="str">
            <v xml:space="preserve">	MEAT GRINDER SCREW</v>
          </cell>
        </row>
        <row r="1768">
          <cell r="A1768">
            <v>1500868891</v>
          </cell>
          <cell r="B1768" t="str">
            <v>ME209139</v>
          </cell>
          <cell r="J1768" t="str">
            <v>МЯСОРУБКА HV2, МОЩНОСТЬ ПРИ ЗАБЛОКИРОВАННОМ ДВИГАТЕЛЕ 1400 ВТ,  НОМИНАЛЬНАЯ МОЩНОСТЬ 500 ВТ, ПРОИЗВОДИТЕЛЬНОСТЬ 1.7 КГ/МИН, 2 РЕШЕТКИ ДЛЯ ФАРША, 4 НАСАДКИ-ОВОЩЕРЕЗКИ, КОМПАКТНОЕ ХРАНЕНИЕ ШНУРА. ЦВЕТ - БЕЛЫЙ С ЧЕРНЫМ. ЛОТОК ПОДАЧИ - ПРОЗРАЧНЫЙ ПЛАСТИК. СДЕЛАНО ВО ФРАНЦИИ.</v>
          </cell>
        </row>
        <row r="1769">
          <cell r="A1769">
            <v>1500868890</v>
          </cell>
          <cell r="B1769" t="str">
            <v>ME208139</v>
          </cell>
          <cell r="J1769" t="str">
            <v>МЯСОРУБКА HV2, МОЩНОСТЬ ПРИ ЗАБЛОКИР. ДВИГАТЕЛЕ 1400 ВТ,   ПРОИЗВОДИТЕЛЬНОСТЬ 1.7 КГ/МИН,  2 РЕШЕТКИ ДЛЯ ФАРША (4.7 И 7.5MM), ГОЛОВКА БЛОКА ДИАМЕТРОМ 54 ММ</v>
          </cell>
        </row>
        <row r="1770">
          <cell r="A1770">
            <v>8010000794</v>
          </cell>
          <cell r="B1770" t="str">
            <v>ME858D32</v>
          </cell>
          <cell r="J1770" t="str">
            <v xml:space="preserve">МЯСОРУБКА MOULINEX HV10,МАКСИМАЛЬНАЯ МОЩНОСТЬ 2100 ВТ, ПРОИЗВОДИТЕЛЬНОСТЬ 4,1 КГ/МИН, ЦЕЛЬНОЛИТОЙ МЕТАЛЛИЧЕСКИЙ КОРПУС, МЕТАЛЛИЧЕСКИЙ ЛОТОК ДЛЯ МЯСА, МУЛЬТИРЕЗКА С 3 КОНУСАМИ (2 ТЕРКИ, ШИНКОВКА), 3 РЕШЕТКИ ДЛЯ ПОМОЛА, ФУНКЦИЯ РЕВЕРСА, АКСЕССУАРЫ ДЛЯ ПРИГОТОВЛЕНИЯ КЕББЕ И ДОМАШНЕЙ КОЛБАСЫ. </v>
          </cell>
        </row>
        <row r="1771">
          <cell r="A1771">
            <v>8010000033</v>
          </cell>
          <cell r="B1771" t="str">
            <v>ME856D32</v>
          </cell>
          <cell r="J1771" t="str">
            <v xml:space="preserve">МЯСОРУБКА MOULINEX HV10,МАКСИМАЛЬНАЯ МОЩНОСТЬ 2100 ВТ, ПРОИЗВОДИТЕЛЬНОСТЬ 4,1 КГ/МИН, ЦЕЛЬНОЛИТОЙ МЕТАЛЛИЧЕСКИЙ КОРПУС, МЕТАЛЛИЧЕСКИЙ ЛОТОК ДЛЯ МЯСА, 3 РЕШЕТКИ ДЛЯ ПОМОЛА, ФУНКЦИЯ РЕВЕРСА, АКСЕССУАРЫ ДЛЯ ПРИГОТОВЛЕНИЯ КЕББЕ И ДОМАШНЕЙ КОЛБАСЫ. </v>
          </cell>
        </row>
        <row r="1772">
          <cell r="A1772">
            <v>8010000032</v>
          </cell>
          <cell r="B1772" t="str">
            <v>ME108832</v>
          </cell>
          <cell r="J1772" t="str">
            <v>МЯСОРУБКА MOULINEX , МАКСИМАЛЬНАЯ МОЩНОСТЬ 1400 ВТ, ПРОИЗВОДИТЕЛЬНОСТЬ 1,7 КГ/МИН, МУЛЬТИРЕЗКА С 3 ТЕРКАМИ В КОМПЛЕКТЕ (2 ТЕРКИ, ШИНКОВКА), 2 РЕШЕТКИ ДЛЯ ПОМОЛА, ФУНКЦИЯ РЕВЕРСА, РУЧКА ПЕРЕНОСТИ.</v>
          </cell>
        </row>
        <row r="1773">
          <cell r="A1773">
            <v>8010000983</v>
          </cell>
          <cell r="B1773" t="str">
            <v>NE111832</v>
          </cell>
          <cell r="J1773" t="str">
            <v>TEFAL MEAT MINCER TEFAL 1400W NE111 NE111832 Незаменимая мясорубка для любых мясных рецептов</v>
          </cell>
        </row>
        <row r="1774">
          <cell r="A1774">
            <v>8010000031</v>
          </cell>
          <cell r="B1774" t="str">
            <v>ME106832</v>
          </cell>
          <cell r="J1774" t="str">
            <v>МЯСОРУБКА MOULINEX , МАКСИМАЛЬНАЯ МОЩНОСТЬ 1400 ВТ, ПРОИЗВОДИТЕЛЬНОСТЬ 1,7 КГ/МИН, 2 РЕШЕТКИ ДЛЯ ПОМОЛА, ФУНКЦИЯ РЕВЕРСА, РУЧКА ПЕРЕНОСТИ.</v>
          </cell>
        </row>
        <row r="1775">
          <cell r="A1775">
            <v>1510001079</v>
          </cell>
          <cell r="B1775" t="str">
            <v>ME105830</v>
          </cell>
          <cell r="J1775" t="str">
            <v>МЯСОРУБКА CLASSIC, МОЩНОСТЬ ПРИ ЗАБЛОКИР. ДВИГАТЕЛЕ 1400 ВТ,  ФУНКЦИЯ РЕВЕРСА, ПРОИЗВОДИТЕЛЬНОСТЬ 1.7 КГ/МИН,  2 РЕШЕТКИ ДЛЯ ФАРША (5 И 7MM), ГОЛОВКА БЛОКА ДИАМЕТРОМ 54 ММ, НАСАДКА ДЛЯ ДОМАШНЕЙ КОЛБАСЫЮ. СДЕЛАНО В КИТАЕ.</v>
          </cell>
        </row>
        <row r="1776">
          <cell r="A1776">
            <v>1830006133</v>
          </cell>
          <cell r="B1776" t="str">
            <v>CF7830F0</v>
          </cell>
          <cell r="J1776" t="str">
            <v>Premium care hot air brush set</v>
          </cell>
        </row>
        <row r="1777">
          <cell r="A1777">
            <v>1830008360</v>
          </cell>
          <cell r="B1777" t="str">
            <v>CF7826F0</v>
          </cell>
          <cell r="J1777" t="str">
            <v>Фен-щетка Rowenta CF7824F0 Сушка и укладка, 3 аксессуара, 2 настройки температуры, Обдув холодным воздухом, Керамическое покрытие</v>
          </cell>
        </row>
        <row r="1778">
          <cell r="A1778">
            <v>1830007390</v>
          </cell>
          <cell r="B1778" t="str">
            <v>CF7825F0</v>
          </cell>
          <cell r="J1778" t="str">
            <v>Фен-щетка, высокая мощность 1200 Вт,  2 режима, холодный воздух, 3 насадкок: насадка 38 мм круглая щетка с термо-покрытием, насадка для выпрямления с расческой, насадка-концентратор, термоизолированный наконечник, петля для подвешивания, вращающийся шнур, коллекция Mozaic</v>
          </cell>
        </row>
        <row r="1779">
          <cell r="A1779">
            <v>1830007113</v>
          </cell>
          <cell r="B1779" t="str">
            <v>CF7819F0</v>
          </cell>
          <cell r="J1779" t="str">
            <v>HOT AIR BRUSH COPPER, 3 accc</v>
          </cell>
        </row>
        <row r="1780">
          <cell r="A1780">
            <v>1830005847</v>
          </cell>
          <cell r="B1780" t="str">
            <v>CF7812F0</v>
          </cell>
          <cell r="J1780" t="str">
            <v>HOT AIR BRUSH Elite, 3 acc</v>
          </cell>
        </row>
        <row r="1781">
          <cell r="A1781">
            <v>2100122774</v>
          </cell>
          <cell r="B1781" t="str">
            <v>K2670244</v>
          </cell>
          <cell r="J1781" t="str">
            <v>Jamie Oliver-Нож для нарезки 20 см Jamie Oliver Home Cook</v>
          </cell>
        </row>
        <row r="1782">
          <cell r="A1782">
            <v>2100122775</v>
          </cell>
          <cell r="B1782" t="str">
            <v>K2671144</v>
          </cell>
          <cell r="J1782" t="str">
            <v>Jamie Oliver-Овощной нож 9 см Jamie Oliver Home Cook</v>
          </cell>
        </row>
        <row r="1783">
          <cell r="A1783">
            <v>2100122778</v>
          </cell>
          <cell r="B1783" t="str">
            <v>K2670144</v>
          </cell>
          <cell r="J1783" t="str">
            <v>Jamie Oliver-Шеф нож 20 см Jamie Oliver Home Cook</v>
          </cell>
        </row>
        <row r="1784">
          <cell r="A1784">
            <v>2100122779</v>
          </cell>
          <cell r="B1784" t="str">
            <v>K2670944</v>
          </cell>
          <cell r="J1784" t="str">
            <v>Jamie Oliver-Универсальный нож 12 см Jamie Oliver Home Cook</v>
          </cell>
        </row>
        <row r="1785">
          <cell r="A1785">
            <v>2100122780</v>
          </cell>
          <cell r="B1785" t="str">
            <v>K2671844</v>
          </cell>
          <cell r="J1785" t="str">
            <v>Jamie Oliver-Нож Сантоку 18 см Jamie Oliver Home Cook</v>
          </cell>
        </row>
        <row r="1786">
          <cell r="A1786">
            <v>7211004337</v>
          </cell>
          <cell r="B1786" t="str">
            <v>CY601832</v>
          </cell>
          <cell r="J1786" t="str">
            <v>EPC ENTRY MODEL 12C BLK EE</v>
          </cell>
        </row>
        <row r="1787">
          <cell r="A1787">
            <v>8010000749</v>
          </cell>
          <cell r="B1787" t="str">
            <v>CM321832</v>
          </cell>
          <cell r="J1787" t="str">
            <v>Капельная кофеварка Tefal Heliora Petit с многоразовым фильтром, Поворотный держатель фильтра с эргономичной ручкой, Большой резервуар для воды,  Легко пользоваться, Функция поддержания температуры, 1.25 л, CM321832</v>
          </cell>
        </row>
        <row r="1788">
          <cell r="A1788">
            <v>2100122036</v>
          </cell>
          <cell r="B1788" t="str">
            <v>G1500223</v>
          </cell>
          <cell r="J1788" t="str">
            <v>Сковорода 20 Healty Chef</v>
          </cell>
        </row>
        <row r="1789">
          <cell r="A1789">
            <v>7211003938</v>
          </cell>
          <cell r="B1789" t="str">
            <v>ZU600110</v>
          </cell>
          <cell r="J1789" t="str">
            <v>ШНЕКОВАЯ СОКОВЫЖИМАЛКА JUCEO. МОЩНОСТЬ 150 ВТ. ЗАГРУЗОЧНОЕ ОТВЕРСТИЕ ДИАМЕТРОМ 90ММ. РЕВЕРС. СЪЕМНЫЕ ЧАСТИ МОЖНО МЫТЬ В ПОСУДОМОЕЧНОЙ МАШИНЕ. ГАРАНТИЯ 2 ГОДА.</v>
          </cell>
        </row>
        <row r="1790">
          <cell r="A1790">
            <v>4100000113</v>
          </cell>
          <cell r="B1790" t="str">
            <v>VF3640F0</v>
          </cell>
          <cell r="J1790" t="str">
            <v>VF3640F0 Вентилятор</v>
          </cell>
        </row>
        <row r="1791">
          <cell r="A1791">
            <v>1830008272</v>
          </cell>
          <cell r="B1791" t="str">
            <v>CV1635F0</v>
          </cell>
          <cell r="J1791" t="str">
            <v>HANDY DRY CV1630+35</v>
          </cell>
        </row>
        <row r="1792">
          <cell r="A1792">
            <v>1830006730</v>
          </cell>
          <cell r="B1792" t="str">
            <v>CV1630F0</v>
          </cell>
          <cell r="J1792" t="str">
            <v>HAIR DRYER HANDY DRY 2 BEAUTY</v>
          </cell>
        </row>
        <row r="1793">
          <cell r="A1793">
            <v>1830008450</v>
          </cell>
          <cell r="B1793" t="str">
            <v>CV1623F0</v>
          </cell>
          <cell r="J1793" t="str">
            <v>HANDY DRY CV1620+23</v>
          </cell>
        </row>
        <row r="1794">
          <cell r="A1794">
            <v>1830007894</v>
          </cell>
          <cell r="B1794" t="str">
            <v>CV1622F0</v>
          </cell>
          <cell r="J1794" t="str">
            <v>Фен Handy DRY Elite CV1622: Подвижный усилитель воздушного потока, 2000 Effiwatts(Мощность аналогичная фенам с мощностью 2000Вт с потребляемой мощностью 1600Вт - экономия энергии 20%),  2 скоростных настройки, холодный воздух.</v>
          </cell>
        </row>
        <row r="1795">
          <cell r="A1795">
            <v>1830008468</v>
          </cell>
          <cell r="B1795" t="str">
            <v>CV1613F0</v>
          </cell>
          <cell r="J1795" t="str">
            <v>HANDY DRY CV1613</v>
          </cell>
        </row>
        <row r="1796">
          <cell r="A1796">
            <v>1830006555</v>
          </cell>
          <cell r="B1796" t="str">
            <v>CV1612F0</v>
          </cell>
          <cell r="J1796" t="str">
            <v>HAIR DRYER NEW HANDY DRY 2</v>
          </cell>
        </row>
        <row r="1797">
          <cell r="A1797">
            <v>1830008469</v>
          </cell>
          <cell r="B1797" t="str">
            <v>CV1603F0</v>
          </cell>
          <cell r="J1797" t="str">
            <v>HANDY DRY CV1603</v>
          </cell>
        </row>
        <row r="1798">
          <cell r="A1798">
            <v>1830007040</v>
          </cell>
          <cell r="B1798" t="str">
            <v>CV1602F0</v>
          </cell>
          <cell r="J1798" t="str">
            <v>Hair Dryer HANDY DRY</v>
          </cell>
        </row>
        <row r="1799">
          <cell r="A1799">
            <v>2100084562</v>
          </cell>
          <cell r="B1799" t="str">
            <v>LK2000V0</v>
          </cell>
          <cell r="J1799" t="str">
            <v xml:space="preserve">Электронный безмен, максимальный вес 50 кг, цена деления 100 г, цифровой дисплей, автоматическое выключение, звуковой сигнал определения веса </v>
          </cell>
        </row>
        <row r="1800">
          <cell r="A1800">
            <v>2100125762</v>
          </cell>
          <cell r="B1800" t="str">
            <v>L9863153</v>
          </cell>
          <cell r="J1800" t="str">
            <v xml:space="preserve">Съемная ручка Ingenio 6 черная </v>
          </cell>
        </row>
        <row r="1801">
          <cell r="A1801">
            <v>9100057016</v>
          </cell>
          <cell r="B1801">
            <v>4240810</v>
          </cell>
          <cell r="J1801" t="str">
            <v xml:space="preserve">Съемная ручка Ingenio 6 черная </v>
          </cell>
        </row>
        <row r="1802">
          <cell r="A1802">
            <v>2100125763</v>
          </cell>
          <cell r="B1802" t="str">
            <v>L6598772</v>
          </cell>
          <cell r="J1802" t="str">
            <v>Съемная ручка Ingenio 6 красная</v>
          </cell>
        </row>
        <row r="1803">
          <cell r="A1803">
            <v>1830007750</v>
          </cell>
          <cell r="B1803" t="str">
            <v>DT3030E0</v>
          </cell>
          <cell r="J1803" t="str">
            <v>РУЧНОЙ ОТПАРИВАТЕЛЬ ACCESS STEAM POCKET, МОЩНОСТЬ 1300 ВТ, МОЩНОСТЬ ПОДАЧИ ПАРА ДО 16 Г/МИН., ПЛАСТИКОВАЯ ПОДОШВА, ВРЕМЯ НАГРЕВА 15 СЕК., СЪЕМНЫЙ РЕЗЕРВУАР ДЛЯ ВОДЫ 120 МЛ, 2 АКСЕССУАРА: ЩЁТКА ДЛЯ ТКАНИ И ЧЕХОЛ ДЛЯ ХРАНЕНИЯ/ТРАНСПОРТИРОВКИ</v>
          </cell>
        </row>
        <row r="1804">
          <cell r="A1804">
            <v>1830008229</v>
          </cell>
          <cell r="B1804" t="str">
            <v>DT3031E0</v>
          </cell>
          <cell r="J1804" t="str">
            <v>РУЧНОЙ ОТПАРИВАТЕЛЬ ACCESS STEAM POCKET, МОЩНОСТЬ 1300 ВТ, МОЩНОСТЬ ПОДАЧИ ПАРА ДО 16 Г/МИН., ПЛАСТИКОВАЯ ПОДОШВА, ВРЕМЯ НАГРЕВА 15 СЕК., СЪЕМНЫЙ РЕЗЕРВУАР ДЛЯ ВОДЫ 120 МЛ, 2 АКСЕССУАРА: ЩЁТКА ДЛЯ ТКАНИ И ЧЕХОЛ ДЛЯ ХРАНЕНИЯ/ТРАНСПОРТИРОВКИ</v>
          </cell>
        </row>
        <row r="1805">
          <cell r="A1805">
            <v>1830007745</v>
          </cell>
          <cell r="B1805" t="str">
            <v>DT6130E0</v>
          </cell>
          <cell r="J1805" t="str">
            <v>РУЧНОЙ ОТПАРИВАТЕЛЬ ACCESS STEAM FIRST, МОЩНОСТЬ 1300 ВТ, МОЩНОСТЬ ПОДАЧИ ПАРА ДО 20 Г/МИН., ПЛАСТИКОВАЯ ПОДОШВА, 1 РЕЖИМА ПОДАЧИ ПАРА, ВРЕМЯ НАГРЕВА 15 СЕК., СЪЕМНЫЙ РЕЗЕРВУАР ДЛЯ ВОДЫ 70 МЛ, 1 АКСЕССУАР: ЩЁТКА ДЛЯ ТКАНИ</v>
          </cell>
        </row>
        <row r="1806">
          <cell r="A1806">
            <v>1830007748</v>
          </cell>
          <cell r="B1806" t="str">
            <v>DT6131E0</v>
          </cell>
          <cell r="J1806" t="str">
            <v>РУЧНОЙ ОТПАРИВАТЕЛЬ ACCESS STEAM FIRST, МОЩНОСТЬ 1300 ВТ, МОЩНОСТЬ ПОДАЧИ ПАРА ДО 20 Г/МИН., ПЛАСТИКОВАЯ ПОДОШВА, 1 РЕЖИМА ПОДАЧИ ПАРА, ВРЕМЯ НАГРЕВА 15 СЕК., СЪЕМНЫЙ РЕЗЕРВУАР ДЛЯ ВОДЫ 70 МЛ, 1 АКСЕССУАР: ЩЁТКА ДЛЯ ТКАНИ</v>
          </cell>
        </row>
        <row r="1807">
          <cell r="A1807">
            <v>1830006595</v>
          </cell>
          <cell r="B1807" t="str">
            <v>DT7000E0</v>
          </cell>
          <cell r="J1807" t="str">
            <v>РУЧНОЙ ОТПАРИВАТЕЛЬ ACCESS STEAM MINUTE, МОЩНОСТЬ 1100 ВТ, МОЩНОСТЬ ПОДАЧИ ПАРА 17 Г/МИН., ВРЕМЯ НАГРЕВА 45 СЕК., СЪЁМНЫЙ РЕЗЕРВУАР ДЛЯ ВОДЫ 150 МЛ, ВРЕМЯ АВТОНОМНОЙ РАБОТЫ ДО 8 МИН., ВЕС 0.8 КГ (БЕЗ ВОДЫ) – 1,05 КГ (С ВОДОЙ), АКСЕССУАРЫ 3ШТ: ЩЁТКА ДЛЯ ТКАНИ, НАСАДКА ДЛЯ ДЕЛИКАТНЫХ ТКАНЕЙ, ДВЕРНОЙ КРЮЧОК; УДОБНО СТАВИТЬ НА ПОВЕРХНОСТЬ, ДЛИНА ШНУРА 2М.</v>
          </cell>
        </row>
        <row r="1808">
          <cell r="A1808">
            <v>1830007411</v>
          </cell>
          <cell r="B1808" t="str">
            <v>DT7005E0</v>
          </cell>
          <cell r="J1808" t="str">
            <v>РУЧНОЙ ОТПАРИВАТЕЛЬ ACCESS’ STEAM MINUTE, МОЩНОСТЬ 1100 ВТ, МОЩНОСТЬ ПОДАЧИ ПАРА ДО 17 Г/МИН., КНОПКА ПОДАЧИ ПАРА, ВРЕМЯ НАГРЕВА 45 СЕК., СЪЁМНЫЙ РЕЗЕРВУАР ДЛЯ ВОДЫ 150 МЛ, ВРЕМЯ АВТОНОМНОЙ РАБОТЫ 8 МИН., ДЛИНА ШНУРА 2 МЕТРА, 4 АКСЕССУАРОВ: ЩЁТКА ДЛЯ ТКАНИ, НАСАДКА ДЛЯ ДЕЛИКАТНЫХ ТКАНЕЙ, ДВЕРНОЙ КРЮЧОК, СУМКА ДЛЯ ПУТЕШЕСТВИЙ</v>
          </cell>
        </row>
        <row r="1809">
          <cell r="A1809">
            <v>1830007173</v>
          </cell>
          <cell r="B1809" t="str">
            <v>DT8100E0</v>
          </cell>
          <cell r="J1809" t="str">
            <v>РУЧНОЙ ОТПАРИВАТЕЛЬ ACCESS STEAM+, МОЩНОСТЬ 1600 ВТ, МОЩНОСТЬ ПОДАЧИ ПАРА ДО 26 Г/МИН., ГОРИЗОНТАЛЬНОЕ ОТПАРИВАНИЕ, МЕТАЛЛИЧЕСКАЯ ПОДОШВА С НАГРЕВОМ ДО 140˚С, 2 РЕЖИМА ПОДАЧИ ПАРА, ВРЕМЯ НАГРЕВА 40 СЕК., СЪЁМНЫЙ РЕЗЕРВУАР ДЛЯ ВОДЫ 190 МЛ, ВРЕМЯ АВТОНОМНОЙ РАБОТЫ 9 МИН., ФИКСАЦИЯ КНОПКИ ПОДАЧИ ПАРА, ДЛИНА ШНУРА 3 МЕТРА, 3 АКСЕССУАРА: ЩЁТКА ДЛЯ ТКАНИ, НАСАДКА ДЛЯ ДЕЛИКАТНЫХ ТКАНЕЙ, ДВЕРНОЙ КРЮЧОК.</v>
          </cell>
        </row>
        <row r="1810">
          <cell r="A1810">
            <v>1830007179</v>
          </cell>
          <cell r="B1810" t="str">
            <v>DT8135E0</v>
          </cell>
          <cell r="J1810" t="str">
            <v>РУЧНОЙ ОТПАРИВАТЕЛЬ ACCESS STEAM+, МОЩНОСТЬ 1600 ВТ, МОЩНОСТЬ ПОДАЧИ ПАРА ДО 26 Г/МИН., ГОРИЗОНТАЛЬНОЕ ОТПАРИВАНИЕ, МЕТАЛЛИЧЕСКАЯ ПОДОШВА С НАГРЕВОМ ДО 140˚С, 2 РЕЖИМА ПОДАЧИ ПАРА, ВРЕМЯ НАГРЕВА 40 СЕК., СЪЁМНЫЙ РЕЗЕРВУАР ДЛЯ ВОДЫ 190 МЛ, ВРЕМЯ АВТОНОМНОЙ РАБОТЫ 9 МИН., ФИКСАЦИЯ КНОПКИ ПОДАЧИ ПАРА, ДЛИНА ШНУРА 3 МЕТРА, 5 АКСЕССУАРОВ: ЩЁТКА ДЛЯ ТКАНИ, НАСАДКА ДЛЯ ДЕЛИКАТНЫХ ТКАНЕЙ, ДВЕРНОЙ КРЮЧОК, ЗАЖИМЫ ДЛЯ БРЮК, ПЕРЕНОСНОЙ МЕШОК</v>
          </cell>
        </row>
        <row r="1811">
          <cell r="A1811">
            <v>1830007178</v>
          </cell>
          <cell r="B1811" t="str">
            <v>DT8150E0</v>
          </cell>
          <cell r="J1811" t="str">
            <v>РУЧНОЙ ОТПАРИВАТЕЛЬ ACCESS STEAM+ DT8150E0</v>
          </cell>
        </row>
        <row r="1812">
          <cell r="A1812">
            <v>1830008419</v>
          </cell>
          <cell r="B1812" t="str">
            <v>DT8230E1</v>
          </cell>
          <cell r="J1812" t="str">
            <v>Ручной отпариватель TEFAL ACESS STEAM FORCE DT8230E1. Мощный пар - 30г/мин. Паровой удар до 90 г/мин. Мощность 2000 ВТ. Разглаживает складки, очищает и дезинфицирует. Полностью натуральный пар. Подходит для любых тканей. Готов к работе через 25 секунд. Щетка из микрофибры . Автоотключение. Объем резервуара 200 мл.</v>
          </cell>
        </row>
        <row r="1813">
          <cell r="A1813">
            <v>1830008418</v>
          </cell>
          <cell r="B1813" t="str">
            <v>DT8250E1</v>
          </cell>
          <cell r="J1813" t="str">
            <v>Ручной отпариватель TEFAL ACESS STEAM FORCE DT8250E1. Мощный пар - 30г/мин. Паровой удар до 90 г/мин. Мощность 2000 ВТ. Разглаживает складки, очищает и дезинфицирует. Полностью натуральный пар. Подходит для любых тканей. Готов к работе через 25 секунд. Щетка из микрофибры, щетка для ткани. Автоотключение. Объем резервуара 200 мл.</v>
          </cell>
        </row>
        <row r="1814">
          <cell r="A1814">
            <v>1830008417</v>
          </cell>
          <cell r="B1814" t="str">
            <v>DT8270E1</v>
          </cell>
          <cell r="J1814" t="str">
            <v>Ручной отпариватель TEFAL ACESS STEAM FORCE DT8270E1. Мощный пар - 30г/мин. Паровой удар до 90 г/мин. Мощность 2000 ВТ. Разглаживает складки, очищает и дезинфицирует. Полностью натуральный пар. Подходит для любых тканей. Готов к работе через 25 секунд. Щетка из микрофибры, щетка для ткани, насадка для отпаривания . Автоотключение. Объем резервуара 200 мл.</v>
          </cell>
        </row>
        <row r="1815">
          <cell r="A1815">
            <v>1830007159</v>
          </cell>
          <cell r="B1815" t="str">
            <v>DT9100E0</v>
          </cell>
          <cell r="J1815" t="str">
            <v>РУЧНОЙ ОТПАРИВАТЕЛЬ ACCESS STEAM CARE, МОЩНОСТЬ 1600 ВТ, МОЩНОСТЬ ПОДАЧИ ПАРА ДО 30 Г/МИН., ГОРИЗОНТАЛЬНОЕ ОТПАРИВАНИЕ, МЕТАЛЛИЧЕСКАЯ ПОДОШВА С НАГРЕВОМ ДО 140˚С, 3 РЕЖИМА ПОДАЧИ ПАРА, ВРЕМЯ НАГРЕВА 40 СЕК., СЪЁМНЫЙ РЕЗЕРВУАР ДЛЯ ВОДЫ 200 МЛ, ВРЕМЯ АВТОНОМНОЙ РАБОТЫ 10 МИН., ФИКСАЦИЯ КНОПКИ ПОДАЧИ ПАРА, ДЛИНА ШНУРА 3 МЕТРА, 6 АКСЕССУАРОВ: ЩЁТКА ДЛЯ ТКАНИ, НАСАДКА ДЛЯ ДЕЛИКАТНЫХ ТКАНЕЙ, ДВЕРНОЙ КРЮЧОК. ДОСКА В КОМПЛЕКТЕ.</v>
          </cell>
        </row>
        <row r="1816">
          <cell r="A1816">
            <v>1830007160</v>
          </cell>
          <cell r="B1816" t="str">
            <v>DT9130E0</v>
          </cell>
          <cell r="J1816" t="str">
            <v>РУЧНОЙ ОТПАРИВАТЕЛЬ ACCESS STEAM CARE, МОЩНОСТЬ 1600 ВТ, МОЩНОСТЬ ПОДАЧИ ПАРА ДО 30 Г/МИН., ГОРИЗОНТАЛЬНОЕ ОТПАРИВАНИЕ, МЕТАЛЛИЧЕСКАЯ ПОДОШВА С НАГРЕВОМ ДО 140˚С, 3 РЕЖИМА ПОДАЧИ ПАРА, ВРЕМЯ НАГРЕВА 40 СЕК., СЪЁМНЫЙ РЕЗЕРВУАР ДЛЯ ВОДЫ 200 МЛ, ВРЕМЯ АВТОНОМНОЙ РАБОТЫ 10 МИН., ФИКСАЦИЯ КНОПКИ ПОДАЧИ ПАРА, ДЛИНА ШНУРА 3 МЕТРА, 6 АКСЕССУАРОВ: ЩЁТКА ДЛЯ ТКАНИ, НАСАДКА ДЛЯ ДЕЛИКАТНЫХ ТКАНЕЙ, ДВЕРНОЙ КРЮЧОК, ЗАЖИМЫ ДЛЯ БРЮК, ПОДУШЕЧКА ДЛЯ ЧИСТКИ ОДЕЖДЫ, МЕШОК ДЛЯ ХРАНЕНИЯ И ПЕРЕНОСКИ. ДОСКА В КОМПЛЕКТЕ.</v>
          </cell>
        </row>
        <row r="1817">
          <cell r="A1817">
            <v>1830008196</v>
          </cell>
          <cell r="B1817" t="str">
            <v>DT9530E1</v>
          </cell>
          <cell r="J1817" t="str">
            <v>РУЧНОЙ ОТПАРИВАТЕЛЬ PURE TEX DT9530E1</v>
          </cell>
        </row>
        <row r="1818">
          <cell r="A1818">
            <v>1830008267</v>
          </cell>
          <cell r="B1818" t="str">
            <v>DT9531E0</v>
          </cell>
          <cell r="J1818" t="str">
            <v>РУЧНОЙ ОТПАРИВАТЕЛЬ PURE TEX DT9531E0</v>
          </cell>
        </row>
        <row r="1819">
          <cell r="A1819">
            <v>1830007268</v>
          </cell>
          <cell r="B1819" t="str">
            <v>DV9000E0</v>
          </cell>
          <cell r="J1819" t="str">
            <v>РУЧНОЙ ОТПАРИВАТЕЛЬ TWEENY NANO, КОМПАКТНЫЙ РАЗМЕР - 29СМ В ДЛИНУ, ВЕС ВСЕГО 470Г., МОЩНОСТЬ 950В, РЕГУЛИРОВКА ТЕМПЕРАТУРЫ, АНТИПРИГАРНАЯ ПОДОШВА, ФИКСАЦИЯ ДЛЯ УСТОЙЧИВОСТИ И БЕЗОПАСНОСТИ, СЪЕМНЫЙ РЕЗЕРВУАР ДЛЯ ВОДЫ 50МЛ, ПАРОВОЙ УДАР, 4 АКСЕССУАРА: СУМКА ДЛЯ ПУТЕШЕСТВИЙ, СТАКАН ДЛЯ ЗАЛИВА ВОДЫ, ЩЕТКА ДЛЯ ЧИСТКИ ОДЕЖДЫ, НАСАДКА-ЩЕТКА.</v>
          </cell>
        </row>
        <row r="1820">
          <cell r="A1820">
            <v>1830007269</v>
          </cell>
          <cell r="B1820" t="str">
            <v>DV9001E0</v>
          </cell>
          <cell r="J1820" t="str">
            <v>РУЧНОЙ ОТПАРИВАТЕЛЬ TWEENY NANO, КОМПАКТНЫЙ РАЗМЕР - 29СМ В ДЛИНУ, ВЕС ВСЕГО 470Г., МОЩНОСТЬ 950В, РЕГУЛИРОВКА ТЕМПЕРАТУРЫ, АНТИПРИГАРНАЯ ПОДОШВА, ФИКСАЦИЯ ДЛЯ УСТОЙЧИВОСТИ И БЕЗОПАСНОСТИ, СЪЕМНЫЙ РЕЗЕРВУАР ДЛЯ ВОДЫ 50МЛ, ПАРОВОЙ УДАР, 4 АКСЕССУАРА: СУМКА ДЛЯ ПУТЕШЕСТВИЙ, СТАКАН ДЛЯ ЗАЛИВА ВОДЫ, ЩЕТКА ДЛЯ ЧИСТКИ ОДЕЖДЫ, НАСАДКА-ЩЕТКА.</v>
          </cell>
        </row>
        <row r="1821">
          <cell r="A1821">
            <v>1830007035</v>
          </cell>
          <cell r="B1821" t="str">
            <v>CV3624F0</v>
          </cell>
          <cell r="J1821" t="str">
            <v>FOLDABLE HAIR DRYER</v>
          </cell>
        </row>
        <row r="1822">
          <cell r="A1822">
            <v>1830003726</v>
          </cell>
          <cell r="B1822" t="str">
            <v>CV3620F0</v>
          </cell>
          <cell r="J1822" t="str">
            <v xml:space="preserve">Фен Charming, 1700 Вт, ионизация, складная ручка, 6 режимов, холодный воздух, концентратор, съемная решетка, петля для подвешивания </v>
          </cell>
        </row>
        <row r="1823">
          <cell r="A1823">
            <v>1830008456</v>
          </cell>
          <cell r="B1823" t="str">
            <v>CV3323F0</v>
          </cell>
          <cell r="J1823" t="str">
            <v>HAIR DRYER NOMAD 2 CV3320+23</v>
          </cell>
        </row>
        <row r="1824">
          <cell r="A1824">
            <v>1830006997</v>
          </cell>
          <cell r="B1824" t="str">
            <v>CV3320F0</v>
          </cell>
          <cell r="J1824" t="str">
            <v>HAIR DRYER NOMAD 2</v>
          </cell>
        </row>
        <row r="1825">
          <cell r="A1825">
            <v>1830005314</v>
          </cell>
          <cell r="B1825" t="str">
            <v>CV3312F0</v>
          </cell>
          <cell r="J1825" t="str">
            <v>Elite foldable</v>
          </cell>
        </row>
        <row r="1826">
          <cell r="A1826">
            <v>1830005387</v>
          </cell>
          <cell r="B1826" t="str">
            <v>CV3724F0</v>
          </cell>
          <cell r="J1826" t="str">
            <v>Фен Motion Dry: 2100 Вт, 3 режима, ионизация, холодный воздух, концентратор</v>
          </cell>
        </row>
        <row r="1827">
          <cell r="A1827">
            <v>1830005239</v>
          </cell>
          <cell r="B1827" t="str">
            <v>CV3712F0</v>
          </cell>
          <cell r="J1827" t="str">
            <v>Фен Motion Dry: 2100 Вт, 2 режима, холодный воздух, концентратор</v>
          </cell>
        </row>
        <row r="1828">
          <cell r="A1828">
            <v>1830003934</v>
          </cell>
          <cell r="B1828" t="str">
            <v>CF3910F0</v>
          </cell>
          <cell r="J1828" t="str">
            <v>Фен-щетка Wave &amp; Curl,  мощность 300 Вт, турмалиновое покрытие, 2 скорости/температурных режима, 2 щетки: щетка с убирающимися зубчиками 21 мм, 
щетка с мягкой щетиной 25 мм, вращающийся шнур</v>
          </cell>
        </row>
        <row r="1829">
          <cell r="A1829">
            <v>2100101938</v>
          </cell>
          <cell r="B1829" t="str">
            <v>C6350602</v>
          </cell>
          <cell r="J1829" t="str">
            <v>Сковорода 28 EXTREME</v>
          </cell>
        </row>
        <row r="1830">
          <cell r="A1830">
            <v>2100096679</v>
          </cell>
          <cell r="B1830" t="str">
            <v>C6944402</v>
          </cell>
          <cell r="J1830" t="str">
            <v>Кастрюля 20 с крышкой Chef</v>
          </cell>
        </row>
        <row r="1831">
          <cell r="A1831">
            <v>2100096681</v>
          </cell>
          <cell r="B1831" t="str">
            <v>C6941902</v>
          </cell>
          <cell r="J1831" t="str">
            <v>Вок 28 Chef</v>
          </cell>
        </row>
        <row r="1832">
          <cell r="A1832">
            <v>2100096683</v>
          </cell>
          <cell r="B1832" t="str">
            <v>C6940402</v>
          </cell>
          <cell r="J1832" t="str">
            <v>Сковорода 24 Chef</v>
          </cell>
        </row>
        <row r="1833">
          <cell r="A1833">
            <v>9100036460</v>
          </cell>
          <cell r="B1833">
            <v>4191126</v>
          </cell>
          <cell r="J1833" t="str">
            <v>Сковорода 26 Simplissima</v>
          </cell>
        </row>
        <row r="1834">
          <cell r="A1834">
            <v>9100036459</v>
          </cell>
          <cell r="B1834">
            <v>4191124</v>
          </cell>
          <cell r="J1834" t="str">
            <v>Сковорода 24 Simplissima</v>
          </cell>
        </row>
        <row r="1835">
          <cell r="A1835">
            <v>9100036414</v>
          </cell>
          <cell r="B1835">
            <v>4190628</v>
          </cell>
          <cell r="J1835" t="str">
            <v>Сковорода ВОК 28 Performa</v>
          </cell>
        </row>
        <row r="1836">
          <cell r="A1836">
            <v>9100036413</v>
          </cell>
          <cell r="B1836">
            <v>4190525</v>
          </cell>
          <cell r="J1836" t="str">
            <v>Сковорода для блинов 25 Performa</v>
          </cell>
        </row>
        <row r="1837">
          <cell r="A1837">
            <v>9100036470</v>
          </cell>
          <cell r="B1837">
            <v>4192224</v>
          </cell>
          <cell r="J1837" t="str">
            <v>Сотейник 24 Granit + крышка</v>
          </cell>
        </row>
        <row r="1838">
          <cell r="A1838">
            <v>9100036469</v>
          </cell>
          <cell r="B1838">
            <v>4192628</v>
          </cell>
          <cell r="J1838" t="str">
            <v>Сковорода ВОК 28 Granit</v>
          </cell>
        </row>
        <row r="1839">
          <cell r="A1839">
            <v>9100036467</v>
          </cell>
          <cell r="B1839">
            <v>4192128</v>
          </cell>
          <cell r="J1839" t="str">
            <v>Сковорода 28 Granit</v>
          </cell>
        </row>
        <row r="1840">
          <cell r="A1840">
            <v>9100036466</v>
          </cell>
          <cell r="B1840">
            <v>4192126</v>
          </cell>
          <cell r="J1840" t="str">
            <v>Сковорода 26 Granit</v>
          </cell>
        </row>
        <row r="1841">
          <cell r="A1841">
            <v>9100036465</v>
          </cell>
          <cell r="B1841">
            <v>4192124</v>
          </cell>
          <cell r="J1841" t="str">
            <v>Сковорода 24 Granit</v>
          </cell>
        </row>
        <row r="1842">
          <cell r="A1842">
            <v>9100036468</v>
          </cell>
          <cell r="B1842">
            <v>4192525</v>
          </cell>
          <cell r="J1842" t="str">
            <v>Сковорода для блинов 25 Granit</v>
          </cell>
        </row>
        <row r="1843">
          <cell r="A1843">
            <v>2100112392</v>
          </cell>
          <cell r="B1843" t="str">
            <v>G1233253</v>
          </cell>
          <cell r="J1843" t="str">
            <v>Сотейник 24 см / крышка MINERALIA FORCE</v>
          </cell>
        </row>
        <row r="1844">
          <cell r="A1844">
            <v>2100112390</v>
          </cell>
          <cell r="B1844" t="str">
            <v>G1230653</v>
          </cell>
          <cell r="J1844" t="str">
            <v>Сковорода 28 MINERALIA FORCE</v>
          </cell>
        </row>
        <row r="1845">
          <cell r="A1845">
            <v>2100112389</v>
          </cell>
          <cell r="B1845" t="str">
            <v>G1230553</v>
          </cell>
          <cell r="J1845" t="str">
            <v>Сковорода 26 MINERALIA FORCE</v>
          </cell>
        </row>
        <row r="1846">
          <cell r="A1846">
            <v>2100089956</v>
          </cell>
          <cell r="B1846" t="str">
            <v>C6204472</v>
          </cell>
          <cell r="J1846" t="str">
            <v>Кастрюля 20 с крышкой EXPERTISE</v>
          </cell>
        </row>
        <row r="1847">
          <cell r="A1847">
            <v>2100088993</v>
          </cell>
          <cell r="B1847" t="str">
            <v>C6201972</v>
          </cell>
          <cell r="J1847" t="str">
            <v>Сковорода ВОК 28 EXPERTISE</v>
          </cell>
        </row>
        <row r="1848">
          <cell r="A1848">
            <v>2100088990</v>
          </cell>
          <cell r="B1848" t="str">
            <v>C6200572</v>
          </cell>
          <cell r="J1848" t="str">
            <v>Сковорода 26 EXPERTISE</v>
          </cell>
        </row>
        <row r="1849">
          <cell r="A1849">
            <v>2100088989</v>
          </cell>
          <cell r="B1849" t="str">
            <v>C6200472</v>
          </cell>
          <cell r="J1849" t="str">
            <v>Сковорода 24 EXPERTISE</v>
          </cell>
        </row>
        <row r="1850">
          <cell r="A1850">
            <v>2100088988</v>
          </cell>
          <cell r="B1850" t="str">
            <v>C6200272</v>
          </cell>
          <cell r="J1850" t="str">
            <v>Сковорода 21 EXPERTISE</v>
          </cell>
        </row>
        <row r="1851">
          <cell r="A1851">
            <v>2100089955</v>
          </cell>
          <cell r="B1851" t="str">
            <v>C6204072</v>
          </cell>
          <cell r="J1851" t="str">
            <v>Сковорода гриль 26х26 EXPERTISE</v>
          </cell>
        </row>
        <row r="1852">
          <cell r="A1852">
            <v>2100090224</v>
          </cell>
          <cell r="B1852" t="str">
            <v>C6823875</v>
          </cell>
          <cell r="J1852" t="str">
            <v>Сковорода для блинов 25 CHARACTER</v>
          </cell>
        </row>
        <row r="1853">
          <cell r="A1853">
            <v>2100090226</v>
          </cell>
          <cell r="B1853" t="str">
            <v>C6820475</v>
          </cell>
          <cell r="J1853" t="str">
            <v>Сковорода 24 CHARACTER</v>
          </cell>
        </row>
        <row r="1854">
          <cell r="A1854">
            <v>9100023407</v>
          </cell>
          <cell r="B1854">
            <v>4166224</v>
          </cell>
          <cell r="J1854" t="str">
            <v>Сотейник 24 COOK RIGHT CAS</v>
          </cell>
        </row>
        <row r="1855">
          <cell r="A1855">
            <v>9100027895</v>
          </cell>
          <cell r="B1855">
            <v>4182928</v>
          </cell>
          <cell r="J1855" t="str">
            <v>Сковорода 28 со с.к.TEND BROWNIE</v>
          </cell>
        </row>
        <row r="1856">
          <cell r="A1856">
            <v>9100027894</v>
          </cell>
          <cell r="B1856">
            <v>4182926</v>
          </cell>
          <cell r="J1856" t="str">
            <v>Сковорода 26 со с.к.TEND BROWNIE</v>
          </cell>
        </row>
        <row r="1857">
          <cell r="A1857">
            <v>9100027888</v>
          </cell>
          <cell r="B1857">
            <v>4182628</v>
          </cell>
          <cell r="J1857" t="str">
            <v>Сковорода ВОК 28 TENDANCE BROWNIE</v>
          </cell>
        </row>
        <row r="1858">
          <cell r="A1858">
            <v>9100023412</v>
          </cell>
          <cell r="B1858">
            <v>4166926</v>
          </cell>
          <cell r="J1858" t="str">
            <v>Сковорода 26 со с.к.COOK RIGHT CAS</v>
          </cell>
        </row>
        <row r="1859">
          <cell r="A1859">
            <v>9100027890</v>
          </cell>
          <cell r="B1859">
            <v>4182418</v>
          </cell>
          <cell r="J1859" t="str">
            <v>Ковш 18 TENDANCE BROWNIE</v>
          </cell>
        </row>
        <row r="1860">
          <cell r="A1860">
            <v>9100027887</v>
          </cell>
          <cell r="B1860">
            <v>4182522</v>
          </cell>
          <cell r="J1860" t="str">
            <v>Сковорода 22бл TENDANCE BROWN</v>
          </cell>
        </row>
        <row r="1861">
          <cell r="A1861">
            <v>9100023405</v>
          </cell>
          <cell r="B1861">
            <v>4166522</v>
          </cell>
          <cell r="J1861" t="str">
            <v>Сковорода 22бл COOK RIGHT CAS</v>
          </cell>
        </row>
        <row r="1862">
          <cell r="A1862">
            <v>9100023400</v>
          </cell>
          <cell r="B1862">
            <v>4166120</v>
          </cell>
          <cell r="J1862" t="str">
            <v>Сковорода 20 COOK RIGHT CAS</v>
          </cell>
        </row>
        <row r="1863">
          <cell r="A1863">
            <v>9100027883</v>
          </cell>
          <cell r="B1863">
            <v>4182122</v>
          </cell>
          <cell r="J1863" t="str">
            <v>Сковорода 22 TENDANCE BROWNIE</v>
          </cell>
        </row>
        <row r="1864">
          <cell r="A1864">
            <v>2100100887</v>
          </cell>
          <cell r="B1864" t="str">
            <v>C973SB34</v>
          </cell>
          <cell r="J1864" t="str">
            <v xml:space="preserve">C973SB34 Набор Comfort max 11 предметов </v>
          </cell>
        </row>
        <row r="1865">
          <cell r="A1865">
            <v>2100123118</v>
          </cell>
          <cell r="B1865" t="str">
            <v>G726S774</v>
          </cell>
          <cell r="J1865" t="str">
            <v>Набор 7 предметов COMFORT MAX: сковорода 26 + ковш 16 с крышкой, кастрюля 20 с крышкой + лопатка + ложка</v>
          </cell>
        </row>
        <row r="1866">
          <cell r="A1866">
            <v>2100085841</v>
          </cell>
          <cell r="B1866" t="str">
            <v>C973S674</v>
          </cell>
          <cell r="J1866" t="str">
            <v xml:space="preserve">COMFORT MAX Набор посуды из нержавеющей стали 6 предметов :  Кастрюля 20/24 с крышками, ковш 16 с крышкой.  </v>
          </cell>
        </row>
        <row r="1867">
          <cell r="A1867">
            <v>2100123117</v>
          </cell>
          <cell r="B1867" t="str">
            <v>C9736C74</v>
          </cell>
          <cell r="J1867" t="str">
            <v>Набор 6 предметов COMFORT MAX: ковш 16+ кастрюли 18/20+ крышки</v>
          </cell>
        </row>
        <row r="1868">
          <cell r="A1868">
            <v>2100126572</v>
          </cell>
          <cell r="B1868" t="str">
            <v>C9734674</v>
          </cell>
          <cell r="J1868" t="str">
            <v>Кастрюля 24 + крышка Comfort Max</v>
          </cell>
        </row>
        <row r="1869">
          <cell r="A1869">
            <v>2100126571</v>
          </cell>
          <cell r="B1869" t="str">
            <v>C9734474</v>
          </cell>
          <cell r="J1869" t="str">
            <v>Кастрюля 20 + крышка Comfort Max</v>
          </cell>
        </row>
        <row r="1870">
          <cell r="A1870">
            <v>2100126570</v>
          </cell>
          <cell r="B1870" t="str">
            <v>C9732274</v>
          </cell>
          <cell r="J1870" t="str">
            <v>Ковш 16+крышка Comfort Max</v>
          </cell>
        </row>
        <row r="1871">
          <cell r="A1871">
            <v>2100118831</v>
          </cell>
          <cell r="B1871" t="str">
            <v>C973S474</v>
          </cell>
          <cell r="J1871" t="str">
            <v>Comfort + Набор посуды  4 предмета ковш 16+ кастрюля 24</v>
          </cell>
        </row>
        <row r="1872">
          <cell r="A1872">
            <v>1510001803</v>
          </cell>
          <cell r="B1872" t="str">
            <v>KM832810</v>
          </cell>
          <cell r="J1872" t="str">
            <v>Капельная кофеварка со встроенной кофемолкой KRUPS Grind Aroma KM832810. Встроенный таймер на 24 ч позволяет запрограммировать начало приготовление кофе. Встроенная коническая кофемолка с выбором 3 степеней помола - от крупного до мелкого. Возможность использования как молотого, так и зернового кофе. Интуитивно понятный LED дисплей, функция поддержания тепла в течение 30 мин, автоматическое отключение, выбор крепости напитка, подсветка кнопок. Резервуара для воды объемом 1.25 л хватит для приготовления 10 большах или 15 маленьких чашек кофе. Резервуар для кофейных зерен емкостью 180 г. Постоянный фильтр для молотого кофе. Программа очистки от накипи. Легкая очистка благодаря съемному резервуару для кофейных зерен и съемной кофемолке. Мощность 1000 Вт. Цвет - черный</v>
          </cell>
        </row>
        <row r="1873">
          <cell r="A1873">
            <v>1500637540</v>
          </cell>
          <cell r="B1873" t="str">
            <v>GC450B32</v>
          </cell>
          <cell r="J1873" t="str">
            <v>КОНТАКТНЫЙ ГРИЛЬ SUPERGRILL, 2000 ВТ, ПОВЕРХНОСТЬ – 22×30 СМ, 2 ПОЛОЖЕНИЯ: ГРИЛЬ И БАРБЕКЮ, 4 ПОЛОЖЕНИЯ РЕГУЛИРОВКИ ТЕРМОСТАТА, МАКСИМАЛЬНАЯ ТЕМПЕРАТУРА - 280С, СЪЕМНЫЕ ВЗАИМОЗАМЕНЯЕМЫЕ ПЛАСТИНЫ ИЗ ЛИТОГО АЛЛЮМИНИЯ С АНТИПРИГАРН</v>
          </cell>
        </row>
        <row r="1874">
          <cell r="A1874">
            <v>2100059178</v>
          </cell>
          <cell r="B1874" t="str">
            <v>GC306012</v>
          </cell>
          <cell r="J1874" t="str">
            <v>КОНТАКТНЫЙ ГРИЛЬ HEALTH GRILL COMFORT, 2000 ВТ, ПОВЕРХНОСТЬ – 22×30 СМ, 3 ПОЛОЖЕНИЯ: ГРИЛЬ, БАРБЕКЮ И «ПЕЧЬ»,  3 ПОЛОЖЕНИЯ РЕГУЛИРОВКИ ТЕРМОСТАТА, СЪЕМНЫЕ ВЗАИМОЗАМЕНЯЕМЫЕ ПЛАСТИНЫ С АНТИПРИГАРНЫМ ПОКРЫТИЕМ, ПОЛНОСТЬЮ ВЫДВИЖНОЙ ПОДДОН ДЛЯ СБОРА ЖИДКОСТИ</v>
          </cell>
        </row>
        <row r="1875">
          <cell r="A1875">
            <v>1500636334</v>
          </cell>
          <cell r="B1875" t="str">
            <v>GC305816</v>
          </cell>
          <cell r="J1875" t="str">
            <v>ЭЛЕКТРОГРИЛЬ, ПОВЕРХНОСТЬ: 2 × 600 ММ СЪЕМНЫЕ ПЛАСТИНЫ С АНТИПРИГАРНЫМ ПОКРЫТИЕМ, МАКСИМАЛЬНЫЙ НАГРЕВ - 250С, ИНДИКАТОР ГОТОВНОСТИ К РАБОТЕ,  РЕГУЛИРУЕМЫЙ ТЕРМОСТАТ, МОЩНОСТЬ 2000 ВТ, ЛОТОК ДЛЯ ЖИРА, КОРПУС: НЕРЖАВЕЮЩАЯ СТАЛЬ (ЧЕРНОЕ ПОКРЫТИЕ), ВЕРТИКАЛЬНОЕ ХРАНЕНИЕ.</v>
          </cell>
        </row>
        <row r="1876">
          <cell r="A1876">
            <v>3201112295</v>
          </cell>
          <cell r="B1876" t="str">
            <v>1882119992</v>
          </cell>
          <cell r="J1876" t="str">
            <v>Набор ножей 6 пр. с блоком GRAND GOURMET</v>
          </cell>
        </row>
        <row r="1877">
          <cell r="A1877">
            <v>1830008500</v>
          </cell>
          <cell r="B1877" t="str">
            <v>BM9661S1</v>
          </cell>
          <cell r="J1877" t="str">
            <v>Умные весы Tefal, 14 параметров измерения, вес измерения до 180 кг, зарядка от USB, размер 32 x 32 см</v>
          </cell>
        </row>
        <row r="1878">
          <cell r="A1878">
            <v>1830008425</v>
          </cell>
          <cell r="B1878" t="str">
            <v>BM9660S1</v>
          </cell>
          <cell r="J1878" t="str">
            <v>Умные весы Tefal, 10 параметров измерения, вес измерения до 160 кг, зарядка от батареек ААА, размер 28 x 28 см</v>
          </cell>
        </row>
        <row r="1879">
          <cell r="A1879">
            <v>1830008430</v>
          </cell>
          <cell r="B1879" t="str">
            <v>BM9640S1</v>
          </cell>
          <cell r="J1879" t="str">
            <v>TEFAL GOODVIBES SPORT BM9640S1 Умные электронные весы, 13 параметров измерения, ИМТ, жировая масса, мышечная масса, интуитивное приложение, бесконечное число пользователей, предел взвешивания 180 кг, 31 x 31 см</v>
          </cell>
        </row>
        <row r="1880">
          <cell r="A1880">
            <v>1830008429</v>
          </cell>
          <cell r="B1880" t="str">
            <v>BM9620S1</v>
          </cell>
          <cell r="J1880" t="str">
            <v>TEFAL GOODVIBES LIFE + BM9620S1 Умные электронные весы, 10 параметров измерения, ИМТ, жировая масса, мышечная масса, интуитивное приложение, бесконечное число пользователей, предел взвешивания 180 кг, 30 x 30 см</v>
          </cell>
        </row>
        <row r="1881">
          <cell r="A1881">
            <v>1830008604</v>
          </cell>
          <cell r="B1881" t="str">
            <v>BM9610S1</v>
          </cell>
          <cell r="J1881" t="str">
            <v>Умные весы Tefal, 10 параметров измерения, вес измерения до 160 кг, зарядка от батареек ААА, размер 28 x 28 см</v>
          </cell>
        </row>
        <row r="1882">
          <cell r="A1882">
            <v>1830008426</v>
          </cell>
          <cell r="B1882" t="str">
            <v>BM9600S1</v>
          </cell>
          <cell r="J1882" t="str">
            <v>TEFAL GOODVIBES LIFE BM9600S1 Умные электронные весы, 10 параметров измерения, ИМТ, жировая масса, мышечная масса, интуитивное приложение, бесконечное число пользователей, предел взвешивания 160 кг, 28 x 28 см</v>
          </cell>
        </row>
        <row r="1883">
          <cell r="A1883">
            <v>7211001458</v>
          </cell>
          <cell r="B1883" t="str">
            <v>KI150D30</v>
          </cell>
          <cell r="J1883" t="str">
            <v xml:space="preserve">Чайник Good Value. Мощность 2200 Вт, объем 1,7 литра, скрытый нагревательный элемент, вращение на подставке на 360 градусов, внутренний индикатор уровня воды, съемная крашка. Материал корпуса - нерж сталь. </v>
          </cell>
        </row>
        <row r="1884">
          <cell r="A1884">
            <v>9100038844</v>
          </cell>
          <cell r="B1884">
            <v>4198728</v>
          </cell>
          <cell r="J1884" t="str">
            <v>Крышка стеклянная, 28 Maestro</v>
          </cell>
        </row>
        <row r="1885">
          <cell r="A1885">
            <v>9100038843</v>
          </cell>
          <cell r="B1885">
            <v>4198726</v>
          </cell>
          <cell r="J1885" t="str">
            <v>Крышка стеклянная, 26 Maestro</v>
          </cell>
        </row>
        <row r="1886">
          <cell r="A1886">
            <v>9100038842</v>
          </cell>
          <cell r="B1886">
            <v>4198724</v>
          </cell>
          <cell r="J1886" t="str">
            <v>Крышка стеклянная, 24 Maestro</v>
          </cell>
        </row>
        <row r="1887">
          <cell r="A1887">
            <v>9100038839</v>
          </cell>
          <cell r="B1887">
            <v>4198720</v>
          </cell>
          <cell r="J1887" t="str">
            <v>Крышка стеклянная, 20 Maestro</v>
          </cell>
        </row>
        <row r="1888">
          <cell r="A1888">
            <v>9100038841</v>
          </cell>
          <cell r="B1888">
            <v>4198722</v>
          </cell>
          <cell r="J1888" t="str">
            <v>Крышка стеклянная, 22 Maestro</v>
          </cell>
        </row>
        <row r="1889">
          <cell r="A1889">
            <v>2100127836</v>
          </cell>
          <cell r="B1889" t="str">
            <v>L9846153</v>
          </cell>
          <cell r="J1889" t="str">
            <v xml:space="preserve">Крышка стеклянная 16 INGENIO </v>
          </cell>
        </row>
        <row r="1890">
          <cell r="A1890">
            <v>2100127837</v>
          </cell>
          <cell r="B1890" t="str">
            <v>L9846253</v>
          </cell>
          <cell r="J1890" t="str">
            <v xml:space="preserve">Крышка стеклянная 18 INGENIO </v>
          </cell>
        </row>
        <row r="1891">
          <cell r="A1891">
            <v>2100127838</v>
          </cell>
          <cell r="B1891" t="str">
            <v>L9846353</v>
          </cell>
          <cell r="J1891" t="str">
            <v xml:space="preserve">Крышка стеклянная 20 INGENIO </v>
          </cell>
        </row>
        <row r="1892">
          <cell r="A1892">
            <v>2100127839</v>
          </cell>
          <cell r="B1892" t="str">
            <v>L9846453</v>
          </cell>
          <cell r="J1892" t="str">
            <v xml:space="preserve">Крышка стеклянная 22 INGENIO </v>
          </cell>
        </row>
        <row r="1893">
          <cell r="A1893">
            <v>2100127840</v>
          </cell>
          <cell r="B1893" t="str">
            <v>L9846553</v>
          </cell>
          <cell r="J1893" t="str">
            <v xml:space="preserve">Крышка стеклянная 24 INGENIO </v>
          </cell>
        </row>
        <row r="1894">
          <cell r="A1894">
            <v>2100127841</v>
          </cell>
          <cell r="B1894" t="str">
            <v>L9846653</v>
          </cell>
          <cell r="J1894" t="str">
            <v xml:space="preserve">Крышка стеклянная 26 INGENIO </v>
          </cell>
        </row>
        <row r="1895">
          <cell r="A1895">
            <v>2100127842</v>
          </cell>
          <cell r="B1895" t="str">
            <v>L9846753</v>
          </cell>
          <cell r="J1895" t="str">
            <v xml:space="preserve">Крышка стеклянная 28 INGENIO </v>
          </cell>
        </row>
        <row r="1896">
          <cell r="A1896">
            <v>9100038835</v>
          </cell>
          <cell r="B1896">
            <v>4197724</v>
          </cell>
          <cell r="J1896" t="str">
            <v>Крышка стеклянная, 24 Cocoon</v>
          </cell>
        </row>
        <row r="1897">
          <cell r="A1897">
            <v>9100038837</v>
          </cell>
          <cell r="B1897">
            <v>4197726</v>
          </cell>
          <cell r="J1897" t="str">
            <v>Крышка стеклянная, 26 Cocoon</v>
          </cell>
        </row>
        <row r="1898">
          <cell r="A1898">
            <v>9100038838</v>
          </cell>
          <cell r="B1898">
            <v>4197728</v>
          </cell>
          <cell r="J1898" t="str">
            <v>Крышка стеклянная, 28 Cocoon</v>
          </cell>
        </row>
        <row r="1899">
          <cell r="A1899">
            <v>9100038833</v>
          </cell>
          <cell r="B1899">
            <v>4197720</v>
          </cell>
          <cell r="J1899" t="str">
            <v>Крышка стеклянная, 20 Cocoon</v>
          </cell>
        </row>
        <row r="1900">
          <cell r="A1900">
            <v>9100038834</v>
          </cell>
          <cell r="B1900">
            <v>4197722</v>
          </cell>
          <cell r="J1900" t="str">
            <v>Крышка стеклянная, 22 Cocoon</v>
          </cell>
        </row>
        <row r="1901">
          <cell r="A1901">
            <v>9100004195</v>
          </cell>
          <cell r="B1901">
            <v>4090130</v>
          </cell>
          <cell r="J1901" t="str">
            <v>TEFAL крышка стеклянная, 30</v>
          </cell>
        </row>
        <row r="1902">
          <cell r="A1902">
            <v>9100004194</v>
          </cell>
          <cell r="B1902">
            <v>4090128</v>
          </cell>
          <cell r="J1902" t="str">
            <v>TEFAL крышка стеклянная, 28</v>
          </cell>
        </row>
        <row r="1903">
          <cell r="A1903">
            <v>9100004193</v>
          </cell>
          <cell r="B1903">
            <v>4090126</v>
          </cell>
          <cell r="J1903" t="str">
            <v>TEFAL крышка стеклянная, 26</v>
          </cell>
        </row>
        <row r="1904">
          <cell r="A1904">
            <v>9100040504</v>
          </cell>
          <cell r="B1904">
            <v>4199728</v>
          </cell>
          <cell r="J1904" t="str">
            <v>Стеклянная плоская крышка Butterfly 28</v>
          </cell>
        </row>
        <row r="1905">
          <cell r="A1905">
            <v>9100040503</v>
          </cell>
          <cell r="B1905">
            <v>4199726</v>
          </cell>
          <cell r="J1905" t="str">
            <v>Стеклянная плоская крышка Butterfly 26</v>
          </cell>
        </row>
        <row r="1906">
          <cell r="A1906">
            <v>9100004192</v>
          </cell>
          <cell r="B1906">
            <v>4090124</v>
          </cell>
          <cell r="J1906" t="str">
            <v>TEFAL крышка стеклянная, 24</v>
          </cell>
        </row>
        <row r="1907">
          <cell r="A1907">
            <v>9100040502</v>
          </cell>
          <cell r="B1907">
            <v>4199724</v>
          </cell>
          <cell r="J1907" t="str">
            <v>Стеклянная плоская крышка Butterfly 24</v>
          </cell>
        </row>
        <row r="1908">
          <cell r="A1908">
            <v>9100040501</v>
          </cell>
          <cell r="B1908">
            <v>4199722</v>
          </cell>
          <cell r="J1908" t="str">
            <v>Стеклянная плоская крышка Butterfly 22</v>
          </cell>
        </row>
        <row r="1909">
          <cell r="A1909">
            <v>9100004179</v>
          </cell>
          <cell r="B1909">
            <v>4090122</v>
          </cell>
          <cell r="J1909" t="str">
            <v>TEFAL крышка стеклянная, 22</v>
          </cell>
        </row>
        <row r="1910">
          <cell r="A1910">
            <v>9100004140</v>
          </cell>
          <cell r="B1910">
            <v>4090120</v>
          </cell>
          <cell r="J1910" t="str">
            <v>TEFAL крышка стеклянная, 20</v>
          </cell>
        </row>
        <row r="1911">
          <cell r="A1911">
            <v>9100040500</v>
          </cell>
          <cell r="B1911">
            <v>4199720</v>
          </cell>
          <cell r="J1911" t="str">
            <v>Стеклянная плоская крышка Butterfly 20</v>
          </cell>
        </row>
        <row r="1912">
          <cell r="A1912">
            <v>9100040499</v>
          </cell>
          <cell r="B1912">
            <v>4199718</v>
          </cell>
          <cell r="J1912" t="str">
            <v>Стеклянная плоская крышка Butterfly 18</v>
          </cell>
        </row>
        <row r="1913">
          <cell r="A1913">
            <v>9100004180</v>
          </cell>
          <cell r="B1913">
            <v>4090118</v>
          </cell>
          <cell r="J1913" t="str">
            <v xml:space="preserve">TEFAL крышка стеклянная, 18 </v>
          </cell>
        </row>
        <row r="1914">
          <cell r="A1914">
            <v>9100040498</v>
          </cell>
          <cell r="B1914">
            <v>4199716</v>
          </cell>
          <cell r="J1914" t="str">
            <v>Стеклянная плоская крышка Butterfly 16</v>
          </cell>
        </row>
        <row r="1915">
          <cell r="A1915">
            <v>9100055947</v>
          </cell>
          <cell r="B1915">
            <v>4240720</v>
          </cell>
          <cell r="J1915" t="str">
            <v>Крышка стеклянная, 20</v>
          </cell>
        </row>
        <row r="1916">
          <cell r="A1916">
            <v>9100055948</v>
          </cell>
          <cell r="B1916">
            <v>4240722</v>
          </cell>
          <cell r="J1916" t="str">
            <v>Крышка стеклянная, 22</v>
          </cell>
        </row>
        <row r="1917">
          <cell r="A1917">
            <v>9100055949</v>
          </cell>
          <cell r="B1917">
            <v>4240724</v>
          </cell>
          <cell r="J1917" t="str">
            <v>Крышка стеклянная, 24</v>
          </cell>
        </row>
        <row r="1918">
          <cell r="A1918">
            <v>9100055950</v>
          </cell>
          <cell r="B1918">
            <v>4240726</v>
          </cell>
          <cell r="J1918" t="str">
            <v>Крышка стеклянная, 26</v>
          </cell>
        </row>
        <row r="1919">
          <cell r="A1919">
            <v>9100055951</v>
          </cell>
          <cell r="B1919">
            <v>4240728</v>
          </cell>
          <cell r="J1919" t="str">
            <v>Крышка стеклянная, 28</v>
          </cell>
        </row>
        <row r="1920">
          <cell r="A1920">
            <v>8010000465</v>
          </cell>
          <cell r="B1920" t="str">
            <v>KO450832</v>
          </cell>
          <cell r="J1920" t="str">
            <v>Стеклянный чайник Tefal, мощность 2200 Вт, объем 1,7 литра, подстветка, скрытый нагревательный элемент, материал - стекло. Цвет -черный</v>
          </cell>
        </row>
        <row r="1921">
          <cell r="A1921">
            <v>8010000464</v>
          </cell>
          <cell r="B1921" t="str">
            <v>KO450132</v>
          </cell>
          <cell r="J1921" t="str">
            <v>Чайник Glass kettle, мощность 2200 Вт, объем 1,7 литра, фильтр против накипи, скрытый нагревательный элемент, материал - жаропрочное стекло. Цвет -белыйнержавеющая сталь</v>
          </cell>
        </row>
        <row r="1922">
          <cell r="A1922">
            <v>8010001400</v>
          </cell>
          <cell r="B1922" t="str">
            <v xml:space="preserve">KO450832 </v>
          </cell>
          <cell r="J1922" t="str">
            <v>Стеклянный чайник Tefal, мощность 2200 Вт, объем 1,7 литра, подстветка, скрытый нагревательный элемент, материал - стекло. Цвет -черный</v>
          </cell>
        </row>
        <row r="1923">
          <cell r="A1923">
            <v>8010001399</v>
          </cell>
          <cell r="B1923" t="str">
            <v xml:space="preserve">KO450132 </v>
          </cell>
          <cell r="J1923" t="str">
            <v>Чайник Glass kettle, мощность 2200 Вт, объем 1,7 литра, фильтр против накипи, скрытый нагревательный элемент, материал - жаропрочное стекло. Цвет -белыйнержавеющая сталь</v>
          </cell>
        </row>
        <row r="1924">
          <cell r="A1924">
            <v>8010000022</v>
          </cell>
          <cell r="B1924" t="str">
            <v>KI770D30</v>
          </cell>
          <cell r="J1924" t="str">
            <v>Стеклянный чайник Tefal, мощность 2200 Вт, объем 1,7 литра, подстветка, фильтр против накипи, индикатор уровня воды, скрытый нагревательный элемент, материал - стекло. Цвет -нержавеющая сталь</v>
          </cell>
        </row>
        <row r="1925">
          <cell r="A1925">
            <v>1510001769</v>
          </cell>
          <cell r="B1925" t="str">
            <v>KI772D32</v>
          </cell>
          <cell r="J1925" t="str">
            <v>Стеклянный чайник Tefal, мощность 2400 Вт, объем 1,7 литра, фильтр против накипи, индикатор уровня воды, скрытый нагревательный элемент, материал - стекло. Цвет -чёрный/серебро</v>
          </cell>
        </row>
        <row r="1926">
          <cell r="A1926">
            <v>1510001881</v>
          </cell>
          <cell r="B1926" t="str">
            <v>KI772138</v>
          </cell>
          <cell r="J1926" t="str">
            <v>Стеклянный чайник Tefal, мощность 2400 Вт, объем 1,7 литра, фильтр против накипи, индикатор уровня воды, скрытый нагревательный элемент, материал - стекло. Цвет -белый</v>
          </cell>
        </row>
        <row r="1927">
          <cell r="A1927">
            <v>7211419387</v>
          </cell>
          <cell r="B1927" t="str">
            <v>KI605B30</v>
          </cell>
          <cell r="J1927" t="str">
            <v>Стеклянный чайник Tefal, мощность 2200 Вт, объем 1,7 литра, подстветка, скрытый нагревательный элемент, материал - стекло.</v>
          </cell>
        </row>
        <row r="1928">
          <cell r="A1928">
            <v>1510002136</v>
          </cell>
          <cell r="B1928" t="str">
            <v>KI740B30</v>
          </cell>
          <cell r="J1928" t="str">
            <v>Стеклянный чайник Tefal, мощность 2200 Вт, объем 1,7 литра, фильтр против накипи, индикатор уровня воды, скрытый нагревательный элемент, материал - стекло. Цвет -нержавеющая сталь</v>
          </cell>
        </row>
        <row r="1929">
          <cell r="A1929">
            <v>1510002137</v>
          </cell>
          <cell r="B1929" t="str">
            <v>KI840830</v>
          </cell>
          <cell r="J1929" t="str">
            <v>KET NEW HANDLE GLASS 1.7L BLK</v>
          </cell>
        </row>
        <row r="1930">
          <cell r="A1930">
            <v>1510003007</v>
          </cell>
          <cell r="B1930" t="str">
            <v>KI840830</v>
          </cell>
          <cell r="J1930" t="str">
            <v>KET NEW HANDLE GLASS 1.7L BLK</v>
          </cell>
        </row>
        <row r="1931">
          <cell r="A1931">
            <v>8010000911</v>
          </cell>
          <cell r="B1931" t="str">
            <v>KP240110</v>
          </cell>
          <cell r="J1931" t="str">
            <v>Капсульная кофемашина GENIO S BASIC, мощность 1500 Вт, давление 15 бар, автоматическая дозировка, переключение подачи воды - горячая/холодная, резервуар для воды 0,8 л, энергосбережение - автоотключение через 1 мин., регулируемая по высоте подставка для чашек, функция приготовления большой XL порции напитка (300 мл), цвет - белый</v>
          </cell>
        </row>
        <row r="1932">
          <cell r="A1932">
            <v>8010001396</v>
          </cell>
          <cell r="B1932" t="str">
            <v>DD5431F0</v>
          </cell>
          <cell r="J1932" t="str">
            <v>Погружной блендер</v>
          </cell>
        </row>
        <row r="1933">
          <cell r="A1933">
            <v>8010001395</v>
          </cell>
          <cell r="B1933" t="str">
            <v>DD523AF0</v>
          </cell>
          <cell r="J1933" t="str">
            <v>Погружной блендер</v>
          </cell>
        </row>
        <row r="1934">
          <cell r="A1934">
            <v>8010001394</v>
          </cell>
          <cell r="B1934" t="str">
            <v>DD5R38F0</v>
          </cell>
          <cell r="J1934" t="str">
            <v>Погружной блендер</v>
          </cell>
        </row>
        <row r="1935">
          <cell r="A1935">
            <v>8010001372</v>
          </cell>
          <cell r="B1935" t="str">
            <v>QA140AF1</v>
          </cell>
          <cell r="J1935" t="str">
            <v>Кухонная машина QA140AF1</v>
          </cell>
        </row>
        <row r="1936">
          <cell r="A1936">
            <v>1510002970</v>
          </cell>
          <cell r="B1936" t="str">
            <v>BY1S08F0</v>
          </cell>
          <cell r="J1936" t="str">
            <v>Стеклянный чайник Tefal, мощность 2200 Вт, объем 1,7 литра, подстветка, скрытый нагревательный элемент, материал - стекло.</v>
          </cell>
        </row>
        <row r="1937">
          <cell r="A1937">
            <v>1510002972</v>
          </cell>
          <cell r="B1937" t="str">
            <v>BY2S01F0</v>
          </cell>
          <cell r="J1937" t="str">
            <v>Стеклянный чайник Tefal, мощность 2200 Вт, объем 1,7 литра, подстветка, скрытый нагревательный элемент, материал - стекло.</v>
          </cell>
        </row>
        <row r="1938">
          <cell r="A1938">
            <v>1510002968</v>
          </cell>
          <cell r="B1938" t="str">
            <v>BY3S0DF0</v>
          </cell>
          <cell r="J1938" t="str">
            <v>Стеклянный чайник Tefal, мощность 2200 Вт, объем 1,7 литра, подстветка, скрытый нагревательный элемент, материал - стекло.</v>
          </cell>
        </row>
        <row r="1939">
          <cell r="A1939">
            <v>1510002969</v>
          </cell>
          <cell r="B1939" t="str">
            <v>BY1R0DF0</v>
          </cell>
          <cell r="J1939" t="str">
            <v>Металлический чайник 1,7 л, 2200 Вт</v>
          </cell>
        </row>
        <row r="1940">
          <cell r="A1940">
            <v>1510002985</v>
          </cell>
          <cell r="B1940" t="str">
            <v>BY2R0DF0</v>
          </cell>
          <cell r="J1940" t="str">
            <v>Металлический чайник 1,7 л, 2400 Вт</v>
          </cell>
        </row>
        <row r="1941">
          <cell r="A1941">
            <v>1510002982</v>
          </cell>
          <cell r="B1941" t="str">
            <v>BY3R0DF0</v>
          </cell>
          <cell r="J1941" t="str">
            <v>Металлический чайник 1,7 л, 2400 Вт</v>
          </cell>
        </row>
        <row r="1942">
          <cell r="A1942">
            <v>8010001423</v>
          </cell>
          <cell r="B1942" t="str">
            <v>QA1701F1</v>
          </cell>
          <cell r="J1942" t="str">
            <v>Кухонная машина QA1701F1</v>
          </cell>
        </row>
        <row r="1943">
          <cell r="A1943">
            <v>8010001424</v>
          </cell>
          <cell r="B1943" t="str">
            <v>QA1708F1</v>
          </cell>
          <cell r="J1943" t="str">
            <v>Кухонная машина QA1708F1</v>
          </cell>
        </row>
        <row r="1944">
          <cell r="A1944">
            <v>2211401427</v>
          </cell>
          <cell r="B1944" t="str">
            <v>TY1R17F1</v>
          </cell>
          <cell r="J1944" t="str">
            <v>Проводной пылесос TEFAL VERTICAL VACUUM CLEANER WHITE, Потребляемая мощность 650Вт</v>
          </cell>
        </row>
        <row r="1945">
          <cell r="A1945">
            <v>2211401434</v>
          </cell>
          <cell r="B1945" t="str">
            <v>TY1C15F1</v>
          </cell>
          <cell r="J1945" t="str">
            <v>Проводной пылесос TEFAL VERTICAL VACUUM CLEANER BLACK, Потребляемая мощность 650Вт</v>
          </cell>
        </row>
        <row r="1946">
          <cell r="A1946">
            <v>2100120022</v>
          </cell>
          <cell r="B1946" t="str">
            <v>G2559072</v>
          </cell>
          <cell r="J1946" t="str">
            <v>Набор сковород 22+28 Unlimited</v>
          </cell>
        </row>
        <row r="1947">
          <cell r="A1947">
            <v>2100118321</v>
          </cell>
          <cell r="B1947" t="str">
            <v>G2557172</v>
          </cell>
          <cell r="J1947" t="str">
            <v>Мультифункц. cковорода 26 с кр. Unlimited</v>
          </cell>
        </row>
        <row r="1948">
          <cell r="A1948">
            <v>2100118460</v>
          </cell>
          <cell r="B1948" t="str">
            <v>G2554672</v>
          </cell>
          <cell r="J1948" t="str">
            <v>Кастрюля 24 с крышкой Unlimited</v>
          </cell>
        </row>
        <row r="1949">
          <cell r="A1949">
            <v>2100118286</v>
          </cell>
          <cell r="B1949" t="str">
            <v>G2551972</v>
          </cell>
          <cell r="J1949" t="str">
            <v>Сковорода ВОК 28 Unlimited</v>
          </cell>
        </row>
        <row r="1950">
          <cell r="A1950">
            <v>2100118291</v>
          </cell>
          <cell r="B1950" t="str">
            <v>G2550772</v>
          </cell>
          <cell r="J1950" t="str">
            <v>Сковорода 30 Unlimited</v>
          </cell>
        </row>
        <row r="1951">
          <cell r="A1951">
            <v>2100118290</v>
          </cell>
          <cell r="B1951" t="str">
            <v>G2550672</v>
          </cell>
          <cell r="J1951" t="str">
            <v>Сковорода 28 Unlimited</v>
          </cell>
        </row>
        <row r="1952">
          <cell r="A1952">
            <v>2100118289</v>
          </cell>
          <cell r="B1952" t="str">
            <v>G2550572</v>
          </cell>
          <cell r="J1952" t="str">
            <v>Сковорода 26 Unlimited</v>
          </cell>
        </row>
        <row r="1953">
          <cell r="A1953">
            <v>2100118288</v>
          </cell>
          <cell r="B1953" t="str">
            <v>G2550472</v>
          </cell>
          <cell r="J1953" t="str">
            <v>Сковорода 24 Unlimited</v>
          </cell>
        </row>
        <row r="1954">
          <cell r="A1954">
            <v>2100118287</v>
          </cell>
          <cell r="B1954" t="str">
            <v>G2550372</v>
          </cell>
          <cell r="J1954" t="str">
            <v>Сковорода 22 Unlimited</v>
          </cell>
        </row>
        <row r="1955">
          <cell r="A1955">
            <v>2100118285</v>
          </cell>
          <cell r="B1955" t="str">
            <v>G2553872</v>
          </cell>
          <cell r="J1955" t="str">
            <v>Сковорода блинная 25 Unlimited</v>
          </cell>
        </row>
        <row r="1956">
          <cell r="A1956">
            <v>2100118292</v>
          </cell>
          <cell r="B1956" t="str">
            <v>G2550272</v>
          </cell>
          <cell r="J1956" t="str">
            <v>Сковорода 20 Unlimited</v>
          </cell>
        </row>
        <row r="1957">
          <cell r="A1957">
            <v>2100118168</v>
          </cell>
          <cell r="B1957" t="str">
            <v>E2294074</v>
          </cell>
          <cell r="J1957" t="str">
            <v>Круглая сковорода Гриль 26 Unlimited</v>
          </cell>
        </row>
        <row r="1958">
          <cell r="A1958">
            <v>2100118174</v>
          </cell>
          <cell r="B1958" t="str">
            <v>E2304074</v>
          </cell>
          <cell r="J1958" t="str">
            <v>Круглая сковорода Гриль 26 Ultimate</v>
          </cell>
        </row>
        <row r="1959">
          <cell r="A1959">
            <v>9100045474</v>
          </cell>
          <cell r="B1959">
            <v>4205928</v>
          </cell>
          <cell r="J1959" t="str">
            <v>Сковорода 28 с кр. SIMPLY CLEAN</v>
          </cell>
        </row>
        <row r="1960">
          <cell r="A1960">
            <v>9100042512</v>
          </cell>
          <cell r="B1960">
            <v>4205628</v>
          </cell>
          <cell r="J1960" t="str">
            <v>Сковорода ВОК 28 SIMPLY CLEAN</v>
          </cell>
        </row>
        <row r="1961">
          <cell r="A1961">
            <v>9100045473</v>
          </cell>
          <cell r="B1961">
            <v>4205926</v>
          </cell>
          <cell r="J1961" t="str">
            <v>Сковорода 26 с кр. SIMPLY CLEAN</v>
          </cell>
        </row>
        <row r="1962">
          <cell r="A1962">
            <v>9100045472</v>
          </cell>
          <cell r="B1962">
            <v>4205924</v>
          </cell>
          <cell r="J1962" t="str">
            <v>Сковорода 24 с кр. SIMPLY CLEAN</v>
          </cell>
        </row>
        <row r="1963">
          <cell r="A1963">
            <v>9100042510</v>
          </cell>
          <cell r="B1963">
            <v>4205128</v>
          </cell>
          <cell r="J1963" t="str">
            <v>Сковорода 28 SIMPLY CLEAN</v>
          </cell>
        </row>
        <row r="1964">
          <cell r="A1964">
            <v>9100042509</v>
          </cell>
          <cell r="B1964">
            <v>4205126</v>
          </cell>
          <cell r="J1964" t="str">
            <v>Сковорода 26 SIMPLY CLEAN</v>
          </cell>
        </row>
        <row r="1965">
          <cell r="A1965">
            <v>9100042508</v>
          </cell>
          <cell r="B1965">
            <v>4205124</v>
          </cell>
          <cell r="J1965" t="str">
            <v>Сковорода 24 SIMPLY CLEAN</v>
          </cell>
        </row>
        <row r="1966">
          <cell r="A1966">
            <v>9100042507</v>
          </cell>
          <cell r="B1966">
            <v>4205122</v>
          </cell>
          <cell r="J1966" t="str">
            <v>Сковорода 22 SIMPLY CLEAN</v>
          </cell>
        </row>
        <row r="1967">
          <cell r="A1967">
            <v>9100042511</v>
          </cell>
          <cell r="B1967">
            <v>4205522</v>
          </cell>
          <cell r="J1967" t="str">
            <v>Сковорода 22бл SIMPLY CLEAN</v>
          </cell>
        </row>
        <row r="1968">
          <cell r="A1968">
            <v>2100119955</v>
          </cell>
          <cell r="B1968" t="str">
            <v>G2669082</v>
          </cell>
          <cell r="J1968" t="str">
            <v>Набор сковород 20+28 Natural Force</v>
          </cell>
        </row>
        <row r="1969">
          <cell r="A1969">
            <v>2100118262</v>
          </cell>
          <cell r="B1969" t="str">
            <v>G2661972</v>
          </cell>
          <cell r="J1969" t="str">
            <v>Сковорода ВОК 28 Natural Force</v>
          </cell>
        </row>
        <row r="1970">
          <cell r="A1970">
            <v>2100118265</v>
          </cell>
          <cell r="B1970" t="str">
            <v>G2660672</v>
          </cell>
          <cell r="J1970" t="str">
            <v>Сковорода 28 Natural Force</v>
          </cell>
        </row>
        <row r="1971">
          <cell r="A1971">
            <v>2100118264</v>
          </cell>
          <cell r="B1971" t="str">
            <v>G2660572</v>
          </cell>
          <cell r="J1971" t="str">
            <v>Сковорода 26 Natural Force</v>
          </cell>
        </row>
        <row r="1972">
          <cell r="A1972">
            <v>2100118263</v>
          </cell>
          <cell r="B1972" t="str">
            <v>G2660472</v>
          </cell>
          <cell r="J1972" t="str">
            <v>Сковорода 24 Natural Force</v>
          </cell>
        </row>
        <row r="1973">
          <cell r="A1973">
            <v>2100118459</v>
          </cell>
          <cell r="B1973" t="str">
            <v>G2663872</v>
          </cell>
          <cell r="J1973" t="str">
            <v>Сковорода блинная 25 Natural Force</v>
          </cell>
        </row>
        <row r="1974">
          <cell r="A1974">
            <v>9100047872</v>
          </cell>
          <cell r="B1974">
            <v>4215224</v>
          </cell>
          <cell r="J1974" t="str">
            <v>Сотейник 24 с кр. Just</v>
          </cell>
        </row>
        <row r="1975">
          <cell r="A1975">
            <v>9100047581</v>
          </cell>
          <cell r="B1975">
            <v>4212928</v>
          </cell>
          <cell r="J1975" t="str">
            <v>Сковорода 28 с крышкой JUST</v>
          </cell>
        </row>
        <row r="1976">
          <cell r="A1976">
            <v>9100047580</v>
          </cell>
          <cell r="B1976">
            <v>4212926</v>
          </cell>
          <cell r="J1976" t="str">
            <v>Сковорода 26 с крышкой JUST</v>
          </cell>
        </row>
        <row r="1977">
          <cell r="A1977">
            <v>9100046091</v>
          </cell>
          <cell r="B1977">
            <v>4212628</v>
          </cell>
          <cell r="J1977" t="str">
            <v>Сковорока Вок 28 JUST</v>
          </cell>
        </row>
        <row r="1978">
          <cell r="A1978">
            <v>9100047579</v>
          </cell>
          <cell r="B1978">
            <v>4212924</v>
          </cell>
          <cell r="J1978" t="str">
            <v>Сковорода 24 с крышкой JUST</v>
          </cell>
        </row>
        <row r="1979">
          <cell r="A1979">
            <v>9100046089</v>
          </cell>
          <cell r="B1979">
            <v>4212128</v>
          </cell>
          <cell r="J1979" t="str">
            <v>Сковорода 28 JUST</v>
          </cell>
        </row>
        <row r="1980">
          <cell r="A1980">
            <v>9100046088</v>
          </cell>
          <cell r="B1980">
            <v>4212126</v>
          </cell>
          <cell r="J1980" t="str">
            <v>Сковорода 26 JUST</v>
          </cell>
        </row>
        <row r="1981">
          <cell r="A1981">
            <v>9100046087</v>
          </cell>
          <cell r="B1981">
            <v>4212124</v>
          </cell>
          <cell r="J1981" t="str">
            <v>Сковорода 24 JUST</v>
          </cell>
        </row>
        <row r="1982">
          <cell r="A1982">
            <v>9100046090</v>
          </cell>
          <cell r="B1982">
            <v>4212522</v>
          </cell>
          <cell r="J1982" t="str">
            <v>Сковорода для блинов 22 JUST</v>
          </cell>
        </row>
        <row r="1983">
          <cell r="A1983">
            <v>9100046086</v>
          </cell>
          <cell r="B1983">
            <v>4212120</v>
          </cell>
          <cell r="J1983" t="str">
            <v>Сковорода 20 JUST</v>
          </cell>
        </row>
        <row r="1984">
          <cell r="A1984">
            <v>9100052845</v>
          </cell>
          <cell r="B1984">
            <v>4232924</v>
          </cell>
          <cell r="J1984" t="str">
            <v>Сковорода 24 с кр. Just</v>
          </cell>
        </row>
        <row r="1985">
          <cell r="A1985">
            <v>9100052846</v>
          </cell>
          <cell r="B1985">
            <v>4232926</v>
          </cell>
          <cell r="J1985" t="str">
            <v>Сковорода 26 с кр. Just</v>
          </cell>
        </row>
        <row r="1986">
          <cell r="A1986">
            <v>9100052847</v>
          </cell>
          <cell r="B1986">
            <v>4232928</v>
          </cell>
          <cell r="J1986" t="str">
            <v>Сковорода 28 с кр. Just</v>
          </cell>
        </row>
        <row r="1987">
          <cell r="A1987">
            <v>9100053959</v>
          </cell>
          <cell r="B1987">
            <v>4210120</v>
          </cell>
          <cell r="J1987" t="str">
            <v>Сковорода 20 JUST</v>
          </cell>
        </row>
        <row r="1988">
          <cell r="A1988">
            <v>9100053960</v>
          </cell>
          <cell r="B1988">
            <v>4210124</v>
          </cell>
          <cell r="J1988" t="str">
            <v>Сковорода 24 JUST</v>
          </cell>
        </row>
        <row r="1989">
          <cell r="A1989">
            <v>9100053961</v>
          </cell>
          <cell r="B1989">
            <v>4210126</v>
          </cell>
          <cell r="J1989" t="str">
            <v>Сковорода 26 JUST</v>
          </cell>
        </row>
        <row r="1990">
          <cell r="A1990">
            <v>9100053962</v>
          </cell>
          <cell r="B1990">
            <v>4210128</v>
          </cell>
          <cell r="J1990" t="str">
            <v>Сковорода 28 JUST</v>
          </cell>
        </row>
        <row r="1991">
          <cell r="A1991">
            <v>9100053963</v>
          </cell>
          <cell r="B1991">
            <v>4210522</v>
          </cell>
          <cell r="J1991" t="str">
            <v>Сковорода для блинов 22 JUST</v>
          </cell>
        </row>
        <row r="1992">
          <cell r="A1992">
            <v>9100053964</v>
          </cell>
          <cell r="B1992">
            <v>4210628</v>
          </cell>
          <cell r="J1992" t="str">
            <v>Сковорока Вок 28 JUST</v>
          </cell>
        </row>
        <row r="1993">
          <cell r="A1993">
            <v>2100125392</v>
          </cell>
          <cell r="B1993" t="str">
            <v>G744SB74</v>
          </cell>
          <cell r="J1993" t="str">
            <v>Набор ILLICO 11 пр: сковроды 24/28, ковш 16+крышка, кастрюля 20+крышка+ 5 аксс)</v>
          </cell>
        </row>
        <row r="1994">
          <cell r="A1994">
            <v>2100125882</v>
          </cell>
          <cell r="B1994" t="str">
            <v>G7454674</v>
          </cell>
          <cell r="J1994" t="str">
            <v>Кастрюля  24 см ILLICO</v>
          </cell>
        </row>
        <row r="1995">
          <cell r="A1995">
            <v>2100125387</v>
          </cell>
          <cell r="B1995" t="str">
            <v>G7444074</v>
          </cell>
          <cell r="J1995" t="str">
            <v>Сковорода-гриль 26 см ILLICO</v>
          </cell>
        </row>
        <row r="1996">
          <cell r="A1996">
            <v>2100125388</v>
          </cell>
          <cell r="B1996" t="str">
            <v>G7441974</v>
          </cell>
          <cell r="J1996" t="str">
            <v>Сковорода ВОК 28 см ILLICO</v>
          </cell>
        </row>
        <row r="1997">
          <cell r="A1997">
            <v>2100125391</v>
          </cell>
          <cell r="B1997" t="str">
            <v>G7440674</v>
          </cell>
          <cell r="J1997" t="str">
            <v>Сковорода 28 см ILLICO</v>
          </cell>
        </row>
        <row r="1998">
          <cell r="A1998">
            <v>2100125881</v>
          </cell>
          <cell r="B1998" t="str">
            <v>G7454474</v>
          </cell>
          <cell r="J1998" t="str">
            <v>Кастрюля  20 см ILLICO</v>
          </cell>
        </row>
        <row r="1999">
          <cell r="A1999">
            <v>2100125390</v>
          </cell>
          <cell r="B1999" t="str">
            <v>G7440574</v>
          </cell>
          <cell r="J1999" t="str">
            <v>Сковорода 26 см ILLICO</v>
          </cell>
        </row>
        <row r="2000">
          <cell r="A2000">
            <v>2100125389</v>
          </cell>
          <cell r="B2000" t="str">
            <v>G7440474</v>
          </cell>
          <cell r="J2000" t="str">
            <v>Сковорода 24 см ILLICO</v>
          </cell>
        </row>
        <row r="2001">
          <cell r="A2001">
            <v>2100125880</v>
          </cell>
          <cell r="B2001" t="str">
            <v>G7454374</v>
          </cell>
          <cell r="J2001" t="str">
            <v>Кастрюля  18 см ILLICO</v>
          </cell>
        </row>
        <row r="2002">
          <cell r="A2002">
            <v>2100125879</v>
          </cell>
          <cell r="B2002" t="str">
            <v>G7452274</v>
          </cell>
          <cell r="J2002" t="str">
            <v>Ковш 16 см ILLICO</v>
          </cell>
        </row>
        <row r="2003">
          <cell r="A2003">
            <v>2100125386</v>
          </cell>
          <cell r="B2003" t="str">
            <v>G7443874</v>
          </cell>
          <cell r="J2003" t="str">
            <v>Блинная сковорода  25 см ILLICO</v>
          </cell>
        </row>
        <row r="2004">
          <cell r="A2004">
            <v>2100119162</v>
          </cell>
          <cell r="B2004" t="str">
            <v>G2689072</v>
          </cell>
          <cell r="J2004" t="str">
            <v>Набор 2 сковороды 22+28 Ultimate</v>
          </cell>
        </row>
        <row r="2005">
          <cell r="A2005">
            <v>2100118305</v>
          </cell>
          <cell r="B2005" t="str">
            <v>G2683372</v>
          </cell>
          <cell r="J2005" t="str">
            <v>Сотейник 26 с крышкой Ultimate</v>
          </cell>
        </row>
        <row r="2006">
          <cell r="A2006">
            <v>2100118300</v>
          </cell>
          <cell r="B2006" t="str">
            <v>G2687772</v>
          </cell>
          <cell r="J2006" t="str">
            <v>Мультисковорода 26 Ultimate</v>
          </cell>
        </row>
        <row r="2007">
          <cell r="A2007">
            <v>2100118301</v>
          </cell>
          <cell r="B2007" t="str">
            <v>G2681972</v>
          </cell>
          <cell r="J2007" t="str">
            <v>Сковорода ВОК 28 Ultimate</v>
          </cell>
        </row>
        <row r="2008">
          <cell r="A2008">
            <v>2100118464</v>
          </cell>
          <cell r="B2008" t="str">
            <v>G2680772</v>
          </cell>
          <cell r="J2008" t="str">
            <v>Сковорода 30 Ultimate</v>
          </cell>
        </row>
        <row r="2009">
          <cell r="A2009">
            <v>2100118463</v>
          </cell>
          <cell r="B2009" t="str">
            <v>G2680672</v>
          </cell>
          <cell r="J2009" t="str">
            <v>Сковорода 28 Ultimate</v>
          </cell>
        </row>
        <row r="2010">
          <cell r="A2010">
            <v>2100118303</v>
          </cell>
          <cell r="B2010" t="str">
            <v>G2680572</v>
          </cell>
          <cell r="J2010" t="str">
            <v>Сковорода 26 Ultimate</v>
          </cell>
        </row>
        <row r="2011">
          <cell r="A2011">
            <v>2100118302</v>
          </cell>
          <cell r="B2011" t="str">
            <v>G2680472</v>
          </cell>
          <cell r="J2011" t="str">
            <v>Сковорода 24 Ultimate</v>
          </cell>
        </row>
        <row r="2012">
          <cell r="A2012">
            <v>2100118299</v>
          </cell>
          <cell r="B2012" t="str">
            <v>G2683872</v>
          </cell>
          <cell r="J2012" t="str">
            <v>Сковорода блинная 25 Ultimate</v>
          </cell>
        </row>
        <row r="2013">
          <cell r="A2013">
            <v>2100118462</v>
          </cell>
          <cell r="B2013" t="str">
            <v>G2680372</v>
          </cell>
          <cell r="J2013" t="str">
            <v>Сковорода 22 Ultimate</v>
          </cell>
        </row>
        <row r="2014">
          <cell r="A2014">
            <v>2100118304</v>
          </cell>
          <cell r="B2014" t="str">
            <v>G2680272</v>
          </cell>
          <cell r="J2014" t="str">
            <v>Сковорода 20 Ultimate</v>
          </cell>
        </row>
        <row r="2015">
          <cell r="A2015">
            <v>2100118359</v>
          </cell>
          <cell r="B2015" t="str">
            <v>G2691972</v>
          </cell>
          <cell r="J2015" t="str">
            <v>Сковорода ВОК 28 Excellence</v>
          </cell>
        </row>
        <row r="2016">
          <cell r="A2016">
            <v>2100118358</v>
          </cell>
          <cell r="B2016" t="str">
            <v>G2697772</v>
          </cell>
          <cell r="J2016" t="str">
            <v>Мультисковорода 26 Excellence</v>
          </cell>
        </row>
        <row r="2017">
          <cell r="A2017">
            <v>2100118363</v>
          </cell>
          <cell r="B2017" t="str">
            <v>G2690772</v>
          </cell>
          <cell r="J2017" t="str">
            <v>Сковорода 30 Excellence</v>
          </cell>
        </row>
        <row r="2018">
          <cell r="A2018">
            <v>2100118362</v>
          </cell>
          <cell r="B2018" t="str">
            <v>G2690672</v>
          </cell>
          <cell r="J2018" t="str">
            <v>Сковорода 28 Excellence</v>
          </cell>
        </row>
        <row r="2019">
          <cell r="A2019">
            <v>2100118361</v>
          </cell>
          <cell r="B2019" t="str">
            <v>G2690572</v>
          </cell>
          <cell r="J2019" t="str">
            <v>Сковорода 26 Excellence</v>
          </cell>
        </row>
        <row r="2020">
          <cell r="A2020">
            <v>2100118360</v>
          </cell>
          <cell r="B2020" t="str">
            <v>G2690472</v>
          </cell>
          <cell r="J2020" t="str">
            <v>Сковорода 24 Excellence</v>
          </cell>
        </row>
        <row r="2021">
          <cell r="A2021">
            <v>2100118357</v>
          </cell>
          <cell r="B2021" t="str">
            <v>G2693872</v>
          </cell>
          <cell r="J2021" t="str">
            <v>Сковорода блинная 25 Excellence</v>
          </cell>
        </row>
        <row r="2022">
          <cell r="A2022">
            <v>2100118381</v>
          </cell>
          <cell r="B2022" t="str">
            <v>G2690372</v>
          </cell>
          <cell r="J2022" t="str">
            <v>Сковорода 22 Excellence</v>
          </cell>
        </row>
        <row r="2023">
          <cell r="A2023">
            <v>2100121704</v>
          </cell>
          <cell r="B2023" t="str">
            <v>E2444055</v>
          </cell>
          <cell r="J2023" t="str">
            <v>Круглая сковорода Гриль 26 Healthy Chef</v>
          </cell>
        </row>
        <row r="2024">
          <cell r="A2024">
            <v>2100118762</v>
          </cell>
          <cell r="B2024" t="str">
            <v>G1503223</v>
          </cell>
          <cell r="J2024" t="str">
            <v>Сотейник с кр. 24 см Healthy chef</v>
          </cell>
        </row>
        <row r="2025">
          <cell r="A2025">
            <v>2100121700</v>
          </cell>
          <cell r="B2025" t="str">
            <v>G1501972</v>
          </cell>
          <cell r="J2025" t="str">
            <v>Сковорода ВОК 28 Healthy chef</v>
          </cell>
        </row>
        <row r="2026">
          <cell r="A2026">
            <v>2100121703</v>
          </cell>
          <cell r="B2026" t="str">
            <v>G1500672</v>
          </cell>
          <cell r="J2026" t="str">
            <v>Сковорода 28 Healthy chef</v>
          </cell>
        </row>
        <row r="2027">
          <cell r="A2027">
            <v>2100121702</v>
          </cell>
          <cell r="B2027" t="str">
            <v>G1500572</v>
          </cell>
          <cell r="J2027" t="str">
            <v>Сковорода 26 Healthy chef</v>
          </cell>
        </row>
        <row r="2028">
          <cell r="A2028">
            <v>2100121701</v>
          </cell>
          <cell r="B2028" t="str">
            <v>G1500472</v>
          </cell>
          <cell r="J2028" t="str">
            <v>Сковорода 24 Healthy chef</v>
          </cell>
        </row>
        <row r="2029">
          <cell r="A2029">
            <v>2100121699</v>
          </cell>
          <cell r="B2029" t="str">
            <v>G1503872</v>
          </cell>
          <cell r="J2029" t="str">
            <v>Сковорода для блинов 25 Healthy chef</v>
          </cell>
        </row>
        <row r="2030">
          <cell r="A2030">
            <v>2100118215</v>
          </cell>
          <cell r="B2030" t="str">
            <v>E2314074</v>
          </cell>
          <cell r="J2030" t="str">
            <v>Круглая сковорода Гриль 26 Excellence</v>
          </cell>
        </row>
        <row r="2031">
          <cell r="A2031">
            <v>9100045480</v>
          </cell>
          <cell r="B2031">
            <v>4206928</v>
          </cell>
          <cell r="J2031" t="str">
            <v xml:space="preserve">Сковорода 28 с кр. EASY PLUS </v>
          </cell>
        </row>
        <row r="2032">
          <cell r="A2032">
            <v>9100042518</v>
          </cell>
          <cell r="B2032">
            <v>4206628</v>
          </cell>
          <cell r="J2032" t="str">
            <v xml:space="preserve">Сковорода ВОК 28 EASY PLUS </v>
          </cell>
        </row>
        <row r="2033">
          <cell r="A2033">
            <v>9100054099</v>
          </cell>
          <cell r="B2033">
            <v>4237628</v>
          </cell>
          <cell r="J2033" t="str">
            <v xml:space="preserve">Сковорода ВОК 28 EASY PLUS </v>
          </cell>
        </row>
        <row r="2034">
          <cell r="A2034">
            <v>9100045479</v>
          </cell>
          <cell r="B2034">
            <v>4206926</v>
          </cell>
          <cell r="J2034" t="str">
            <v xml:space="preserve">Сковорода 26 с кр. EASY PLUS </v>
          </cell>
        </row>
        <row r="2035">
          <cell r="A2035">
            <v>9100045478</v>
          </cell>
          <cell r="B2035">
            <v>4206924</v>
          </cell>
          <cell r="J2035" t="str">
            <v xml:space="preserve">Сковорода 24 с кр. EASY PLUS </v>
          </cell>
        </row>
        <row r="2036">
          <cell r="A2036">
            <v>9100042516</v>
          </cell>
          <cell r="B2036">
            <v>4206128</v>
          </cell>
          <cell r="J2036" t="str">
            <v xml:space="preserve">Сковорода 28 EASY PLUS </v>
          </cell>
        </row>
        <row r="2037">
          <cell r="A2037">
            <v>9100054097</v>
          </cell>
          <cell r="B2037">
            <v>4237128</v>
          </cell>
          <cell r="J2037" t="str">
            <v xml:space="preserve">Сковорода 28 EASY PLUS </v>
          </cell>
        </row>
        <row r="2038">
          <cell r="A2038">
            <v>9100042515</v>
          </cell>
          <cell r="B2038">
            <v>4206126</v>
          </cell>
          <cell r="J2038" t="str">
            <v xml:space="preserve">Сковорода 26 EASY PLUS </v>
          </cell>
        </row>
        <row r="2039">
          <cell r="A2039">
            <v>9100054096</v>
          </cell>
          <cell r="B2039">
            <v>4237126</v>
          </cell>
          <cell r="J2039" t="str">
            <v xml:space="preserve">Сковорода 26 EASY PLUS </v>
          </cell>
        </row>
        <row r="2040">
          <cell r="A2040">
            <v>9100042514</v>
          </cell>
          <cell r="B2040">
            <v>4206124</v>
          </cell>
          <cell r="J2040" t="str">
            <v xml:space="preserve">Сковорода 24 EASY PLUS </v>
          </cell>
        </row>
        <row r="2041">
          <cell r="A2041">
            <v>9100054095</v>
          </cell>
          <cell r="B2041">
            <v>4237124</v>
          </cell>
          <cell r="J2041" t="str">
            <v xml:space="preserve">Сковорода 24 EASY PLUS </v>
          </cell>
        </row>
        <row r="2042">
          <cell r="A2042">
            <v>9100042513</v>
          </cell>
          <cell r="B2042">
            <v>4206122</v>
          </cell>
          <cell r="J2042" t="str">
            <v xml:space="preserve">Сковорода 22 EASY PLUS </v>
          </cell>
        </row>
        <row r="2043">
          <cell r="A2043">
            <v>9100054094</v>
          </cell>
          <cell r="B2043">
            <v>4237122</v>
          </cell>
          <cell r="J2043" t="str">
            <v xml:space="preserve">Сковорода 22 EASY PLUS </v>
          </cell>
        </row>
        <row r="2044">
          <cell r="A2044">
            <v>9100042517</v>
          </cell>
          <cell r="B2044">
            <v>4206522</v>
          </cell>
          <cell r="J2044" t="str">
            <v xml:space="preserve">Сковорода 22бл EASY PLUS </v>
          </cell>
        </row>
        <row r="2045">
          <cell r="A2045">
            <v>9100054098</v>
          </cell>
          <cell r="B2045">
            <v>4237522</v>
          </cell>
          <cell r="J2045" t="str">
            <v xml:space="preserve">Сковорода 22бл EASY PLUS </v>
          </cell>
        </row>
        <row r="2046">
          <cell r="A2046">
            <v>9100052839</v>
          </cell>
          <cell r="B2046">
            <v>4231924</v>
          </cell>
          <cell r="J2046" t="str">
            <v xml:space="preserve">Сковорода 24 с кр. EASY PLUS </v>
          </cell>
        </row>
        <row r="2047">
          <cell r="A2047">
            <v>9100054100</v>
          </cell>
          <cell r="B2047">
            <v>4237924</v>
          </cell>
          <cell r="J2047" t="str">
            <v xml:space="preserve">Сковорода 24 с кр. EASY PLUS </v>
          </cell>
        </row>
        <row r="2048">
          <cell r="A2048">
            <v>9100052840</v>
          </cell>
          <cell r="B2048">
            <v>4231926</v>
          </cell>
          <cell r="J2048" t="str">
            <v xml:space="preserve">Сковорода 26 с кр. EASY PLUS </v>
          </cell>
        </row>
        <row r="2049">
          <cell r="A2049">
            <v>9100052841</v>
          </cell>
          <cell r="B2049">
            <v>4231928</v>
          </cell>
          <cell r="J2049" t="str">
            <v xml:space="preserve">Сковорода 28 с кр. EASY PLUS </v>
          </cell>
        </row>
        <row r="2050">
          <cell r="A2050">
            <v>9100054101</v>
          </cell>
          <cell r="B2050">
            <v>4237926</v>
          </cell>
          <cell r="J2050" t="str">
            <v xml:space="preserve">Сковорода 26 с кр. EASY PLUS </v>
          </cell>
        </row>
        <row r="2051">
          <cell r="A2051">
            <v>9100054102</v>
          </cell>
          <cell r="B2051">
            <v>4237928</v>
          </cell>
          <cell r="J2051" t="str">
            <v xml:space="preserve">Сковорода 28 с кр. EASY PLUS </v>
          </cell>
        </row>
        <row r="2052">
          <cell r="A2052">
            <v>2100119306</v>
          </cell>
          <cell r="B2052" t="str">
            <v>G2709072</v>
          </cell>
          <cell r="J2052" t="str">
            <v>Набор 2 сковороды 22+28 Easy Chef</v>
          </cell>
        </row>
        <row r="2053">
          <cell r="A2053">
            <v>2100118271</v>
          </cell>
          <cell r="B2053" t="str">
            <v>G2707772</v>
          </cell>
          <cell r="J2053" t="str">
            <v>Мультисковорода 26 Easy Chef</v>
          </cell>
        </row>
        <row r="2054">
          <cell r="A2054">
            <v>2100118272</v>
          </cell>
          <cell r="B2054" t="str">
            <v>G2701972</v>
          </cell>
          <cell r="J2054" t="str">
            <v>Сковорода ВОК 28 Easy Chef</v>
          </cell>
        </row>
        <row r="2055">
          <cell r="A2055">
            <v>2100118276</v>
          </cell>
          <cell r="B2055" t="str">
            <v>G2700772</v>
          </cell>
          <cell r="J2055" t="str">
            <v>Сковорода 30 Easy Chef</v>
          </cell>
        </row>
        <row r="2056">
          <cell r="A2056">
            <v>2100118306</v>
          </cell>
          <cell r="B2056" t="str">
            <v>G2700672</v>
          </cell>
          <cell r="J2056" t="str">
            <v>Сковорода 28 Easy Chef</v>
          </cell>
        </row>
        <row r="2057">
          <cell r="A2057">
            <v>2100118274</v>
          </cell>
          <cell r="B2057" t="str">
            <v>G2700572</v>
          </cell>
          <cell r="J2057" t="str">
            <v>Сковорода 26 Easy Chef</v>
          </cell>
        </row>
        <row r="2058">
          <cell r="A2058">
            <v>2100118273</v>
          </cell>
          <cell r="B2058" t="str">
            <v>G2700472</v>
          </cell>
          <cell r="J2058" t="str">
            <v>Сковорода 24 Easy Chef</v>
          </cell>
        </row>
        <row r="2059">
          <cell r="A2059">
            <v>2100118267</v>
          </cell>
          <cell r="B2059" t="str">
            <v>G2703872</v>
          </cell>
          <cell r="J2059" t="str">
            <v>Сковорода блинная 25 Easy Chef</v>
          </cell>
        </row>
        <row r="2060">
          <cell r="A2060">
            <v>2100117753</v>
          </cell>
          <cell r="B2060" t="str">
            <v>G2703823</v>
          </cell>
          <cell r="J2060" t="str">
            <v>Сковорода блинная 25 Easy Chef</v>
          </cell>
        </row>
        <row r="2061">
          <cell r="A2061">
            <v>2100117754</v>
          </cell>
          <cell r="B2061" t="str">
            <v>G2701923</v>
          </cell>
          <cell r="J2061" t="str">
            <v>Сковорода ВОК 28 Easy Chef</v>
          </cell>
        </row>
        <row r="2062">
          <cell r="A2062">
            <v>2100117755</v>
          </cell>
          <cell r="B2062" t="str">
            <v>G2700423</v>
          </cell>
          <cell r="J2062" t="str">
            <v>Сковорода 24 Easy Chef</v>
          </cell>
        </row>
        <row r="2063">
          <cell r="A2063">
            <v>2100117756</v>
          </cell>
          <cell r="B2063" t="str">
            <v>G2700623</v>
          </cell>
          <cell r="J2063" t="str">
            <v>Сковорода 28 Easy Chef</v>
          </cell>
        </row>
        <row r="2064">
          <cell r="A2064">
            <v>2100117757</v>
          </cell>
          <cell r="B2064" t="str">
            <v>G2700723</v>
          </cell>
          <cell r="J2064" t="str">
            <v>Сковорода 30 Easy Chef</v>
          </cell>
        </row>
        <row r="2065">
          <cell r="A2065">
            <v>2100120156</v>
          </cell>
          <cell r="B2065" t="str">
            <v>E2404055</v>
          </cell>
          <cell r="J2065" t="str">
            <v>Круглая сковорода Гриль 26 Easy Chef</v>
          </cell>
        </row>
        <row r="2066">
          <cell r="A2066">
            <v>9100048049</v>
          </cell>
          <cell r="B2066">
            <v>4216224</v>
          </cell>
          <cell r="J2066" t="str">
            <v>Сотейник 24 с кр. Day by Day</v>
          </cell>
        </row>
        <row r="2067">
          <cell r="A2067">
            <v>9100048057</v>
          </cell>
          <cell r="B2067">
            <v>4216928</v>
          </cell>
          <cell r="J2067" t="str">
            <v>Сковорода 28 с кр. Day by Day</v>
          </cell>
        </row>
        <row r="2068">
          <cell r="A2068">
            <v>9100048056</v>
          </cell>
          <cell r="B2068">
            <v>4216926</v>
          </cell>
          <cell r="J2068" t="str">
            <v>Сковорода 26 с кр. Day by Day</v>
          </cell>
        </row>
        <row r="2069">
          <cell r="A2069">
            <v>9100048048</v>
          </cell>
          <cell r="B2069">
            <v>4216628</v>
          </cell>
          <cell r="J2069" t="str">
            <v>Сковорода ВОК 28 Day by Day</v>
          </cell>
        </row>
        <row r="2070">
          <cell r="A2070">
            <v>9100048055</v>
          </cell>
          <cell r="B2070">
            <v>4216924</v>
          </cell>
          <cell r="J2070" t="str">
            <v>Сковорода 24 с кр. Day by Day</v>
          </cell>
        </row>
        <row r="2071">
          <cell r="A2071">
            <v>9100048046</v>
          </cell>
          <cell r="B2071">
            <v>4216128</v>
          </cell>
          <cell r="J2071" t="str">
            <v>Сковорода 28 Day by Day</v>
          </cell>
        </row>
        <row r="2072">
          <cell r="A2072">
            <v>9100048045</v>
          </cell>
          <cell r="B2072">
            <v>4216126</v>
          </cell>
          <cell r="J2072" t="str">
            <v>Сковорода 26 Day by Day</v>
          </cell>
        </row>
        <row r="2073">
          <cell r="A2073">
            <v>9100048044</v>
          </cell>
          <cell r="B2073">
            <v>4216124</v>
          </cell>
          <cell r="J2073" t="str">
            <v>Сковорода 24 Day by Day</v>
          </cell>
        </row>
        <row r="2074">
          <cell r="A2074">
            <v>9100048043</v>
          </cell>
          <cell r="B2074">
            <v>4216122</v>
          </cell>
          <cell r="J2074" t="str">
            <v>Сковорода 22 Day by Day</v>
          </cell>
        </row>
        <row r="2075">
          <cell r="A2075">
            <v>9100048047</v>
          </cell>
          <cell r="B2075">
            <v>4216522</v>
          </cell>
          <cell r="J2075" t="str">
            <v>Блинная сковорода 22 Day by Day</v>
          </cell>
        </row>
        <row r="2076">
          <cell r="A2076">
            <v>9100048042</v>
          </cell>
          <cell r="B2076">
            <v>4216120</v>
          </cell>
          <cell r="J2076" t="str">
            <v>Сковорода 20 Day by Day</v>
          </cell>
        </row>
        <row r="2077">
          <cell r="A2077">
            <v>9100054005</v>
          </cell>
          <cell r="B2077">
            <v>4217120</v>
          </cell>
          <cell r="J2077" t="str">
            <v>Сковорода 20 Day by Day</v>
          </cell>
        </row>
        <row r="2078">
          <cell r="A2078">
            <v>9100054006</v>
          </cell>
          <cell r="B2078">
            <v>4217122</v>
          </cell>
          <cell r="J2078" t="str">
            <v>Сковорода 22 Day by Day</v>
          </cell>
        </row>
        <row r="2079">
          <cell r="A2079">
            <v>9100054007</v>
          </cell>
          <cell r="B2079">
            <v>4217124</v>
          </cell>
          <cell r="J2079" t="str">
            <v>Сковорода 24 Day by Day</v>
          </cell>
        </row>
        <row r="2080">
          <cell r="A2080">
            <v>9100054008</v>
          </cell>
          <cell r="B2080">
            <v>4217126</v>
          </cell>
          <cell r="J2080" t="str">
            <v>Сковорода 26 Day by Day</v>
          </cell>
        </row>
        <row r="2081">
          <cell r="A2081">
            <v>9100054009</v>
          </cell>
          <cell r="B2081">
            <v>4217128</v>
          </cell>
          <cell r="J2081" t="str">
            <v>Сковорода 28 Day by Day</v>
          </cell>
        </row>
        <row r="2082">
          <cell r="A2082">
            <v>9100054010</v>
          </cell>
          <cell r="B2082">
            <v>4217522</v>
          </cell>
          <cell r="J2082" t="str">
            <v>Блинная сковорода 22 Day by Day</v>
          </cell>
        </row>
        <row r="2083">
          <cell r="A2083">
            <v>9100054011</v>
          </cell>
          <cell r="B2083">
            <v>4217628</v>
          </cell>
          <cell r="J2083" t="str">
            <v>Сковорода ВОК 28 Day by Day</v>
          </cell>
        </row>
        <row r="2084">
          <cell r="A2084">
            <v>2100119132</v>
          </cell>
          <cell r="B2084" t="str">
            <v>G2739072</v>
          </cell>
          <cell r="J2084" t="str">
            <v>Набор 2 сковороды 22+28 Daily Chef</v>
          </cell>
        </row>
        <row r="2085">
          <cell r="A2085">
            <v>2100118320</v>
          </cell>
          <cell r="B2085" t="str">
            <v>G2733272</v>
          </cell>
          <cell r="J2085" t="str">
            <v xml:space="preserve">Сотейник 24 с крышкой Daily Chef </v>
          </cell>
        </row>
        <row r="2086">
          <cell r="A2086">
            <v>2100118308</v>
          </cell>
          <cell r="B2086" t="str">
            <v>G2737772</v>
          </cell>
          <cell r="J2086" t="str">
            <v xml:space="preserve">Мультисковорода 26 Daily Chef </v>
          </cell>
        </row>
        <row r="2087">
          <cell r="A2087">
            <v>2100118309</v>
          </cell>
          <cell r="B2087" t="str">
            <v>G2731972</v>
          </cell>
          <cell r="J2087" t="str">
            <v xml:space="preserve">Сковорода ВОК 28 Daily Chef </v>
          </cell>
        </row>
        <row r="2088">
          <cell r="A2088">
            <v>2100118312</v>
          </cell>
          <cell r="B2088" t="str">
            <v>G2730672</v>
          </cell>
          <cell r="J2088" t="str">
            <v xml:space="preserve">Сковорода 28 Daily Chef </v>
          </cell>
        </row>
        <row r="2089">
          <cell r="A2089">
            <v>2100118311</v>
          </cell>
          <cell r="B2089" t="str">
            <v>G2730572</v>
          </cell>
          <cell r="J2089" t="str">
            <v>Сковорода 26 Daily Chef Red</v>
          </cell>
        </row>
        <row r="2090">
          <cell r="A2090">
            <v>2100118307</v>
          </cell>
          <cell r="B2090" t="str">
            <v>G2733872</v>
          </cell>
          <cell r="J2090" t="str">
            <v xml:space="preserve">Сковорода блинная 25 Daily Chef </v>
          </cell>
        </row>
        <row r="2091">
          <cell r="A2091">
            <v>2100118310</v>
          </cell>
          <cell r="B2091" t="str">
            <v>G2730472</v>
          </cell>
          <cell r="J2091" t="str">
            <v xml:space="preserve">Сковорода 24 Daily Chef </v>
          </cell>
        </row>
        <row r="2092">
          <cell r="A2092">
            <v>2100118313</v>
          </cell>
          <cell r="B2092" t="str">
            <v>G2730272</v>
          </cell>
          <cell r="J2092" t="str">
            <v xml:space="preserve">Сковорода 20 Daily Chef </v>
          </cell>
        </row>
        <row r="2093">
          <cell r="A2093">
            <v>2100118933</v>
          </cell>
          <cell r="B2093" t="str">
            <v>E2374074</v>
          </cell>
          <cell r="J2093" t="str">
            <v>Круглая сковорода Гриль 26 Daily Chef</v>
          </cell>
        </row>
        <row r="2094">
          <cell r="A2094">
            <v>9100046099</v>
          </cell>
          <cell r="B2094">
            <v>4211224</v>
          </cell>
          <cell r="J2094" t="str">
            <v>Сотейник, 24 см NATURAL COOK</v>
          </cell>
        </row>
        <row r="2095">
          <cell r="A2095">
            <v>9100046102</v>
          </cell>
          <cell r="B2095">
            <v>4211928</v>
          </cell>
          <cell r="J2095" t="str">
            <v>Сковорода 28 + GL NATURAL COOK</v>
          </cell>
        </row>
        <row r="2096">
          <cell r="A2096">
            <v>9100046101</v>
          </cell>
          <cell r="B2096">
            <v>4211926</v>
          </cell>
          <cell r="J2096" t="str">
            <v>Сковорода 26 + GL NATURAL COOK</v>
          </cell>
        </row>
        <row r="2097">
          <cell r="A2097">
            <v>9100046098</v>
          </cell>
          <cell r="B2097">
            <v>4211628</v>
          </cell>
          <cell r="J2097" t="str">
            <v>Сковорока Вок 28 NATURAL COOK</v>
          </cell>
        </row>
        <row r="2098">
          <cell r="A2098">
            <v>9100046100</v>
          </cell>
          <cell r="B2098">
            <v>4211924</v>
          </cell>
          <cell r="J2098" t="str">
            <v>Сковорода 24 + GL NATURAL COOK</v>
          </cell>
        </row>
        <row r="2099">
          <cell r="A2099">
            <v>9100046096</v>
          </cell>
          <cell r="B2099">
            <v>4211128</v>
          </cell>
          <cell r="J2099" t="str">
            <v>Сковорода 28 NATURAL COOK</v>
          </cell>
        </row>
        <row r="2100">
          <cell r="A2100">
            <v>9100046095</v>
          </cell>
          <cell r="B2100">
            <v>4211126</v>
          </cell>
          <cell r="J2100" t="str">
            <v>Сковорода 26 NATURAL COOK</v>
          </cell>
        </row>
        <row r="2101">
          <cell r="A2101">
            <v>9100046094</v>
          </cell>
          <cell r="B2101">
            <v>4211124</v>
          </cell>
          <cell r="J2101" t="str">
            <v>Сковорода 24 NATURAL COOK</v>
          </cell>
        </row>
        <row r="2102">
          <cell r="A2102">
            <v>9100046093</v>
          </cell>
          <cell r="B2102">
            <v>4211122</v>
          </cell>
          <cell r="J2102" t="str">
            <v>Сковорода 22 NATURAL COOK</v>
          </cell>
        </row>
        <row r="2103">
          <cell r="A2103">
            <v>9100046097</v>
          </cell>
          <cell r="B2103">
            <v>4211522</v>
          </cell>
          <cell r="J2103" t="str">
            <v>Сковорода для блинов 22 NATURAL COOK</v>
          </cell>
        </row>
        <row r="2104">
          <cell r="A2104">
            <v>9100052848</v>
          </cell>
          <cell r="B2104">
            <v>4234924</v>
          </cell>
          <cell r="J2104" t="str">
            <v>Сковорода 24 с кр. Natural Cook</v>
          </cell>
        </row>
        <row r="2105">
          <cell r="A2105">
            <v>9100052849</v>
          </cell>
          <cell r="B2105">
            <v>4234926</v>
          </cell>
          <cell r="J2105" t="str">
            <v>Сковорода 26 с кр. Natural Cook</v>
          </cell>
        </row>
        <row r="2106">
          <cell r="A2106">
            <v>9100052850</v>
          </cell>
          <cell r="B2106">
            <v>4234928</v>
          </cell>
          <cell r="J2106" t="str">
            <v>Сковорода 28 с кр. Natural Cook</v>
          </cell>
        </row>
        <row r="2107">
          <cell r="A2107">
            <v>9100053993</v>
          </cell>
          <cell r="B2107">
            <v>4213122</v>
          </cell>
          <cell r="J2107" t="str">
            <v>Сковорода 22 NATURAL COOK</v>
          </cell>
        </row>
        <row r="2108">
          <cell r="A2108">
            <v>9100053994</v>
          </cell>
          <cell r="B2108">
            <v>4213124</v>
          </cell>
          <cell r="J2108" t="str">
            <v>Сковорода 24 NATURAL COOK</v>
          </cell>
        </row>
        <row r="2109">
          <cell r="A2109">
            <v>9100053995</v>
          </cell>
          <cell r="B2109">
            <v>4213126</v>
          </cell>
          <cell r="J2109" t="str">
            <v>Сковорода 26 NATURAL COOK</v>
          </cell>
        </row>
        <row r="2110">
          <cell r="A2110">
            <v>9100053996</v>
          </cell>
          <cell r="B2110">
            <v>4213128</v>
          </cell>
          <cell r="J2110" t="str">
            <v>Сковорода 28 NATURAL COOK</v>
          </cell>
        </row>
        <row r="2111">
          <cell r="A2111">
            <v>9100053997</v>
          </cell>
          <cell r="B2111">
            <v>4213522</v>
          </cell>
          <cell r="J2111" t="str">
            <v>Сковорода для блинов 22 NATURAL COOK</v>
          </cell>
        </row>
        <row r="2112">
          <cell r="A2112">
            <v>9100053998</v>
          </cell>
          <cell r="B2112">
            <v>4213628</v>
          </cell>
          <cell r="J2112" t="str">
            <v>Сковорока Вок 28 NATURAL COOK</v>
          </cell>
        </row>
        <row r="2113">
          <cell r="A2113">
            <v>9100049056</v>
          </cell>
          <cell r="B2113">
            <v>4220628</v>
          </cell>
          <cell r="J2113" t="str">
            <v>Сковорода ВОК 28 Brut</v>
          </cell>
        </row>
        <row r="2114">
          <cell r="A2114">
            <v>9100049054</v>
          </cell>
          <cell r="B2114">
            <v>4220128</v>
          </cell>
          <cell r="J2114" t="str">
            <v>Сковорода 28 Brut</v>
          </cell>
        </row>
        <row r="2115">
          <cell r="A2115">
            <v>9100049053</v>
          </cell>
          <cell r="B2115">
            <v>4220126</v>
          </cell>
          <cell r="J2115" t="str">
            <v>Сковорода 26 Brut</v>
          </cell>
        </row>
        <row r="2116">
          <cell r="A2116">
            <v>9100049052</v>
          </cell>
          <cell r="B2116">
            <v>4220124</v>
          </cell>
          <cell r="J2116" t="str">
            <v>Сковорода 24 Brut</v>
          </cell>
        </row>
        <row r="2117">
          <cell r="A2117">
            <v>9100049055</v>
          </cell>
          <cell r="B2117">
            <v>4220525</v>
          </cell>
          <cell r="J2117" t="str">
            <v>Сковорода для блинов 25 Brut</v>
          </cell>
        </row>
        <row r="2118">
          <cell r="A2118">
            <v>9100054288</v>
          </cell>
          <cell r="B2118">
            <v>4234124</v>
          </cell>
          <cell r="J2118" t="str">
            <v>Сковорода 24 Brut</v>
          </cell>
        </row>
        <row r="2119">
          <cell r="A2119">
            <v>9100054289</v>
          </cell>
          <cell r="B2119">
            <v>4234126</v>
          </cell>
          <cell r="J2119" t="str">
            <v>Сковорода 26 Brut</v>
          </cell>
        </row>
        <row r="2120">
          <cell r="A2120">
            <v>9100054290</v>
          </cell>
          <cell r="B2120">
            <v>4234128</v>
          </cell>
          <cell r="J2120" t="str">
            <v>Сковорода 28 Brut</v>
          </cell>
        </row>
        <row r="2121">
          <cell r="A2121">
            <v>9100054291</v>
          </cell>
          <cell r="B2121">
            <v>4234525</v>
          </cell>
          <cell r="J2121" t="str">
            <v>Сковорода для блинов 25 Brut</v>
          </cell>
        </row>
        <row r="2122">
          <cell r="A2122">
            <v>9100054292</v>
          </cell>
          <cell r="B2122">
            <v>4236628</v>
          </cell>
          <cell r="J2122" t="str">
            <v>Сковорода ВОК 28 Brut</v>
          </cell>
        </row>
        <row r="2123">
          <cell r="A2123">
            <v>2100121705</v>
          </cell>
          <cell r="B2123" t="str">
            <v>E2434055</v>
          </cell>
          <cell r="J2123" t="str">
            <v>Круглая сковорода Гриль 26 Black Stone</v>
          </cell>
        </row>
        <row r="2124">
          <cell r="A2124">
            <v>2100122683</v>
          </cell>
          <cell r="B2124" t="str">
            <v>G2818202</v>
          </cell>
          <cell r="J2124" t="str">
            <v>Мультисковорода 26 с крышкой Black Stone</v>
          </cell>
        </row>
        <row r="2125">
          <cell r="A2125">
            <v>2100122366</v>
          </cell>
          <cell r="B2125" t="str">
            <v>G2814602</v>
          </cell>
          <cell r="J2125" t="str">
            <v>Кастрюля 24 с крышкой Black Stone</v>
          </cell>
        </row>
        <row r="2126">
          <cell r="A2126">
            <v>2100121614</v>
          </cell>
          <cell r="B2126" t="str">
            <v>G2811972</v>
          </cell>
          <cell r="J2126" t="str">
            <v>Сковорода ВОК 28 Black Stone</v>
          </cell>
        </row>
        <row r="2127">
          <cell r="A2127">
            <v>2100121617</v>
          </cell>
          <cell r="B2127" t="str">
            <v>G2810672</v>
          </cell>
          <cell r="J2127" t="str">
            <v>Сковорода 28 Black Stone</v>
          </cell>
        </row>
        <row r="2128">
          <cell r="A2128">
            <v>2100122552</v>
          </cell>
          <cell r="B2128" t="str">
            <v>G2817502</v>
          </cell>
          <cell r="J2128" t="str">
            <v>Мультисковорода 22 Black Stone</v>
          </cell>
        </row>
        <row r="2129">
          <cell r="A2129">
            <v>2100121615</v>
          </cell>
          <cell r="B2129" t="str">
            <v>G2810472</v>
          </cell>
          <cell r="J2129" t="str">
            <v>Сковорода 24 Black Stone</v>
          </cell>
        </row>
        <row r="2130">
          <cell r="A2130">
            <v>2100121616</v>
          </cell>
          <cell r="B2130" t="str">
            <v>G2810572</v>
          </cell>
          <cell r="J2130" t="str">
            <v>Сковорода 26 Black Stone</v>
          </cell>
        </row>
        <row r="2131">
          <cell r="A2131">
            <v>2100121613</v>
          </cell>
          <cell r="B2131" t="str">
            <v>G2813872</v>
          </cell>
          <cell r="J2131" t="str">
            <v>Сковорода для блинов 25 Black Stone</v>
          </cell>
        </row>
        <row r="2132">
          <cell r="A2132">
            <v>2100122554</v>
          </cell>
          <cell r="B2132" t="str">
            <v>G2810202</v>
          </cell>
          <cell r="J2132" t="str">
            <v>Сковорода 20 Black Stone</v>
          </cell>
        </row>
        <row r="2133">
          <cell r="A2133">
            <v>7211002101</v>
          </cell>
          <cell r="B2133" t="str">
            <v>RK812832</v>
          </cell>
          <cell r="J2133" t="str">
            <v>МУЛЬТИВАРКА: ОБЪЕМ 5 Л, СФЕРИЧЕСКАЯ ЧАША, СМОТРОВОЕ ОКНО, МОЩНОСТЬ 750 ВТ, 15 АВТОМАТИЧЕСКИХ ПРОГРАММ ПРИГОТОВЛЕНИЯ, ВКЛЮЧАЯ РЕЖИМ МУЛЬТИШЕФ - РЕГУЛИРОВКА ТЕМПЕРАТУРЫ И ВРЕМЕНИ ПРИГОТОВЛЕНИЯ, ВЫБОР ТИПА ПРОДУКТА (ОВОЩИ-МЯСО-РЫБА-ПТИЦА) ДЛЯ 5 РЕЖИМОВ; ТЕХНОЛОГИЯ FUZZY LOGIC С АВТОМАТИЧЕСКИМИ РЕГУЛИРОВКАМИ ВО ВРЕМЯ ПРИГОТОВЛЕНИЯ; ВОЗМОЖНОСТЬ ИЗМЕНЕНИЯ ТЕМПЕРАТУРЫ В ПРОЦЕССЕ ПРИГОТОВЛЕНИЯ; ПОДДЕРЖАНИЕ В РАЗОГРЕТОМ СОСТОЯНИИ И ОТСРОЧКА СТАРТА ДО 24 ЧАСОВ; АВТОМАТИЧЕСКАЯ ФУНКЦИЯ “ПОДОГРЕВ” И ВОЗМОЖНОСТЬ ЕГО ОТМЕНЫ ПЕРЕД НАЧАЛОМ ПРИГОТОВЛЕНИЯ, ФУНКЦИЯ ОТЛОЖЕННОГО СТАРТА ДО 24 ЧАСОВ, ЭЛЕКТРОННЫЙ LCD ДИСПЛЕЙ, ВОЗМОЖНОСТЬ ОТКЛЮЧЕНИЯ ЗВУКА; СЪЕМНАЯ 2,5 ММ 6 ТИ СЛОЙНАЯ СФЕРИЧЕСКАЯ ЧАША С ДВУМЯ СЛОЯМИ АНТИПРИГАРНОГО ПОКРЫТИЯ, КОРЗИНА ДЛЯ ПРИГОТОВЛЕНИЯ НА ПАРУ, МЕРНАЯ ЧАШКА И СПЕЦИАЛЬНЫЕ ЛОЖКИ ДЛЯ СУПА И РИСА, КНИГА РЕЦЕПТОВ В КОМПЛЕКТЕ. ПРЕМИАЛЬНЫЙ ЧЕРНЫЙ ЦВЕТ.</v>
          </cell>
        </row>
        <row r="2134">
          <cell r="A2134">
            <v>7211002311</v>
          </cell>
          <cell r="B2134" t="str">
            <v>RK816E32</v>
          </cell>
          <cell r="J2134" t="str">
            <v>МУЛЬТИВАРКА: ОБЪЕМ 5 Л, СФЕРИЧЕСКАЯ ЧАША, 3D НАГРЕВ, МОЩНОСТЬ 750 ВТ, 43 РЕЖИМА, ВКЛЮЧАЯ 2Х УРОВНЕВЫЙ РЕЖИМ МУЛЬТИШЕФ - РЕГУЛИРОВКА ТЕМПЕРАТУРЫ И ВРЕМЕНИ ПРИГОТОВЛЕНИЯ, ВЫБОР ТИПА ПРОДУКТА (ОВОЩИ-МЯСО-РЫБА-ПТИЦА) ДЛЯ 5 РЕЖИМОВ; ТЕХНОЛОГИЯ FUZZY LOGIC С АВТОМАТИЧЕСКИМИ РЕГУЛИРОВКАМИ ВО ВРЕМЯ ПРИГОТОВЛЕНИЯ; ВОЗМОЖНОСТЬ ИЗМЕНЕНИЯ ТЕМПЕРАТУРЫ И ВРЕМЕНИ В ПРОЦЕССЕ ПРИГОТОВЛЕНИЯ; АВТОМАТИЧЕСКАЯ ФУНКЦИЯ “ПОДОГРЕВ” И ВОЗМОЖНОСТЬ ЕГО ОТМЕНЫ ПЕРЕД НАЧАЛОМ РАБОТЫ ПРИБОРА, ПРОГРАММА "РАЗМОРОЗКИ", ФУНКЦИЯ ОТЛОЖЕННОГО СТАРТА ДО 24 ЧАСОВ, ЭЛЕКТРОННЫЙ LCD ДИСПЛЕЙ, ВОЗМОЖНОСТЬ ОТКЛЮЧЕНИЯ ЗВУКА; СЪЕМНАЯ 2ММ ТОЛЩИНОЙ 6ТИ СЛОЙНАЯ СФЕРИЧЕСКАЯ ЧАША С ДВУМЯ СЛОЯМИ АНТИПРИГАРНОГО ПОКРЫТИЯ, КОРЗИНА ДЛЯ ПРИГОТОВЛЕНИЯ НА ПАРУ, МЕРНАЯ ЧАШКА И СПЕЦИАЛЬНЫЕ ЛОЖКИ ДЛЯ СУПА И РИСА, КНИГА РЕЦЕПТОВ В КОМПЛЕКТЕ. МАТЕРИАЛ КОРПУСА - МЕТАЛЛ С ПОКРЫТИЕМ, ЦВЕТ СЕРЕБРИСТО-БЕЛЫЙ. МОЖНО МЫТЬ В ПОСУДОМОЕЧНОЙ МАШИНЕ.</v>
          </cell>
        </row>
        <row r="2135">
          <cell r="A2135">
            <v>7211002287</v>
          </cell>
          <cell r="B2135" t="str">
            <v>RK815832</v>
          </cell>
          <cell r="J2135" t="str">
            <v>МУЛЬТИВАРКА: ОБЪЕМ 5 Л, СФЕРИЧЕСКАЯ ЧАША, МОЩНОСТЬ 750 ВТ, 43 РЕЖИМА, ВКЛЮЧАЯ 2Х УРОВНЕВЫЙ РЕЖИМ МУЛЬТИШЕФ - РЕГУЛИРОВКА ТЕМПЕРАТУРЫ И ВРЕМЕНИ ПРИГОТОВЛЕНИЯ, ВЫБОР ТИПА ПРОДУКТА (ОВОЩИ-МЯСО-РЫБА-ПТИЦА) ДЛЯ 5 РЕЖИМОВ; ТЕХНОЛОГИЯ FUZZY LOGIC С АВТОМАТИЧЕСКИМИ РЕГУЛИРОВКАМИ ВО ВРЕМЯ ПРИГОТОВЛЕНИЯ; ВОЗМОЖНОСТЬ ИЗМЕНЕНИЯ ТЕМПЕРАТУРЫ И ВРЕМЕНИ В ПРОЦЕССЕ ПРИГОТОВЛЕНИЯ; ПОДДЕРЖАНИЕ В РАЗОГРЕТОМ СОСТОЯНИИ И ОТСРОЧКА СТАРТА ДО 24 ЧАСОВ; АВТОМАТИЧЕСКАЯ ФУНКЦИЯ “ПОДОГРЕВ” И ВОЗМОЖНОСТЬ ЕГО ОТМЕНЫ ПЕРЕД НАЧАЛОМ ПРИГОТОВЛЕНИЯ, ПРОГРАММА "РАЗМОРОЗКИ", ФУНКЦИЯ ОТЛОЖЕННОГО СТАРТА ДО 24 ЧАСОВ, ЭЛЕКТРОННЫЙ LCD ДИСПЛЕЙ, ВОЗМОЖНОСТЬ ОТКЛЮЧЕНИЯ ЗВУКА; СЪЕМНАЯ 2ММ 6ТИ СЛОЙНАЯ СФЕРИЧЕСКАЯ ЧАША С ДВУМЯ СЛОЯМИ АНТИПРИГАРНОГО ПОКРЫТИЯ, КОРЗИНА ДЛЯ ПРИГОТОВЛЕНИЯ НА ПАРУ, МЕРНАЯ ЧАШКА И СПЕЦИАЛЬНЫЕ ЛОЖКИ ДЛЯ СУПА И РИСА, КНИГА РЕЦЕПТОВ В КОМПЛЕКТЕ. МАТЕРИАЛ КОРПУСА - МЕТАЛЛ С ПОКРЫТИЕМ, ЦВЕТ ЧЕРНЫЙ.</v>
          </cell>
        </row>
        <row r="2136">
          <cell r="A2136">
            <v>7211001810</v>
          </cell>
          <cell r="B2136" t="str">
            <v>MK707832</v>
          </cell>
          <cell r="J2136" t="str">
            <v>МУЛЬТИВАРКА: ОБЪЕМ 5 Л, 12 АВТОМАТИЧЕСКИХ РЕЖИМОВ ПРИГОТОВЛЕНИЯ (РИС/КРУПЫ; ПЛОВ/РИЗОТТО; РАЗОГРЕВ; МОЛОЧНАЯ КАША; ЙОГУРТ; ТУШЕНИЕ; ПАРОВАРКА/СУП; ЗАПЕКАНИЕ/ДЕСЕРТ; ЖАРКА), ПОДДЕРЖАНИЕ В РАЗОГРЕТОМ СОСТОЯНИИ И ОТСРОЧКА СТАРТА ДО 24 ЧАСОВ;5ТИСЛОЙНАЯ ЧАША С АНТИПРИГАРНЫМ КЕРАМИЧЕСКИМ ПОКРЫТИЕМ; СИСТЕМА FUZZY LOGIC ДЛЯ ПРИГОТОВЛЕНИЯ РИСА И РИЗОТТО, КОРПУС ПЛАСТИК; LED ДИСПЛЕЙ; КНИГА РЕЦЕПТОВ В ПОДАРОК, МОЩНОСТЬ 1200 ВТ. ЦВЕТ: БЕЛЫЙ.</v>
          </cell>
        </row>
        <row r="2137">
          <cell r="A2137">
            <v>7211001796</v>
          </cell>
          <cell r="B2137" t="str">
            <v>MK706A32</v>
          </cell>
          <cell r="J2137" t="str">
            <v>MK706A32 МУЛЬТИВАРКА</v>
          </cell>
        </row>
        <row r="2138">
          <cell r="A2138">
            <v>3201112987</v>
          </cell>
          <cell r="B2138">
            <v>517405290</v>
          </cell>
          <cell r="J2138" t="str">
            <v>Набор кастрюль 4 пр Functional Black FUSIONTEC</v>
          </cell>
        </row>
        <row r="2139">
          <cell r="A2139">
            <v>3201111551</v>
          </cell>
          <cell r="B2139" t="str">
            <v>515615290</v>
          </cell>
          <cell r="J2139" t="str">
            <v>Набор кастрюль 3  пр. Compact Black FUSIONTEC</v>
          </cell>
        </row>
        <row r="2140">
          <cell r="A2140">
            <v>8900535503</v>
          </cell>
          <cell r="B2140" t="str">
            <v>760246380</v>
          </cell>
          <cell r="J2140" t="str">
            <v>Кастрюля низкая 24см с крышкой FUNCTION 4</v>
          </cell>
        </row>
        <row r="2141">
          <cell r="A2141">
            <v>8900535510</v>
          </cell>
          <cell r="B2141" t="str">
            <v>761166380</v>
          </cell>
          <cell r="J2141" t="str">
            <v>Кастрюля 16 см FUNCTION 4</v>
          </cell>
        </row>
        <row r="2142">
          <cell r="A2142">
            <v>8900547827</v>
          </cell>
          <cell r="B2142" t="str">
            <v>760556040</v>
          </cell>
          <cell r="J2142" t="str">
            <v>Набор кастрюль 5 пр. FUNCTION 4</v>
          </cell>
        </row>
        <row r="2143">
          <cell r="A2143">
            <v>8010000557</v>
          </cell>
          <cell r="B2143" t="str">
            <v>JU420D10</v>
          </cell>
          <cell r="J2143" t="str">
            <v>СОКОВЫЖИМАЛКА MOULINEX FRUTELIA+ 400 ВТ, ЦВЕТ МЕТАЛЛИЧЕСКИЙ</v>
          </cell>
        </row>
        <row r="2144">
          <cell r="A2144">
            <v>2100091939</v>
          </cell>
          <cell r="B2144" t="str">
            <v>K2090514</v>
          </cell>
          <cell r="J2144" t="str">
            <v>Точилка для ножей Fresh Kitchen</v>
          </cell>
        </row>
        <row r="2145">
          <cell r="A2145">
            <v>2100099032</v>
          </cell>
          <cell r="B2145" t="str">
            <v>K1220314</v>
          </cell>
          <cell r="J2145" t="str">
            <v xml:space="preserve">Шеф-нож FRESH KITCHEN </v>
          </cell>
        </row>
        <row r="2146">
          <cell r="A2146">
            <v>2100122010</v>
          </cell>
          <cell r="B2146" t="str">
            <v>K1220304</v>
          </cell>
          <cell r="J2146" t="str">
            <v xml:space="preserve">Шеф-нож FRESH KITCHEN </v>
          </cell>
        </row>
        <row r="2147">
          <cell r="A2147">
            <v>2100099034</v>
          </cell>
          <cell r="B2147" t="str">
            <v>K1220114</v>
          </cell>
          <cell r="J2147" t="str">
            <v xml:space="preserve">Нож-сантоку FRESH KITCHEN </v>
          </cell>
        </row>
        <row r="2148">
          <cell r="A2148">
            <v>2100122012</v>
          </cell>
          <cell r="B2148" t="str">
            <v>K1220104</v>
          </cell>
          <cell r="J2148" t="str">
            <v xml:space="preserve">Нож-сантоку FRESH KITCHEN </v>
          </cell>
        </row>
        <row r="2149">
          <cell r="A2149">
            <v>2100122011</v>
          </cell>
          <cell r="B2149" t="str">
            <v>K1220704</v>
          </cell>
          <cell r="J2149" t="str">
            <v xml:space="preserve">Универсальный нож FRESH KITCHEN </v>
          </cell>
        </row>
        <row r="2150">
          <cell r="A2150">
            <v>2100122017</v>
          </cell>
          <cell r="B2150" t="str">
            <v>K1224105</v>
          </cell>
          <cell r="J2150" t="str">
            <v>Ножницы Fresh Kitchen</v>
          </cell>
        </row>
        <row r="2151">
          <cell r="A2151">
            <v>2100099031</v>
          </cell>
          <cell r="B2151" t="str">
            <v>K1220614</v>
          </cell>
          <cell r="J2151" t="str">
            <v xml:space="preserve">Нож 9 см FRESH KITCHEN </v>
          </cell>
        </row>
        <row r="2152">
          <cell r="A2152">
            <v>2100122009</v>
          </cell>
          <cell r="B2152" t="str">
            <v>K1220604</v>
          </cell>
          <cell r="J2152" t="str">
            <v xml:space="preserve">Нож 9 см FRESH KITCHEN </v>
          </cell>
        </row>
        <row r="2153">
          <cell r="A2153">
            <v>2100122016</v>
          </cell>
          <cell r="B2153" t="str">
            <v>K122S205</v>
          </cell>
          <cell r="J2153" t="str">
            <v>Набор Fresh Kitchen (Шеф 15, Для овощей 9)</v>
          </cell>
        </row>
        <row r="2154">
          <cell r="A2154">
            <v>2100130351</v>
          </cell>
          <cell r="B2154" t="str">
            <v>K122S504</v>
          </cell>
          <cell r="J2154" t="str">
            <v>Набор ножей Fresh Kitchen 5 предметов с блоком</v>
          </cell>
        </row>
        <row r="2155">
          <cell r="A2155">
            <v>2100102172</v>
          </cell>
          <cell r="B2155" t="str">
            <v>K2082614</v>
          </cell>
          <cell r="J2155" t="str">
            <v>Орехоколка</v>
          </cell>
        </row>
        <row r="2156">
          <cell r="A2156">
            <v>1510001519</v>
          </cell>
          <cell r="B2156" t="str">
            <v>DJ753E32</v>
          </cell>
          <cell r="J2156" t="str">
            <v>DJ753E32 SHRD FRESH EXPRE PROD V2  3C</v>
          </cell>
        </row>
        <row r="2157">
          <cell r="A2157">
            <v>1510001655</v>
          </cell>
          <cell r="B2157" t="str">
            <v>DJ905832</v>
          </cell>
          <cell r="J2157" t="str">
            <v>ОВОЩЕРЕЗКА FRESH EXPRESS CUBE, 280В, 5 НАСАДОК: КРУПНАЯ И МЕЛКАЯ ТЕРКА, НАРЕЗКА,  НАСАДКА ДЛЯ НАРЕЗКИ КУБИКАМИ, НАСАДКА ДЛЯ НАРЕЗКИ СОЛОМКОЙ</v>
          </cell>
        </row>
        <row r="2158">
          <cell r="A2158">
            <v>1510003009</v>
          </cell>
          <cell r="B2158" t="str">
            <v>DK853JE0</v>
          </cell>
          <cell r="J2158" t="str">
            <v>DK853JE0 FRESH EXPRESS 3IN1 TERRACOTA</v>
          </cell>
        </row>
        <row r="2159">
          <cell r="A2159">
            <v>1510003001</v>
          </cell>
          <cell r="B2159" t="str">
            <v>DK853BE0</v>
          </cell>
          <cell r="J2159" t="str">
            <v>DK853BE0 FRESH EXPRESS 3C FAIR GREY</v>
          </cell>
        </row>
        <row r="2160">
          <cell r="A2160">
            <v>1510003008</v>
          </cell>
          <cell r="B2160" t="str">
            <v>DK8534E0</v>
          </cell>
          <cell r="J2160" t="str">
            <v>DK8534E0 FRESH EXPRESS 3C  EUCALYPTUS</v>
          </cell>
        </row>
        <row r="2161">
          <cell r="A2161">
            <v>1510003012</v>
          </cell>
          <cell r="B2161" t="str">
            <v>DK8546E0</v>
          </cell>
          <cell r="J2161" t="str">
            <v>DK8546E0 FRESH EXPRESS  4C LILA EU</v>
          </cell>
        </row>
        <row r="2162">
          <cell r="A2162">
            <v>1500859369</v>
          </cell>
          <cell r="B2162" t="str">
            <v>DJ755G32</v>
          </cell>
          <cell r="J2162" t="str">
            <v>FRESH EXPRESS + – КОМПАКТНЫЙ И МОЩНЫЙ ПРИБОР ДЛЯ НАРЕЗКИ/ТЕРКИ/ШИНКОВКИ.5 НАСАДОК В КОМПЛЕКТЕ (МЕЛКАЯ ТЕРКА, КРУПНАЯ ТЕРКА, ШИНКОВКА, ДРАНИКИ). МОЩНОСТЬ 150ВТ. МАТЕРИАЛ – КОРПУСА - ПЛАСТИК, МЕТАЛЛИЧЕСКАЯ ПЕРЕДНЯЯ ПАНЕЛЬ. НАСАДКИ ВЫПОЛНЕНЫ ИЗ СТАЛИ И ПЛАСТИКА. СИСТЕМА ЛЕГКОЙ ЗАМЕНЫ НАСАДОК. ПРЯМАЯ ПОДАЧА В ТАРЕЛКУ. КОМПАКТНОЕ ХРАНЕНИЕ НАСАДОК НА КОРПУСЕ. СДЕЛАНО ВО ФРАНЦИИ.</v>
          </cell>
        </row>
        <row r="2163">
          <cell r="A2163">
            <v>1830006544</v>
          </cell>
          <cell r="B2163" t="str">
            <v>FV9976E0</v>
          </cell>
          <cell r="J2163" t="str">
            <v>УТЮГ БЕСПРОВОДНОЙ FREEMOVE, 2600 ВТ, САМООЧИЩАЮЩАЯСЯ ПОДОШВА GLISS/GLIDE PROTECT AUTOCLEAN, ПАРОВОЙ УДАР 180 Г/МИН, РЕГУЛИРУЕМЫЙ ПАР 0-35Г/МИН, АВТООТКЛЮЧЕНИЕ, ДВОЙНАЯ ПРОТИВОКАПЕЛЬНАЯ СИСТЕМА, ЭРГОНОМИЧНАЯ СИСТЕМА ГОРИЗОНТАЛЬНОЙ ПАРКОВКИ, КРЕПЛЕНИЕ БАЗЫ К ГЛАДИЛЬНОЙ ДОСКЕ, ОПОВЕЩЕНИЕ О ГОТОВНОСТИ К РАБОТЕ, ЭЛЕКТРОННАЯ ПАНЕЛЬ УПРАВЛЕНИЯ, ВЕРТИКАЛЬНЫЙ ПАР, БОЛЬШОЕ ОТВЕРСТИЕ ДЛЯ ЗАЛИВА ВОДЫ, СПРЕЙ, РЕЗЕРВУАР ДЛЯ ВОДЫ 300 МЛ, КОМФОРТНАЯ РУЧКА, САМООЧИСТКА, СДЕЛАНО ВО ФРАНЦИИ</v>
          </cell>
        </row>
        <row r="2164">
          <cell r="A2164">
            <v>1830008260</v>
          </cell>
          <cell r="B2164" t="str">
            <v>TN6201F4</v>
          </cell>
          <cell r="J2164" t="str">
            <v>FOREVER SHARP ULTIMATE</v>
          </cell>
        </row>
        <row r="2165">
          <cell r="A2165">
            <v>1830008122</v>
          </cell>
          <cell r="B2165" t="str">
            <v>TN6200F4</v>
          </cell>
          <cell r="J2165" t="str">
            <v>FOREVER SHARP ULTIMATE</v>
          </cell>
        </row>
        <row r="2166">
          <cell r="A2166">
            <v>1830008025</v>
          </cell>
          <cell r="B2166" t="str">
            <v>TN6040F4</v>
          </cell>
          <cell r="J2166" t="str">
            <v>HAIR CLIPP.FOREVER SHARP</v>
          </cell>
        </row>
        <row r="2167">
          <cell r="A2167">
            <v>1830009150</v>
          </cell>
          <cell r="B2167" t="str">
            <v>TN6011F0</v>
          </cell>
          <cell r="J2167" t="str">
            <v xml:space="preserve"> 3-In-1 Trim-Edge and Shave, 120 Minutes Autonomy, LED Battery Indicator</v>
          </cell>
        </row>
        <row r="2168">
          <cell r="A2168">
            <v>1830009287</v>
          </cell>
          <cell r="B2168" t="str">
            <v>TN6044E0</v>
          </cell>
          <cell r="J2168" t="str">
            <v>многофункциональный прибор 3-в-1 для стрижки, окантовки и бритья бороды и волос на теле</v>
          </cell>
        </row>
        <row r="2169">
          <cell r="A2169">
            <v>1830007976</v>
          </cell>
          <cell r="B2169" t="str">
            <v>TN6000F5</v>
          </cell>
          <cell r="J2169" t="str">
            <v>Триммер Rowenta FOREVER SHARP</v>
          </cell>
        </row>
        <row r="2170">
          <cell r="A2170">
            <v>1830007347</v>
          </cell>
          <cell r="B2170" t="str">
            <v>TN6000F4</v>
          </cell>
          <cell r="J2170" t="str">
            <v>Триммер Rowenta FOREVER SHARP</v>
          </cell>
        </row>
        <row r="2171">
          <cell r="A2171">
            <v>1830007978</v>
          </cell>
          <cell r="B2171" t="str">
            <v>TN6010F5</v>
          </cell>
          <cell r="J2171" t="str">
            <v>Не требующие заточки стальные лезвия - Три насадки для бороды: 1-3-5мм. - Близкое соприкосновение с кожей до 0,2мм. - До 120мин автономной работы (до 26 сессий бритья) - Батарея NiMH - Полностью водонепроницаемый корпус - Быстрая зарядка 120мин. - Быстрая зарядка через USB - LED индикатор работы - Покрытие корпуса Softouch - Чехол в комплекте;</v>
          </cell>
        </row>
        <row r="2172">
          <cell r="A2172">
            <v>9100048314</v>
          </cell>
          <cell r="B2172">
            <v>4218022</v>
          </cell>
          <cell r="J2172" t="str">
            <v>Сковорода 22 FORCE в инд.кор.</v>
          </cell>
        </row>
        <row r="2173">
          <cell r="A2173">
            <v>9100048315</v>
          </cell>
          <cell r="B2173">
            <v>4218024</v>
          </cell>
          <cell r="J2173" t="str">
            <v>Сковорода 24 FORCE в инд.кор.</v>
          </cell>
        </row>
        <row r="2174">
          <cell r="A2174">
            <v>9100048316</v>
          </cell>
          <cell r="B2174">
            <v>4218026</v>
          </cell>
          <cell r="J2174" t="str">
            <v>Сковорода 26 FORCE в инд.кор.</v>
          </cell>
        </row>
        <row r="2175">
          <cell r="A2175">
            <v>9100048317</v>
          </cell>
          <cell r="B2175">
            <v>4218028</v>
          </cell>
          <cell r="J2175" t="str">
            <v>Сковорода 28 FORCE в инд.кор.</v>
          </cell>
        </row>
        <row r="2176">
          <cell r="A2176">
            <v>9100048320</v>
          </cell>
          <cell r="B2176">
            <v>4218922</v>
          </cell>
          <cell r="J2176" t="str">
            <v>Сковорода 22 с кр. FORCE в инд.кор.</v>
          </cell>
        </row>
        <row r="2177">
          <cell r="A2177">
            <v>9100048321</v>
          </cell>
          <cell r="B2177">
            <v>4218924</v>
          </cell>
          <cell r="J2177" t="str">
            <v>Сковорода 24 с кр. FORCE в инд.кор.</v>
          </cell>
        </row>
        <row r="2178">
          <cell r="A2178">
            <v>9100048322</v>
          </cell>
          <cell r="B2178">
            <v>4218926</v>
          </cell>
          <cell r="J2178" t="str">
            <v>Сковорода 26 с кр. FORCE в инд.кор.</v>
          </cell>
        </row>
        <row r="2179">
          <cell r="A2179">
            <v>9100048323</v>
          </cell>
          <cell r="B2179">
            <v>4218928</v>
          </cell>
          <cell r="J2179" t="str">
            <v>Сковорода 28 с кр. FORCE в инд.кор.</v>
          </cell>
        </row>
        <row r="2180">
          <cell r="A2180">
            <v>9100048319</v>
          </cell>
          <cell r="B2180">
            <v>4218628</v>
          </cell>
          <cell r="J2180" t="str">
            <v>Сковорода ВОК 28 FORCE в инд.кор.</v>
          </cell>
        </row>
        <row r="2181">
          <cell r="A2181">
            <v>9100048318</v>
          </cell>
          <cell r="B2181">
            <v>4218522</v>
          </cell>
          <cell r="J2181" t="str">
            <v>Сковорода 22бл FORCE в инд.кор.</v>
          </cell>
        </row>
        <row r="2182">
          <cell r="A2182">
            <v>3200000549</v>
          </cell>
          <cell r="B2182">
            <v>416950721</v>
          </cell>
          <cell r="J2182" t="str">
            <v>НАСАДКА ДЛЯ ПАСТЫ ДЛЯ КУХОННОЙ МАШИНЫ PROFI PLUS</v>
          </cell>
        </row>
        <row r="2183">
          <cell r="A2183">
            <v>3200000550</v>
          </cell>
          <cell r="B2183">
            <v>416910721</v>
          </cell>
          <cell r="J2183" t="str">
            <v>НАСАДКА ДЛЯ ПАСТЫ (ТАГЛИАТЕЛЛИ) ДЛЯ КУХОННОЙ МАШИНЫ PROFI PLUS</v>
          </cell>
        </row>
        <row r="2184">
          <cell r="A2184">
            <v>3200000551</v>
          </cell>
          <cell r="B2184">
            <v>416810721</v>
          </cell>
          <cell r="J2184" t="str">
            <v>НАСАДКА ДЛЯ ПАСТЫ (СПАГЕТТИ) ДЛЯ КУХОННОЙ МАШИНЫ PROFI PLUS</v>
          </cell>
        </row>
        <row r="2185">
          <cell r="A2185">
            <v>3200000554</v>
          </cell>
          <cell r="B2185">
            <v>416960771</v>
          </cell>
          <cell r="J2185" t="str">
            <v>НАСАДКА-ОВОЩЕРЕЗКА ДЛЯ КУХОННОЙ МАШИНЫ PROFI PLUS</v>
          </cell>
        </row>
        <row r="2186">
          <cell r="A2186">
            <v>3200000552</v>
          </cell>
          <cell r="B2186">
            <v>416920711</v>
          </cell>
          <cell r="J2186" t="str">
            <v>НАСАДКА-МЯСОРУБКА ДЛЯ КУХОННОЙ МАШИНЫ PROFI PLUS</v>
          </cell>
        </row>
        <row r="2187">
          <cell r="A2187">
            <v>3200000553</v>
          </cell>
          <cell r="B2187">
            <v>416940711</v>
          </cell>
          <cell r="J2187" t="str">
            <v>НАСАДКА ДЛЯ ПЕЧЕНЬЯ ДЛЯ КУХОННОЙ МАШИНЫ PROFI PLUS</v>
          </cell>
        </row>
        <row r="2188">
          <cell r="A2188">
            <v>1110031671</v>
          </cell>
          <cell r="B2188" t="str">
            <v>DW5310D1</v>
          </cell>
          <cell r="J2188" t="str">
            <v>УТЮГ FOCUS 3 , мощность 2700, постоянная подача пара 40 гр/мин, паровой удар 180 г.мин</v>
          </cell>
        </row>
        <row r="2189">
          <cell r="A2189">
            <v>1830031672</v>
          </cell>
          <cell r="B2189" t="str">
            <v>DW5320D1</v>
          </cell>
          <cell r="J2189" t="str">
            <v>Утюг FOCUS EXCEL. Мощность 2700 Вт. Постоянный пар до 45 г/мин. Паровой удар 190 г/мин. Защита от накипи. Eco режим. Подошва Microsteam 400 HD Laser. Возможность вертикального отпаривания.  Объем резервуара для воды 300 мл. Противокапельная система. Длина сетевого шнура 1.9 м. Широкое горлышко для наполнения.</v>
          </cell>
        </row>
        <row r="2190">
          <cell r="A2190">
            <v>1110031673</v>
          </cell>
          <cell r="B2190" t="str">
            <v>DW5325D1</v>
          </cell>
          <cell r="J2190" t="str">
            <v>УТЮГ FOCUS 3 , мощность 2600, постоянная подача пара 40 гр/мин, паровой удар 190 г.мин</v>
          </cell>
        </row>
        <row r="2191">
          <cell r="A2191">
            <v>1110031158</v>
          </cell>
          <cell r="B2191" t="str">
            <v>DW5220F1</v>
          </cell>
          <cell r="J2191" t="str">
            <v>УТЮГ С ПАРОМ FOCUS, 2700 ВТ, ПОДОШВА MICROSTEAM 400 HD, ЗАОСТРЕННЫЙ НОСИК HIGH PRECISION, ПАРОВОЙ УДАР 180 Г/МН, РЕГУЛИРУЕМЫЙ ПАР 0-45 Г/МИН, ВЕРТИКАЛЬНЫЙ ПАР, ФУНКЦИЯ САМООЧИСТКИ, ПРОТИВОКАПЕЛЬНАЯ СИСТЕМА, ЭКО-РЕЖИМ, ВСТРОЕННАЯ ЗАЩИТА ОТ НАКИПИ, КОМФОРТНАЯ РУЧКА, РЕЗЕРВУАР ДЛЯ ВОДЫ 330 МЛ</v>
          </cell>
        </row>
        <row r="2192">
          <cell r="A2192">
            <v>1110031344</v>
          </cell>
          <cell r="B2192" t="str">
            <v>DW5127F1</v>
          </cell>
          <cell r="J2192" t="str">
            <v>УТЮГ С ПАРОМ FOCUS, 2600 ВТ, ПОДОШВА MICROSTEAM 400 LASER, ЗАОСТРЕННЫЙ НОСИК HIGH PRECISION, ПАРОВОЙ УДАР ДО 190 Г/МН, РЕГУЛИРУЕМЫЙ ПАР 40 Г/МИН, ВЕРТИКАЛЬНЫЙ ПАР, ФУНКЦИЯ САМООЧИСТКИ, ПРОТИВОКАПЕЛЬНАЯ СИСТЕМА, ЭКО-РЕЖИМ, ВСТРОЕННАЯ ЗАЩИТА ОТ НАКИПИ, КОМФОРТНАЯ РУЧКА, РЕЗЕРВУАР ДЛЯ ВОДЫ 300 МЛ</v>
          </cell>
        </row>
        <row r="2193">
          <cell r="A2193">
            <v>1110030468</v>
          </cell>
          <cell r="B2193" t="str">
            <v>DW5135D1</v>
          </cell>
          <cell r="J2193" t="str">
            <v>УТЮГ FOCUS 3 , мощность 2400, постоянная подача пара 40 гр/мин, паровой удар 190 г.мин</v>
          </cell>
        </row>
        <row r="2194">
          <cell r="A2194">
            <v>1110031471</v>
          </cell>
          <cell r="B2194" t="str">
            <v>DW5138D1</v>
          </cell>
          <cell r="J2194" t="str">
            <v>УТЮГ FOCUS 3 DW5138D1</v>
          </cell>
        </row>
        <row r="2195">
          <cell r="A2195">
            <v>1830031673</v>
          </cell>
          <cell r="B2195" t="str">
            <v>DW5325D1</v>
          </cell>
          <cell r="J2195" t="str">
            <v>Утюг Tefal Focus мощностью 2700 ,постоянная подача пара 45гр, паровой удар 180</v>
          </cell>
        </row>
        <row r="2196">
          <cell r="A2196">
            <v>1830031671</v>
          </cell>
          <cell r="B2196" t="str">
            <v>DW5310D1</v>
          </cell>
          <cell r="J2196" t="str">
            <v>Утюг Tefal Focus мощностью 2700 ,постоянная подача пара 45гр, паровой удар 180</v>
          </cell>
        </row>
        <row r="2197">
          <cell r="A2197">
            <v>1830007977</v>
          </cell>
          <cell r="B2197" t="str">
            <v>EP2851F1</v>
          </cell>
          <cell r="J2197" t="str">
            <v>Эпилятор + бикини триммер в комплекте EP2851: эпилятор из новой линейки Flower, насадка-ограничитель, моющаяся съемная насадка, чехол в комплекте. Триммер в комплекте, две насадки-направляющие</v>
          </cell>
        </row>
        <row r="2198">
          <cell r="A2198">
            <v>1830005944</v>
          </cell>
          <cell r="B2198" t="str">
            <v>EP2851F0</v>
          </cell>
          <cell r="J2198" t="str">
            <v>Эпилятор + бикини триммер в комплекте EP2851: эпилятор из новой линейки Flower, насадка-ограничитель, моющаяся съемная насадка, чехол в комплекте. Триммер в комплекте, две насадки-направляющие</v>
          </cell>
        </row>
        <row r="2199">
          <cell r="A2199">
            <v>1830005402</v>
          </cell>
          <cell r="B2199" t="str">
            <v>EP2850F0</v>
          </cell>
          <cell r="J2199" t="str">
            <v>Flower range: эпилятор Flower -  технология "Микро-контакт", 24 высокоточных пинцета запатентованной формы, 2 скорости, съемная моющаяся головка, массажные шарики для обезболивания, 1 насадка для эпиляции деликатных зон, насадка для бритья.</v>
          </cell>
        </row>
        <row r="2200">
          <cell r="A2200">
            <v>1830005403</v>
          </cell>
          <cell r="B2200" t="str">
            <v>EP2832F0</v>
          </cell>
          <cell r="J2200" t="str">
            <v>Flower range: эпилятор Flower -  технология "Микро-контакт", 24 высокоточных пинцета запатентованной формы, 2 скорости, съемная моющаяся головка, массажные шарики для обезболивания, 1 насадка для эпиляции деликатных зон, одна насадка для разных углов наклона прибора.</v>
          </cell>
        </row>
        <row r="2201">
          <cell r="A2201">
            <v>1830005404</v>
          </cell>
          <cell r="B2201" t="str">
            <v>EP2810F0</v>
          </cell>
          <cell r="J2201" t="str">
            <v>Flower range: эпилятор Flower -  технология "Микро-контакт", 24 высокоточных пинцета запатентованной формы, 2 скорости, съемная моющаяся головка, массажные шарики для обезболивания, 1 насадка для эпиляции деликатных зон,</v>
          </cell>
        </row>
        <row r="2202">
          <cell r="A2202">
            <v>3100515668</v>
          </cell>
          <cell r="B2202">
            <v>515668</v>
          </cell>
          <cell r="J2202" t="str">
            <v xml:space="preserve">Графин стеклянный с термоэлементом FLOW Classic 1 л </v>
          </cell>
        </row>
        <row r="2203">
          <cell r="A2203">
            <v>3100514233</v>
          </cell>
          <cell r="B2203">
            <v>514233</v>
          </cell>
          <cell r="J2203" t="str">
            <v xml:space="preserve">Графин стеклянный с термоэлементом FLOW SLIM 1 л </v>
          </cell>
        </row>
        <row r="2204">
          <cell r="A2204">
            <v>3100505219</v>
          </cell>
          <cell r="B2204">
            <v>505219</v>
          </cell>
          <cell r="J2204" t="str">
            <v xml:space="preserve">Графин стеклянный с термоэлементом FLOW 1 л </v>
          </cell>
        </row>
        <row r="2205">
          <cell r="A2205">
            <v>3100514234</v>
          </cell>
          <cell r="B2205">
            <v>514234</v>
          </cell>
          <cell r="J2205" t="str">
            <v>Ведро для охлаждения вина FLOW SLIM</v>
          </cell>
        </row>
        <row r="2206">
          <cell r="A2206">
            <v>3100515476</v>
          </cell>
          <cell r="B2206">
            <v>515476</v>
          </cell>
          <cell r="J2206" t="str">
            <v>Графин стеклянный с термоэлементом FLOW SLIM FRIENDS 1 л красный</v>
          </cell>
        </row>
        <row r="2207">
          <cell r="A2207">
            <v>2100136850</v>
          </cell>
          <cell r="B2207" t="str">
            <v>E2776674</v>
          </cell>
          <cell r="J2207" t="str">
            <v>Глубокая сковорода 28 см Flavour Force</v>
          </cell>
        </row>
        <row r="2208">
          <cell r="A2208">
            <v>2100136851</v>
          </cell>
          <cell r="B2208" t="str">
            <v>E2770274</v>
          </cell>
          <cell r="J2208" t="str">
            <v>Сковорода 20 см Flavour Force</v>
          </cell>
        </row>
        <row r="2209">
          <cell r="A2209">
            <v>2100136855</v>
          </cell>
          <cell r="B2209" t="str">
            <v>E2770474</v>
          </cell>
          <cell r="J2209" t="str">
            <v>Сковорода 24 см Flavour Force</v>
          </cell>
        </row>
        <row r="2210">
          <cell r="A2210">
            <v>2100136853</v>
          </cell>
          <cell r="B2210" t="str">
            <v>E2770574</v>
          </cell>
          <cell r="J2210" t="str">
            <v>Сковорода 26 см Flavour Force</v>
          </cell>
        </row>
        <row r="2211">
          <cell r="A2211">
            <v>2100136883</v>
          </cell>
          <cell r="B2211" t="str">
            <v>E2770674</v>
          </cell>
          <cell r="J2211" t="str">
            <v>Сковорода 28 см Flavour Force</v>
          </cell>
        </row>
        <row r="2212">
          <cell r="A2212">
            <v>2100137897</v>
          </cell>
          <cell r="B2212" t="str">
            <v>E2774674</v>
          </cell>
          <cell r="J2212" t="str">
            <v>Кастрюля 24 см Flavour Force</v>
          </cell>
        </row>
        <row r="2213">
          <cell r="A2213">
            <v>2100137895</v>
          </cell>
          <cell r="B2213" t="str">
            <v>E2772274</v>
          </cell>
          <cell r="J2213" t="str">
            <v>Ковш 16 см Flavour Force</v>
          </cell>
        </row>
        <row r="2214">
          <cell r="A2214">
            <v>2100137896</v>
          </cell>
          <cell r="B2214" t="str">
            <v>E2774474</v>
          </cell>
          <cell r="J2214" t="str">
            <v>Кастрюля 20 см Flavour Force</v>
          </cell>
        </row>
        <row r="2215">
          <cell r="A2215">
            <v>3201112517</v>
          </cell>
          <cell r="B2215">
            <v>1261916340</v>
          </cell>
          <cell r="J2215" t="str">
            <v>Набор столовых приборов  30 пр. FLAME PLUS</v>
          </cell>
        </row>
        <row r="2216">
          <cell r="A2216">
            <v>3201112529</v>
          </cell>
          <cell r="B2216" t="str">
            <v>1261006341</v>
          </cell>
          <cell r="J2216" t="str">
            <v>Набор столовых приборов 66 пр. FLAME PLUS</v>
          </cell>
        </row>
        <row r="2217">
          <cell r="A2217">
            <v>1110020257</v>
          </cell>
          <cell r="B2217" t="str">
            <v>DA1510F1</v>
          </cell>
          <cell r="J2217" t="str">
            <v>ДОРОЖНЫЙ УТЮГ FIRST CLASS, МОЩНОСТЬ 1000 ВТ, ПОДОШВА MICROSTEAM200, НЕРЖАВЕЮЩАЯ СТАЛЬ, ЗАОСТРЕННЫЙ НОСИК HIGH PRESICION, ПАРОВОЙ УДАР 45 Г/МИН, ВЕРТИКАЛЬНЫЙ ПАР, РЕЗЕРВУАР ДЛЯ ВОДЫ 70 МЛ, НАПРЯЖЕНИЕ 240 ИЛИ 120 В, СКЛАДНАЯ РУЧКА, ЧЕХОЛ ДЛЯ ХРАНЕНИЯ И ПЕРЕВОЗКИ, ШНУР 2 М</v>
          </cell>
        </row>
        <row r="2218">
          <cell r="A2218">
            <v>1110031221</v>
          </cell>
          <cell r="B2218" t="str">
            <v>DA1511F1</v>
          </cell>
          <cell r="J2218" t="str">
            <v>ДОРОЖНЫЙ УТЮГ FIRST CLASS, МОЩНОСТЬ 1000 ВТ, ПОДОШВА MICROSTEAM200, НЕРЖАВЕЮЩАЯ СТАЛЬ, ЗАОСТРЕННЫЙ НОСИК HIGH PRESICION, ПАРОВОЙ УДАР 45 Г/МИН, ВЕРТИКАЛЬНЫЙ ПАР, РЕЗЕРВУАР ДЛЯ ВОДЫ 70 МЛ, НАПРЯЖЕНИЕ 240 ИЛИ 120 В, СКЛАДНАЯ РУЧКА, ЧЕХОЛ ДЛЯ ХРАНЕНИЯ И ПЕРЕВОЗКИ, ШНУР 2 М</v>
          </cell>
        </row>
        <row r="2219">
          <cell r="A2219">
            <v>7211003546</v>
          </cell>
          <cell r="B2219" t="str">
            <v>FR516032</v>
          </cell>
          <cell r="J2219" t="str">
            <v>Фритюрница, 4л, с фильтром для масла</v>
          </cell>
        </row>
        <row r="2220">
          <cell r="A2220">
            <v>7211004108</v>
          </cell>
          <cell r="B2220" t="str">
            <v xml:space="preserve">FG385A30 </v>
          </cell>
          <cell r="J2220" t="str">
            <v>FCM  SOLEIL PMS/FILTER  IVORY EE</v>
          </cell>
        </row>
        <row r="2221">
          <cell r="A2221">
            <v>7211003515</v>
          </cell>
          <cell r="B2221" t="str">
            <v>FG381816</v>
          </cell>
          <cell r="J2221" t="str">
            <v>Капельная кофеварка, объем 1,25 л, многоразовый фильтр, цвет черный</v>
          </cell>
        </row>
        <row r="2222">
          <cell r="A2222">
            <v>7211002271</v>
          </cell>
          <cell r="B2222" t="str">
            <v>OW210130</v>
          </cell>
          <cell r="J2222" t="str">
            <v xml:space="preserve">МОЩНОСТЬ 650ВТ, 3 ВАРИАНТА ВЕСА ХЛЕБА  500-750-1000, 12 ПРОГРАММ = 7 ПРОГРАММ ДЛЯ ВЫПЕЧКИ ХЛЕБА + 4 ДОПОЛНИТЕЛЬНЫЕ ПРОГРАММЫ (ТЕСТО, ДЖЕМ, ПИРОГ, КАША), РУЧНОЙ РЕЖИМ УСТАНОВКИ ВРЕМЕНИ , ОТЛОЖЕННЫЙ СТАРТ,  АВТОМАТИЧЕСКИЙ ПОДОГРЕВ 1 ЧАС, 3 ВАРИАНТА КОРОЧКИ, КОМПАКТНОСТЬ, АНТИПРИИГАРНОЕ ПОКРЫТИЕ ЧАШИ, БУКЛЕТ С 11 РЕЦЕПТАМИ, МЕРНЫЙ СТАКАН И ЛОЖКА В КОМПЛЕКТЕ </v>
          </cell>
        </row>
        <row r="2223">
          <cell r="A2223">
            <v>1830008004</v>
          </cell>
          <cell r="B2223" t="str">
            <v>EP1038F1</v>
          </cell>
          <cell r="J2223" t="str">
            <v>Lipstick red</v>
          </cell>
        </row>
        <row r="2224">
          <cell r="A2224">
            <v>1830006638</v>
          </cell>
          <cell r="B2224" t="str">
            <v>EP1038F0</v>
          </cell>
          <cell r="J2224" t="str">
            <v>Lipstick red</v>
          </cell>
        </row>
        <row r="2225">
          <cell r="A2225">
            <v>1830004488</v>
          </cell>
          <cell r="B2225" t="str">
            <v>EP1030F5</v>
          </cell>
          <cell r="J2225" t="str">
            <v>Эпилятор Fashion:  Ультра-компактный размер, 2 скорости, широкая эпилирующая головка, 24 экстра-широких двойных пинцета, массажные шарики для обезболивания</v>
          </cell>
        </row>
        <row r="2226">
          <cell r="A2226">
            <v>7211001357</v>
          </cell>
          <cell r="B2226" t="str">
            <v>LM233A32</v>
          </cell>
          <cell r="J2226" t="str">
            <v>БЛЕНДЕР FACICLIC MAXI, СТЕКЛЯННАЯ ЧАША 2 Л, МОЩНОСТЬ 600 ВТ, 5 СКОРОСТИ И РЕЖИМ PULSE, СЪЕМНЫЙ НОЖ С 6-Ю ЛЕЗВИЯМИ TRIPL’AX TECHNOLOGY, КОЛКА ЛЬДА, СИСТЕМА ЛЕГКОЙ ОЧИСТКИ БЛЕНДЕРА</v>
          </cell>
        </row>
        <row r="2227">
          <cell r="A2227">
            <v>1830008104</v>
          </cell>
          <cell r="B2227" t="str">
            <v>LV6020F0</v>
          </cell>
          <cell r="J2227" t="str">
            <v>Youth Facial massager</v>
          </cell>
        </row>
        <row r="2228">
          <cell r="A2228">
            <v>1600007276</v>
          </cell>
          <cell r="B2228" t="str">
            <v>XS600010</v>
          </cell>
          <cell r="J2228" t="str">
            <v>Капучинатор с емкостью для молока из нержавеющей стали</v>
          </cell>
        </row>
        <row r="2229">
          <cell r="A2229">
            <v>1600007129</v>
          </cell>
          <cell r="B2229" t="str">
            <v>XS804000</v>
          </cell>
          <cell r="J2229" t="str">
            <v>Емкость для молока для EA873, EA875, EA877</v>
          </cell>
        </row>
        <row r="2230">
          <cell r="A2230">
            <v>1600007209</v>
          </cell>
          <cell r="B2230" t="str">
            <v>XS805000</v>
          </cell>
          <cell r="J2230" t="str">
            <v>2 трубки для молока для EA875, EA873</v>
          </cell>
        </row>
        <row r="2231">
          <cell r="A2231">
            <v>1600007210</v>
          </cell>
          <cell r="B2231" t="str">
            <v xml:space="preserve">XS806000 </v>
          </cell>
          <cell r="J2231" t="str">
            <v xml:space="preserve">2 трубки для молока для EA890, EA891, EA894 </v>
          </cell>
        </row>
        <row r="2232">
          <cell r="A2232">
            <v>2100060368</v>
          </cell>
          <cell r="B2232" t="str">
            <v>SW611812</v>
          </cell>
          <cell r="J2232" t="str">
            <v>SW611812 СЕНДВИЧНИЦА MOULINEX</v>
          </cell>
        </row>
        <row r="2233">
          <cell r="A2233">
            <v>1830007602</v>
          </cell>
          <cell r="B2233" t="str">
            <v>LV2020F0</v>
          </cell>
          <cell r="J2233" t="str">
            <v>Anti-Ageing Eye Massager</v>
          </cell>
        </row>
        <row r="2234">
          <cell r="A2234">
            <v>1830007335</v>
          </cell>
          <cell r="B2234" t="str">
            <v>LV2010F0</v>
          </cell>
          <cell r="J2234" t="str">
            <v>Anti-Fatigue Eye Massager</v>
          </cell>
        </row>
        <row r="2235">
          <cell r="A2235">
            <v>9100052153</v>
          </cell>
          <cell r="B2235">
            <v>4230124</v>
          </cell>
          <cell r="J2235" t="str">
            <v>Сковорода 24 EXTREME</v>
          </cell>
        </row>
        <row r="2236">
          <cell r="A2236">
            <v>9100052152</v>
          </cell>
          <cell r="B2236">
            <v>4230122</v>
          </cell>
          <cell r="J2236" t="str">
            <v>Сковорода 22 EXTREME</v>
          </cell>
        </row>
        <row r="2237">
          <cell r="A2237">
            <v>9100052154</v>
          </cell>
          <cell r="B2237">
            <v>4230126</v>
          </cell>
          <cell r="J2237" t="str">
            <v>Сковорода 26 EXTREME</v>
          </cell>
        </row>
        <row r="2238">
          <cell r="A2238">
            <v>9100052155</v>
          </cell>
          <cell r="B2238">
            <v>4230128</v>
          </cell>
          <cell r="J2238" t="str">
            <v>Сковорода 28 EXTREME</v>
          </cell>
        </row>
        <row r="2239">
          <cell r="A2239">
            <v>9100052156</v>
          </cell>
          <cell r="B2239">
            <v>4230522</v>
          </cell>
          <cell r="J2239" t="str">
            <v>Сковорода 22бл EXTREME</v>
          </cell>
        </row>
        <row r="2240">
          <cell r="A2240">
            <v>9100052157</v>
          </cell>
          <cell r="B2240">
            <v>4230628</v>
          </cell>
          <cell r="J2240" t="str">
            <v>Сковорода ВОК 28 EXTREME</v>
          </cell>
        </row>
        <row r="2241">
          <cell r="A2241">
            <v>1510002377</v>
          </cell>
          <cell r="B2241" t="str">
            <v>JU660D30</v>
          </cell>
          <cell r="J2241" t="str">
            <v>Соковыжималка центробежная. Мощность 800 Вт. Широкое загрузочное отверстие 85мм, встроенный резервуар для мякоти 2,2 л, 2 скорости, противоскользящие ножки, система остановки капель. Съемные детали можно мыть в посудомоечной машине.</v>
          </cell>
        </row>
        <row r="2242">
          <cell r="A2242">
            <v>1830006538</v>
          </cell>
          <cell r="B2242" t="str">
            <v>SF4112F0</v>
          </cell>
          <cell r="J2242" t="str">
            <v>EXTRA LISS STRAIGHTENER</v>
          </cell>
        </row>
        <row r="2243">
          <cell r="A2243">
            <v>1830008522</v>
          </cell>
          <cell r="B2243" t="str">
            <v>SF411LF0</v>
          </cell>
          <cell r="J2243" t="str">
            <v>Покрытие пластин с кератином и турмалином. Широкие пластины 45мм, петля для подвешивания, термоизолированный наконечник, температурные режимы от 130 до 230*С, быстрый нагрев 30сек.</v>
          </cell>
        </row>
        <row r="2244">
          <cell r="A2244">
            <v>7211419367</v>
          </cell>
          <cell r="B2244" t="str">
            <v>EY150830</v>
          </cell>
          <cell r="J2244" t="str">
            <v xml:space="preserve">насадка для аэрогриля </v>
          </cell>
        </row>
        <row r="2245">
          <cell r="A2245">
            <v>1830008620</v>
          </cell>
          <cell r="B2245" t="str">
            <v>SV8150E0</v>
          </cell>
          <cell r="J2245" t="str">
            <v>Безбойлерный парогенератор Express Vision от Tefal. Давление помпы до 6,8 Бар, постоянный пар до 130 г/мин, паровой удар до 490 г/мин. Подошва утюга Durilium Airglide Autoclean. Мощность 2800 Вт. Технология No Setting для ухода за любыми тканями. Съемный коллектор для сбора накипи. Комфортное использование благодаря светодиодной подсветке и бесшумной технологии.  Время нагрева 2 минуты. Съемный резервуар для воды объемом 1,8 л.</v>
          </cell>
        </row>
        <row r="2246">
          <cell r="A2246">
            <v>1830008641</v>
          </cell>
          <cell r="B2246" t="str">
            <v>SV8151E0</v>
          </cell>
          <cell r="J2246" t="str">
            <v>Безбойлерный парогенератор Express Vision от Tefal. Давление помпы до 7 Бар, постоянный пар до 130 г/мин, паровой удар до 500 г/мин. Подошва утюга Durilium Airglide Autoclean. Мощность 2800 Вт. Технология No Setting для ухода за любыми тканями. Съемный коллектор для сбора накипи. Комфортное использование благодаря светодиодной подсветке и бесшумной технологии.  Время нагрева 2 минуты. Съемный резервуар для воды объемом 1,8 л.</v>
          </cell>
        </row>
        <row r="2247">
          <cell r="A2247">
            <v>1830008642</v>
          </cell>
          <cell r="B2247" t="str">
            <v>SV8152E0</v>
          </cell>
          <cell r="J2247" t="str">
            <v>Безбойлерный парогенератор Express Vision от Tefal. Давление помпы до 6,9 Бар, постоянный пар до 130 г/мин, паровой удар до 480 г/мин. Подошва утюга Durilium Airglide Autoclean. Мощность 2800 Вт. Технология No Setting для ухода за любыми тканями. Съемный коллектор для сбора накипи. Комфортное использование благодаря светодиодной подсветке и бесшумной технологии.  Время нагрева 2 минуты. Съемный резервуар для воды объемом 1,8 л.</v>
          </cell>
        </row>
        <row r="2248">
          <cell r="A2248">
            <v>1830008352</v>
          </cell>
          <cell r="B2248" t="str">
            <v>SF1920F0</v>
          </cell>
          <cell r="J2248" t="str">
            <v>EXPRESS STYLE XL SF1920. Функции:Абсолютно прямые, кудрявые и волнистые; Размер пластин:[45x90 mm]; Выбор температурных режимов:[180 - 210 °C]; Автоотключение:Да; Время нагрева:[45 s]; Плавающие пластины:нет; Ионный генератор:нет; Покрытие пластин:Покрытие пластин с кератином и турмалином</v>
          </cell>
        </row>
        <row r="2249">
          <cell r="A2249">
            <v>1830009052</v>
          </cell>
          <cell r="B2249" t="str">
            <v>SF1831F0</v>
          </cell>
          <cell r="J2249" t="str">
            <v>Выпрямитель для волос Rowenta Express Style Stellar Collection впечатляет своими возможностями и
функционалом. Он быстро обеспечивает идеальный результат, независимо от длины волос благодаря
керамическому турмалиновому покрытию, двум температурным режимам 180 и 210 °C и на 20% более
длинным пластинам*, которые обеспечивают максимальный результат в одно движение.</v>
          </cell>
        </row>
        <row r="2250">
          <cell r="A2250">
            <v>1830008710</v>
          </cell>
          <cell r="B2250" t="str">
            <v>CF635LF0</v>
          </cell>
          <cell r="J2250" t="str">
            <v xml:space="preserve">Фен-щетка Rowenta x KARL LAGERFELD Express Style 5-в-1 </v>
          </cell>
        </row>
        <row r="2251">
          <cell r="A2251">
            <v>1830008765</v>
          </cell>
          <cell r="B2251" t="str">
            <v>CF634LF0</v>
          </cell>
          <cell r="J2251" t="str">
            <v>Фен-щетка Rowenta Express Style, щетка 20 мм, щетка 50 мм, щетка с убирающимися зубчиками</v>
          </cell>
        </row>
        <row r="2252">
          <cell r="A2252">
            <v>1830008711</v>
          </cell>
          <cell r="B2252" t="str">
            <v>CF6330F0</v>
          </cell>
          <cell r="J2252" t="str">
            <v>Фен-щетка Rowenta Express Style, щетка 20 мм, щетка 40 мм, пластиковая щетка, концентрато</v>
          </cell>
        </row>
        <row r="2253">
          <cell r="A2253">
            <v>1830008712</v>
          </cell>
          <cell r="B2253" t="str">
            <v>CF6320F0</v>
          </cell>
          <cell r="J2253" t="str">
            <v>Фен-щетка Rowenta Express Style, щетка 20 мм, щетка 40 мм, концентратор</v>
          </cell>
        </row>
        <row r="2254">
          <cell r="A2254">
            <v>1830008837</v>
          </cell>
          <cell r="B2254" t="str">
            <v>CV184LF0</v>
          </cell>
          <cell r="J2254" t="str">
            <v>фен складной, 1 концентратор, мотор  DC</v>
          </cell>
        </row>
        <row r="2255">
          <cell r="A2255">
            <v>1830008812</v>
          </cell>
          <cell r="B2255" t="str">
            <v>CV1830F0</v>
          </cell>
          <cell r="J2255" t="str">
            <v>фен складной, 1 концентратор, мотор  DC</v>
          </cell>
        </row>
        <row r="2256">
          <cell r="A2256">
            <v>1830008761</v>
          </cell>
          <cell r="B2256" t="str">
            <v>CV1811F0</v>
          </cell>
          <cell r="J2256" t="str">
            <v>Фен 1600 вт, мотор DC, ионизация</v>
          </cell>
        </row>
        <row r="2257">
          <cell r="A2257">
            <v>1830008760</v>
          </cell>
          <cell r="B2257" t="str">
            <v>CV1810F0</v>
          </cell>
          <cell r="J2257" t="str">
            <v>Фен 1600 вт, мотор DC, ионизация</v>
          </cell>
        </row>
        <row r="2258">
          <cell r="A2258">
            <v>1830008759</v>
          </cell>
          <cell r="B2258" t="str">
            <v>CV1804F0</v>
          </cell>
          <cell r="J2258" t="str">
            <v>Фен 1600 вт, мотор DC</v>
          </cell>
        </row>
        <row r="2259">
          <cell r="A2259">
            <v>1830008758</v>
          </cell>
          <cell r="B2259" t="str">
            <v>CV1803F0</v>
          </cell>
          <cell r="J2259" t="str">
            <v>Фен 1600 вт, мотор DC</v>
          </cell>
        </row>
        <row r="2260">
          <cell r="A2260">
            <v>1830008763</v>
          </cell>
          <cell r="B2260" t="str">
            <v>CV1801F0</v>
          </cell>
          <cell r="J2260" t="str">
            <v>Фен 1600 вт, мотор DC</v>
          </cell>
        </row>
        <row r="2261">
          <cell r="A2261">
            <v>1830008811</v>
          </cell>
          <cell r="B2261" t="str">
            <v>CV1831F0</v>
          </cell>
          <cell r="J2261" t="str">
            <v>фен складной, 1 концентратор, мотор  DC</v>
          </cell>
        </row>
        <row r="2262">
          <cell r="A2262">
            <v>1830008184</v>
          </cell>
          <cell r="B2262" t="str">
            <v>SF1810F0</v>
          </cell>
          <cell r="J2262" t="str">
            <v>EXPRESS STYLE SF1810</v>
          </cell>
        </row>
        <row r="2263">
          <cell r="A2263">
            <v>1110031646</v>
          </cell>
          <cell r="B2263" t="str">
            <v xml:space="preserve">DW4345D1 </v>
          </cell>
          <cell r="J2263" t="str">
            <v>Мощность 2500 W; Режим постоянной подачи пара 40 г/мин  ;Паровой удар 150 г/мин  ;Паровой удар 150 г/мин  ;Вертикальное отпаривание Да; Спрей Да; Регулировка подачи пара и температуры Ручная настройкf</v>
          </cell>
        </row>
        <row r="2264">
          <cell r="A2264">
            <v>1110031648</v>
          </cell>
          <cell r="B2264" t="str">
            <v>DW4308D1</v>
          </cell>
          <cell r="J2264" t="str">
            <v>SLOB</v>
          </cell>
        </row>
        <row r="2265">
          <cell r="A2265">
            <v>1830008806</v>
          </cell>
          <cell r="B2265" t="str">
            <v>DW4301D1</v>
          </cell>
          <cell r="J2265" t="str">
            <v xml:space="preserve">парогенератор Rowenta Eco Steam Pro Steam Generator Iron мощность 2500 , подача пара 40 , паровой удар 140 </v>
          </cell>
        </row>
        <row r="2266">
          <cell r="A2266">
            <v>1110031570</v>
          </cell>
          <cell r="B2266" t="str">
            <v>DX1635D1</v>
          </cell>
          <cell r="J2266" t="str">
            <v xml:space="preserve">Утюг Express Steam мощность 2400 , подача пара 40 , паровой удар 120 </v>
          </cell>
        </row>
        <row r="2267">
          <cell r="A2267">
            <v>1830008220</v>
          </cell>
          <cell r="B2267" t="str">
            <v>FV2835E0</v>
          </cell>
          <cell r="J2267" t="str">
            <v>УТЮГ EXPRESS STEAM FV2835E0</v>
          </cell>
        </row>
        <row r="2268">
          <cell r="A2268">
            <v>1830008192</v>
          </cell>
          <cell r="B2268" t="str">
            <v>FV2836E0</v>
          </cell>
          <cell r="J2268" t="str">
            <v>УТЮГ EXPRESS STEAM FV2836E0</v>
          </cell>
        </row>
        <row r="2269">
          <cell r="A2269">
            <v>1830008193</v>
          </cell>
          <cell r="B2269" t="str">
            <v>FV2837E0</v>
          </cell>
          <cell r="J2269" t="str">
            <v>УТЮГ EXPRESS STEAM FV2837E0</v>
          </cell>
        </row>
        <row r="2270">
          <cell r="A2270">
            <v>1830008191</v>
          </cell>
          <cell r="B2270" t="str">
            <v>FV2838E0</v>
          </cell>
          <cell r="J2270" t="str">
            <v>УТЮГ EXPRESS STEAM FV2838E0</v>
          </cell>
        </row>
        <row r="2271">
          <cell r="A2271">
            <v>1830008194</v>
          </cell>
          <cell r="B2271" t="str">
            <v>FV2839E0</v>
          </cell>
          <cell r="J2271" t="str">
            <v>УТЮГ EXPRESS STEAM FV2839E0</v>
          </cell>
        </row>
        <row r="2272">
          <cell r="A2272">
            <v>1830008475</v>
          </cell>
          <cell r="B2272" t="str">
            <v>FV2847E0</v>
          </cell>
          <cell r="J2272" t="str">
            <v>Утюг EXPRESS STEAM Tefal создан для быстрого и комфортного глажения и показывает долгую и надежную службу. Мощность - 2400Вт, постоянный пар - 35г/мин, паровой удар - 160 г/мин (без функции автоматического отключения).</v>
          </cell>
        </row>
        <row r="2273">
          <cell r="A2273">
            <v>1830008195</v>
          </cell>
          <cell r="B2273" t="str">
            <v>FV2865E0</v>
          </cell>
          <cell r="J2273" t="str">
            <v>УТЮГ EXPRESS STEAM FV2865E0</v>
          </cell>
        </row>
        <row r="2274">
          <cell r="A2274">
            <v>1830008198</v>
          </cell>
          <cell r="B2274" t="str">
            <v>FV2866E0</v>
          </cell>
          <cell r="J2274" t="str">
            <v>УТЮГ EXPRESS STEAM FV2866E0</v>
          </cell>
        </row>
        <row r="2275">
          <cell r="A2275">
            <v>1830008199</v>
          </cell>
          <cell r="B2275" t="str">
            <v>FV2867E0</v>
          </cell>
          <cell r="J2275" t="str">
            <v>УТЮГ EXPRESS STEAM FV2867E0</v>
          </cell>
        </row>
        <row r="2276">
          <cell r="A2276">
            <v>1830008200</v>
          </cell>
          <cell r="B2276" t="str">
            <v>FV2868E0</v>
          </cell>
          <cell r="J2276" t="str">
            <v>УТЮГ EXPRESS STEAM FV2868E0</v>
          </cell>
        </row>
        <row r="2277">
          <cell r="A2277">
            <v>1830007763</v>
          </cell>
          <cell r="B2277" t="str">
            <v>SV9201E0</v>
          </cell>
          <cell r="J2277" t="str">
            <v>ПАРОГЕНЕРАТОР PRO EXPRESS PROTECT, БЕЗ РЕГУЛИРОВКИ ТЕМПЕРАТУРЫ, ДОЛИВ ВОДЫ В ЛЮБОЙ МОМЕНТ, РЕЗЕРВУАР 1,8Л. ДАВЛЕНИЕ 7,5 БАР, ПОСТОЯННЫЙ ПАР 130 Г/МИН, ПАРОВОЙ УДАР 530 Г/МИН, ПОДОШВА DURILIUM AIRGLIDE AUTOCLEAN АВТООТКЛЮЧЕНИЕ, КОЛЛЕКТОР ДЛЯ СБОРА НАКИПИ, СИСТЕМА ЗАЩЕЛКИВАНИЯ УТЮГА, СИСТЕМА EASYCORD - ШНУР НЕ СМИНАЕТ ТКАНЬ, СПЕЦИАЛЬНЫЙ ОТСЕК ДЛЯ ХРАНЕНИЯ ШНУРА И ШЛАНГА, СДЕЛАНО ВО ФРАНЦИИ</v>
          </cell>
        </row>
        <row r="2278">
          <cell r="A2278">
            <v>1830007760</v>
          </cell>
          <cell r="B2278" t="str">
            <v>SV9202E0</v>
          </cell>
          <cell r="J2278" t="str">
            <v>ПАРОГЕНЕРАТОР PRO EXPRESS PROTECT, БЕЗ РЕГУЛИРОВКИ ТЕМПЕРАТУРЫ, ДОЛИВ ВОДЫ В ЛЮБОЙ МОМЕНТ, РЕЗЕРВУАР 1,8Л. ДАВЛЕНИЕ 7,5 БАР, ПОСТОЯННЫЙ ПАР 130 Г/МИН, ПАРОВОЙ УДАР 520 Г/МИН, ПОДОШВА DURILIUM AIRGLIDE AUTOCLEAN АВТООТКЛЮЧЕНИЕ, КОЛЛЕКТОР ДЛЯ СБОРА НАКИПИ, СИСТЕМА ЗАЩЕЛКИВАНИЯ УТЮГА, СИСТЕМА EASYCORD - ШНУР НЕ СМИНАЕТ ТКАНЬ, СПЕЦИАЛЬНЫЙ ОТСЕК ДЛЯ ХРАНЕНИЯ ШНУРА И ШЛАНГА, СДЕЛАНО ВО ФРАНЦИИ</v>
          </cell>
        </row>
        <row r="2279">
          <cell r="A2279">
            <v>1830008188</v>
          </cell>
          <cell r="B2279" t="str">
            <v>SV9203E0</v>
          </cell>
          <cell r="J2279" t="str">
            <v>ПАРОГЕНЕРАТОР EXPRESS PROTECT SV9203E0</v>
          </cell>
        </row>
        <row r="2280">
          <cell r="A2280">
            <v>1830008618</v>
          </cell>
          <cell r="B2280" t="str">
            <v>SV8110E0</v>
          </cell>
          <cell r="J2280" t="str">
            <v xml:space="preserve">Безбойлерный парогенератор Express Power от Tefal.  Давление помпы до 6,3 Бар, постоянный пар до 120 г/мин, паровой удар до 420 г/мин. Подошва утюга Durtilium Airglide Autoclean. Мощность 2800 Вт. Технология No Setting для ухода за любыми тканями. Съемный коллектор для сбора накипи. Время нагрева 2 мин.Кофмортное использование благодаря технологии бесшумной работе и съемному резервуару для воды объемом 1,8 л. </v>
          </cell>
        </row>
        <row r="2281">
          <cell r="A2281">
            <v>1830008621</v>
          </cell>
          <cell r="B2281" t="str">
            <v>SV8111E0</v>
          </cell>
          <cell r="J2281" t="str">
            <v xml:space="preserve">Безбойлерный парогенератор Express Power от Tefal.  Давление помпы до 6,2 Бар, постоянный пар до 120 г/мин, паровой удар до 430 г/мин. Подошва утюга Durtilium Airglide Autoclean. Мощность 2800 Вт. Технология No Setting для ухода за любыми тканями. Съемный коллектор для сбора накипи. Время нагрева 2 мин.Кофмортное использование благодаря технологии бесшумной работе и съемному резервуару для воды объемом 1,8 л. </v>
          </cell>
        </row>
        <row r="2282">
          <cell r="A2282">
            <v>1830008619</v>
          </cell>
          <cell r="B2282" t="str">
            <v>SV8130E0</v>
          </cell>
          <cell r="J2282" t="str">
            <v xml:space="preserve">Безбойлерный парогенератор Express Power от Tefal.  Давление помпы до 6,5 Бар, постоянный пар до 125 г/мин, паровой удар до 450 г/мин. Подошва утюга Durtilium Airglide Autoclean. Мощность 2800 Вт. Технология No Setting для ухода за любыми тканями. Съемный коллектор для сбора накипи. Время нагрева 2 мин.Кофмортное использование благодаря технологии бесшумной работе и съемному резервуару для воды объемом 1,8 л. </v>
          </cell>
        </row>
        <row r="2283">
          <cell r="A2283">
            <v>1830009009</v>
          </cell>
          <cell r="B2283" t="str">
            <v>SV4110E0</v>
          </cell>
          <cell r="J2283" t="str">
            <v xml:space="preserve">Безбойлерный парогенератор EXPRESS OPTIMAL. Постоянный пар 110 г/мин. Паровой удар 190 г/мин.Вертикальное отпаривание, автоотключение. Подошва CERAMIC EXPRESS GLIDE. Мощность 2200 Вт. Объем резервуарадля воды 1.2 л. Давление 5 бар </v>
          </cell>
        </row>
        <row r="2284">
          <cell r="A2284">
            <v>1830009011</v>
          </cell>
          <cell r="B2284" t="str">
            <v>SV4111E0</v>
          </cell>
          <cell r="J2284" t="str">
            <v>Безбойлерный парогенератор EXPRESS OPTIMAL. Постоянный пар 110 г/мин. Паровой удар 200 г/мин.Вертикальное отпаривание, автоотключение. Подошва CERAMIC EXPRESS GLIDE. Мощность 2200 Вт. Объем резервуарадля воды 1.2 л. Давление 5.3 бар</v>
          </cell>
        </row>
        <row r="2285">
          <cell r="A2285">
            <v>1830007906</v>
          </cell>
          <cell r="B2285" t="str">
            <v>SV6110E0</v>
          </cell>
          <cell r="J2285" t="str">
            <v>ПАРОГЕНЕРАТОР EXPRESS ESSENTIAL SV6110E0</v>
          </cell>
        </row>
        <row r="2286">
          <cell r="A2286">
            <v>1830007903</v>
          </cell>
          <cell r="B2286" t="str">
            <v>SV6115E0</v>
          </cell>
          <cell r="J2286" t="str">
            <v>ПАРОГЕНЕРАТОР EXPRESS ESSENTIAL SV6115E0</v>
          </cell>
        </row>
        <row r="2287">
          <cell r="A2287">
            <v>1830007908</v>
          </cell>
          <cell r="B2287" t="str">
            <v>SV6116E0</v>
          </cell>
          <cell r="J2287" t="str">
            <v>ПАРОГЕНЕРАТОР EXPRESS ESSENTIAL SV6116E0</v>
          </cell>
        </row>
        <row r="2288">
          <cell r="A2288">
            <v>1830007904</v>
          </cell>
          <cell r="B2288" t="str">
            <v>SV6120E0</v>
          </cell>
          <cell r="J2288" t="str">
            <v>ПАРОГЕНЕРАТОР TEFAL EXPRESS ESSENTIAL, ДАВЛЕНИЕ НАСОСА 5,5 БАР, ПОСТОЯННЫЙ ПАР ДО 120 Г/МИН, ПАРОВОЙ УДАР 320 Г/МИН, ПАР ПО ЗАПРОСУ, ТЕРМОСТАТ, ТЕХНОЛОГИЯ CALC CLEAR, CПЕЦИАЛЬНЫЙ ОТСЕК ДЛЯ УДОБНОГО ХРАНЕНИЯ ШЛАНГА, СИСТЕМА ЗАЩЕЛКИВАНИЯ УТЮГА, КЕРАМИЧЕСКАЯ ПОДОШВА, ФИКСИРОВАННЫЙ РЕЗЕРВУАР ДЛЯ ВОДЫ 1,4 Л,  ПРОИЗВОДСТВО КИТАЙ.</v>
          </cell>
        </row>
        <row r="2289">
          <cell r="A2289">
            <v>1830007905</v>
          </cell>
          <cell r="B2289" t="str">
            <v>SV6130E0</v>
          </cell>
          <cell r="J2289" t="str">
            <v>ПАРОГЕНЕРАТОР TEFAL EXPRESS EASY, ДАВЛЕНИЕ НАСОСА 5,7 БАР, ПОСТОЯННЫЙ ПАР ДО 120 Г/МИН, ПАРОВОЙ УДАР 360 Г/МИН, ПАР ПО ЗАПРОСУ, ТЕРМОСТАТ, ТЕХНОЛОГИЯ CALC CLEAR, СИСТЕМА ЗАЩЕЛКИВАНИЯ УТЮГА, CПЕЦИАЛЬНЫЙ ОТСЕК ДЛЯ УДОБНОГО ХРАНЕНИЯ ШЛАНГА, КЕРАМИЧЕСКАЯ ПОДОШВА, СЪЕМНЫЙ РЕЗЕРВУАР ДЛЯ ВОДЫ 1,7 Л,  ПРОИЗВОДСТВО КИТАЙ.</v>
          </cell>
        </row>
        <row r="2290">
          <cell r="A2290">
            <v>1830007907</v>
          </cell>
          <cell r="B2290" t="str">
            <v>SV6131E0</v>
          </cell>
          <cell r="J2290" t="str">
            <v>ПАРОГЕНЕРАТОР TEFAL EXPRESS EASY, ДАВЛЕНИЕ НАСОСА 5,8 БАР, ПОСТОЯННЫЙ ПАР ДО 120 Г/МИН, ПАРОВОЙ УДАР 350 Г/МИН, ПАР ПО ЗАПРОСУ, ТЕРМОСТАТ, ТЕХНОЛОГИЯ CALC CLEAR, СИСТЕМА ЗАЩЕЛКИВАНИЯ УТЮГА, CПЕЦИАЛЬНЫЙ ОТСЕК ДЛЯ УДОБНОГО ХРАНЕНИЯ ШЛАНГА, КЕРАМИЧЕСКАЯ ПОДОШВА, СЪЕМНЫЙ РЕЗЕРВУАР ДЛЯ ВОДЫ 1,7 Л,  ПРОИЗВОДСТВО КИТАЙ.</v>
          </cell>
        </row>
        <row r="2291">
          <cell r="A2291">
            <v>1830007909</v>
          </cell>
          <cell r="B2291" t="str">
            <v>SV6140E0</v>
          </cell>
          <cell r="J2291" t="str">
            <v>ПАРОГЕНЕРАТОР TEFAL EXPRESS EASY, ДАВЛЕНИЕ НАСОСА 6 БАР, ПОСТОЯННЫЙ ПАР ДО 120 Г/МИН, ПАРОВОЙ УДАР 380 Г/МИН, ПАР ПО ЗАПРОСУ, ТЕРМОСТАТ, ТЕХНОЛОГИЯ CALC CLEAR, СИСТЕМА ЗАЩЕЛКИВАНИЯ УТЮГА, CПЕЦИАЛЬНЫЙ ОТСЕК ДЛЯ УДОБНОГО ХРАНЕНИЯ ШЛАНГА, КЕРАМИЧЕСКАЯ ПОДОШВА, СЪЕМНЫЙ РЕЗЕРВУАР ДЛЯ ВОДЫ 1,7 Л,  ПРОИЗВОДСТВО КИТАЙ.</v>
          </cell>
        </row>
        <row r="2292">
          <cell r="A2292">
            <v>7211002342</v>
          </cell>
          <cell r="B2292" t="str">
            <v>KI240D30</v>
          </cell>
          <cell r="J2292" t="str">
            <v xml:space="preserve">Чайник Tefal EXPRESS Electronic kettle, объем 1,7 литра, мощность 2400 Вт, ЖК дисплей с функцией определения температуры воды, 7 настроек температуры нагреваниия воды, функция удержания тепла, функция кипячения одной кнопкой, скрытый нагревательный элемент, съемный фильтр против накипи, вращение на подставке на 360 градусов, 2 больших индикатора уровня воды, удобное открытие крышки, индикация включения, корпус: нержавеющая сталь. </v>
          </cell>
        </row>
        <row r="2293">
          <cell r="A2293">
            <v>1830007309</v>
          </cell>
          <cell r="B2293" t="str">
            <v>SV7112E0</v>
          </cell>
          <cell r="J2293" t="str">
            <v>ПАРОГЕНЕРАТОР EXPRESS COMPACT SV7112E0</v>
          </cell>
        </row>
        <row r="2294">
          <cell r="A2294">
            <v>1830007502</v>
          </cell>
          <cell r="B2294" t="str">
            <v>SV7130E0</v>
          </cell>
          <cell r="J2294" t="str">
            <v>ПАРОГЕНЕРАТОР EXPRESS COMPACT SV7130E0</v>
          </cell>
        </row>
        <row r="2295">
          <cell r="A2295">
            <v>1830007548</v>
          </cell>
          <cell r="B2295" t="str">
            <v>SV8001E1</v>
          </cell>
          <cell r="J2295" t="str">
            <v>Безбойлерный парогенератор Express Airglide.Давление пара: 5,9 бар. Материал подошвы: Durilium Airglide. Паровой удар: 380 г/мин. Подача пара: 120 г/мин. Фиксатор утюга
Резервуар для воды: 1,8 л. Произведено во Франции • Возможность ремонта в течение 10 лет</v>
          </cell>
        </row>
        <row r="2296">
          <cell r="A2296">
            <v>1830008670</v>
          </cell>
          <cell r="B2296" t="str">
            <v>SV8002E0</v>
          </cell>
          <cell r="J2296" t="str">
            <v>Безбойлерный парогенератор Express Airglide.Давление пара: 6.3 бар. Материал подошвы: Durilium Airglide. Паровой удар: 410 г/мин. Подача пара: 120 г/мин. Фиксатор утюга
Резервуар для воды: 1,8 л. Произведено во Франции • Возможность ремонта в течение 10 л</v>
          </cell>
        </row>
        <row r="2297">
          <cell r="A2297">
            <v>1830007057</v>
          </cell>
          <cell r="B2297" t="str">
            <v>SV8010E0</v>
          </cell>
          <cell r="J2297" t="str">
            <v>ПАРОГЕНЕРАТОР EXPRESS ANTI-CALC, РУЧНАЯ НАСТРОЙКА ТЕМПЕРАТУРЫ, ДАВЛЕНИЕ В НАСОСЕ 6 БАР, ПОНИЖЕННЫЙ УРОВЕНЬ ШУМА, ПОСТОЯННЫЙ ПАР 120 Г/МИН, ПАРОВОЙ УДАР 400 Г/МИН, УЛЬТРАТОНКАЯ САМООЧИЩАЮЩАЯСЯ ПОДОШВА AIRGLIDE AUTOCLEAN, ВРЕМЯ НАГРЕВА ВОДЫ 2 МИНУТЫ, АВТООТКЛЮЧЕНИЕ, КОЛЛЕКТОР ДЛЯ СБОРА НАКИПИ, СИСТЕМА ЗАЩЕЛКИВАНИЯ УТЮГА, СЪЕМНЫЙ РЕЗЕРВУАР ДЛЯ ВОДЫ 1,8 Л, ЭКО-ФУНКЦИЯ, СИСТЕМА EASYCORD, ДОЛИВ ВОДЫ В РЕЗЕРВУАР В ЛЮБОЙ МОМЕНТ, СПЕЦИАЛЬНЫЕ ОТСЕКИ ДЛЯ ШЛАНГА ПОДАЧИ ПАРА И ДЛЯ ШНУРА, СДЕЛАНО ВО ФРАНЦИИ</v>
          </cell>
        </row>
        <row r="2298">
          <cell r="A2298">
            <v>1830007060</v>
          </cell>
          <cell r="B2298" t="str">
            <v>SV8011E0</v>
          </cell>
          <cell r="J2298" t="str">
            <v>ПАРОГЕНЕРАТОР EXPRESS ANTI-CALC, РУЧНАЯ НАСТРОЙКА ТЕМПЕРАТУРЫ, ДАВЛЕНИЕ В НАСОСЕ 6.1 БАР, ПОНИЖЕННЫЙ УРОВЕНЬ ШУМА, ПОСТОЯННЫЙ ПАР 120 Г/МИН, ПАРОВОЙ УДАР 400 Г/МИН, УЛЬТРАТОНКАЯ САМООЧИЩАЮЩАЯСЯ ПОДОШВА AIRGLIDE AUTOCLEAN, ВРЕМЯ НАГРЕВА ВОДЫ 2 МИНУТЫ, АВТООТКЛЮЧЕНИЕ, КОЛЛЕКТОР ДЛЯ СБОРА НАКИПИ, СИСТЕМА ЗАЩЕЛКИВАНИЯ УТЮГА, СЪЕМНЫЙ РЕЗЕРВУАР ДЛЯ ВОДЫ 1,8 Л, ЭКО-ФУНКЦИЯ, СИСТЕМА EASYCORD, ДОЛИВ ВОДЫ В РЕЗЕРВУАР В ЛЮБОЙ МОМЕНТ, СПЕЦИАЛЬНЫЕ ОТСЕКИ ДЛЯ ШЛАНГА ПОДАЧИ ПАРА И ДЛЯ ШНУРА, СДЕЛАНО ВО ФРАНЦИИ</v>
          </cell>
        </row>
        <row r="2299">
          <cell r="A2299">
            <v>1830007062</v>
          </cell>
          <cell r="B2299" t="str">
            <v>SV8012E0</v>
          </cell>
          <cell r="J2299" t="str">
            <v>ПАРОГЕНЕРАТОР EXPRESS ANTI-CALC SV8012E0</v>
          </cell>
        </row>
        <row r="2300">
          <cell r="A2300">
            <v>1830007550</v>
          </cell>
          <cell r="B2300" t="str">
            <v>SV8020E1</v>
          </cell>
          <cell r="J2300" t="str">
            <v>Безбойлерный парогенератор Express Airglide.Давление пара: 7 бар. Материал подошвы: Durilium Airglide. Паровой удар: 450г/мин. Подача пара: 125 г/мин. Фиксатор утюга
Резервуар для воды: 1,8 л. Произведено во Франции • Возможность ремонта в течение 10 лет</v>
          </cell>
        </row>
        <row r="2301">
          <cell r="A2301">
            <v>1830008669</v>
          </cell>
          <cell r="B2301" t="str">
            <v>SV8026E0</v>
          </cell>
          <cell r="J2301" t="str">
            <v>Безбойлерный парогенератор Express Airglide.Давление пара: 6.2 бар. Материал подошвы: Durilium Airglide. Паровой удар: 380г/мин. Подача пара: 120 г/мин. Фиксатор утюга
Резервуар для воды: 1,8 л. Произведено во Франции • Возможность ремонта в течение 10 лет</v>
          </cell>
        </row>
        <row r="2302">
          <cell r="A2302">
            <v>1830006943</v>
          </cell>
          <cell r="B2302" t="str">
            <v>SV8053E0</v>
          </cell>
          <cell r="J2302" t="str">
            <v>ПАРОГЕНЕРАТОР EXPRESS ANTI-CALC, 1 НАСТРОЙКА ТЕМПЕРАТУРЫ ДЛЯ РАЗНЫХ ТИПОВ ТКАНЕЙ, ДАВЛЕНИЕ В НАСОСЕ 6.5 БАР, ПОНИЖЕННЫЙ УРОВЕНЬ ШУМА, ПОСТОЯННЫЙ ПАР 120 Г/МИН, ПАРОВОЙ УДАР 420 Г/МИН, УЛЬТРАТОНКАЯ САМООЧИЩАЮЩАЯСЯ ПОДОШВА AIRGLIDE AUTOCLEAN, ВРЕМЯ НАГРЕВА ВОДЫ 2 МИНУТЫ, АВТООТКЛЮЧЕНИЕ, КОЛЛЕКТОР ДЛЯ СБОРА НАКИПИ, СИСТЕМА ЗАЩЕЛКИВАНИЯ УТЮГА, СЪЕМНЫЙ РЕЗЕРВУАР ДЛЯ ВОДЫ 1,8 Л, ЭКО-ФУНКЦИЯ, СИСТЕМА EASYCORD, ДОЛИВ ВОДЫ В РЕЗЕРВУАР В ЛЮБОЙ МОМЕНТ, СПЕЦИАЛЬНЫЕ ОТСЕКИ ДЛЯ ШЛАНГА ПОДАЧИ ПАРА И ДЛЯ ШНУРА, СДЕЛАНО ВО ФРАНЦИИ</v>
          </cell>
        </row>
        <row r="2303">
          <cell r="A2303">
            <v>1830006950</v>
          </cell>
          <cell r="B2303" t="str">
            <v>SV8054E0</v>
          </cell>
          <cell r="J2303" t="str">
            <v>ПАРОГЕНЕРАТОР EXPRESS ANTI-CALC, 1 НАСТРОЙКА ТЕМПЕРАТУРЫ ДЛЯ РАЗНЫХ ТИПОВ ТКАНЕЙ, ДАВЛЕНИЕ В НАСОСЕ 6.5 БАР, ПОСТОЯННЫЙ ПАР 120 Г/МИН, ПАРОВОЙ УДАР 420 Г/МИН, УЛЬТРАТОНКАЯ ПОДОШВА AIRGLIDE AUTOCLEAN, ВРЕМЯ НАГРЕВА ВОДЫ 2 МИНУТЫ, АВТООТКЛЮЧЕНИЕ, КОЛЛЕКТОР ДЛЯ СБОРА НАКИПИ, СИСТЕМА ЗАЩЕЛКИВАНИЯ УТЮГА, СЪЕМНЫЙ РЕЗЕРВУАР ДЛЯ ВОДЫ 1,8 Л, ЭКО-ФУНКЦИЯ, СИСТЕМА EASYCORD, ДОЛИВ ВОДЫ В РЕЗЕРВУАР В ЛЮБОЙ МОМЕНТ, СПЕЦИАЛЬНЫЕ ОТСЕКИ ДЛЯ ШЛАНГА ПОДАЧИ ПАРА И ДЛЯ ШНУРА, СДЕЛАНО ВО ФРАНЦИИ, АКСЕССУАР: ДВЕРНОЙ КРЮЧОК</v>
          </cell>
        </row>
        <row r="2304">
          <cell r="A2304">
            <v>1830006939</v>
          </cell>
          <cell r="B2304" t="str">
            <v>SV8055E0</v>
          </cell>
          <cell r="J2304" t="str">
            <v>ПАРОГЕНЕРАТОР EXPRESS ANTI-CALC, 1 НАСТРОЙКА ТЕМПЕРАТУРЫ ДЛЯ РАЗНЫХ ТИПОВ ТКАНЕЙ, ДАВЛЕНИЕ В НАСОСЕ 6.6 БАР, SILENCE TECHNOLOGY: ПОНИЖЕННЫЙ УРОВЕНЬ ШУМА, ПОСТОЯННЫЙ ПАР 120 Г/МИН, ПАРОВОЙ УДАР 450 Г/МИН, УЛЬТРАТОНКАЯ САМООЧИЩАЮЩАЯСЯ ПОДОШВА DURILIUM AIRGLIDE AUTOCLEAN, ВРЕМЯ НАГРЕВА ВОДЫ 2 МИНУТЫ, АВТООТКЛЮЧЕНИЕ, КОЛЛЕКТОР ДЛЯ СБОРА НАКИПИ, СИСТЕМА ЗАЩЕЛКИВАНИЯ УТЮГА, СЪЕМНЫЙ РЕЗЕРВУАР ДЛЯ ВОДЫ 1,8 Л, ЭКО-ФУНКЦИЯ, СИСТЕМА EASYCORD, ДОЛИВ ВОДЫ В РЕЗЕРВУАР В ЛЮБОЙ МОМЕНТ, СПЕЦИАЛЬНЫЕ ОТСЕКИ ДЛЯ ШЛАНГА ПОДАЧИ ПАРА И ДЛЯ ШНУРА, СДЕЛАНО ВО ФРАНЦИИ, 2 АКСЕССУАРА: ДВЕРНОЙ КРЮЧОК, ВАРЕЖКА</v>
          </cell>
        </row>
        <row r="2305">
          <cell r="A2305">
            <v>1830007681</v>
          </cell>
          <cell r="B2305" t="str">
            <v>SV8060E0</v>
          </cell>
          <cell r="J2305" t="str">
            <v>ПАРОГЕНЕРАТОР EXPRESS POWER, ДАВЛЕНИЕ НАСОСА 6,6 БАР, ПОСТОЯННЫЙ ПАР 130 Г/МИН, ПАРОВОЙ УДАР 450 Г/МИН, ВРЕМЯ НАГРЕВА ВОДЫ 2 МИНУТЫ,ОДНА НАСТРОЙКА ТЕМПЕРАТУРЫ, КЕРАМИЧЕСКАЯ ПОДОШВА DURULIUM AIRGLIDE AUTOCLEAN, АВТООТКЛЮЧЕНИЕ, СИСТЕМА САМООЧИСТКИ ПРИБОРА, СИСТЕМА ЗАЩЕЛКИВАНИЯ УТЮГА,  СЪЕМНЫЙ РЕЗЕРВУАР ДЛЯ ВОДЫ 1,8 Л,  ДОЛИВ ВОДЫ В РЕЗЕРВУАР В ЛЮБОЙ МОМЕНТ, CПЕЦИАЛЬНЫЙ ОТСЕК ДЛЯ УДОБНОГО ХРАНЕНИЯ ШЛАНГА, ДЛИНА ШНУРА 1,6М. КОЛЛЕКТОР ДЛЯ СБОРА НАКИПИ, ТЕХНОЛОГИЯ БЕСШУМНОЙ РАБОТЫ. ЛЕГКОЕ ВЕРТИКАЛЬНОЕ ОТПАРИВАНИЕ. ЦВЕТ: СИНИЙ С БЕЛЫМ</v>
          </cell>
        </row>
        <row r="2306">
          <cell r="A2306">
            <v>1830007679</v>
          </cell>
          <cell r="B2306" t="str">
            <v>SV8061E0</v>
          </cell>
          <cell r="J2306" t="str">
            <v>ПАРОГЕНЕРАТОР EXPRESS POWER, ДАВЛЕНИЕ НАСОСА 6,7 БАР, ПОСТОЯННЫЙ ПАР 130 Г/МИН, ПАРОВОЙ УДАР 460 Г/МИН, ВРЕМЯ НАГРЕВА ВОДЫ 2 МИНУТЫ, ОДНА НАСТРОЙКА ТЕМПЕРАТУРЫ, КЕРАМИЧЕСКАЯ ПОДОШВА DURULIUM AIRGLIDE AUTOCLEAN, АВТООТКЛЮЧЕНИЕ, СИСТЕМА САМООЧИСТКИ ПРИБОРА, СИСТЕМА ЗАЩЕЛКИВАНИЯ УТЮГА,  СЪЕМНЫЙ РЕЗЕРВУАР ДЛЯ ВОДЫ 1,8 Л,  ДОЛИВ ВОДЫ В РЕЗЕРВУАР В ЛЮБОЙ МОМЕНТ, CПЕЦИАЛЬНЫЙ ОТСЕК ДЛЯ УДОБНОГО ХРАНЕНИЯ ШЛАНГА, ДЛИНА ШНУРА 1,6М, ТЕХНОЛОГИЯ БЕСШУМНОЙ РАБОТЫ, КОЛЛЕКТОР ДЛЯ СБОРА НАКИПИ, ЛЕГКОЕ ВЕРТИКАЛЬНОЕ ОТПАРИВАНИЕ. ЦВЕТ: КРАСНОЕ ВИНО С БЕЛЫМ.</v>
          </cell>
        </row>
        <row r="2307">
          <cell r="A2307">
            <v>1830007686</v>
          </cell>
          <cell r="B2307" t="str">
            <v>SV8062E0</v>
          </cell>
          <cell r="J2307" t="str">
            <v xml:space="preserve">ПАРОГЕНЕРАТОР                     </v>
          </cell>
        </row>
        <row r="2308">
          <cell r="A2308">
            <v>1830007094</v>
          </cell>
          <cell r="B2308" t="str">
            <v>CF6220F0</v>
          </cell>
          <cell r="J2308" t="str">
            <v xml:space="preserve">Фен-щетка выпрямитель Express Air Brush, Мощность 1000 Вт, 3 температурных режима + холодный воздух, Прибор 2 в 1: Фен-щетка + Расческа-выпрямитель
</v>
          </cell>
        </row>
        <row r="2309">
          <cell r="A2309">
            <v>7211001364</v>
          </cell>
          <cell r="B2309" t="str">
            <v>KI170D30</v>
          </cell>
          <cell r="J2309" t="str">
            <v>Чайник Express II, 1.7л</v>
          </cell>
        </row>
        <row r="2310">
          <cell r="A2310">
            <v>7211003294</v>
          </cell>
          <cell r="B2310" t="str">
            <v>TT410D38</v>
          </cell>
          <cell r="J2310" t="str">
            <v xml:space="preserve">ТОСТЕР GOOD VALUE INOX, МОЩНОСТЬ 850 W, 7 СТЕПЕНЕЙ ПОДЖАРИВАНИЯ ТОСТОВ, КНОПКИ "СТОП" "ПОДОГРЕВ" "РАЗМОРОЗКА", ВЫСОКИЙ ПОДЪЕМ ТОСТОВ, ПОДДОН ДЛЯ КРОШЕК, МАТЕРИАЛ КОРПУСА- НЕРЖАВЕЮЩАЯ СТАЛЬ И ПЛАСТИК. ЦВЕТ -СЕРЕБРИСТЫЙ И ЧЕРНЫЙ     </v>
          </cell>
        </row>
        <row r="2311">
          <cell r="A2311">
            <v>7211001756</v>
          </cell>
          <cell r="B2311" t="str">
            <v>KI230D30</v>
          </cell>
          <cell r="J2311" t="str">
            <v xml:space="preserve">Чайник Tefal EXPRESS 2, объем 1,7 литра, мощность 2400 Вт, скрытый нагревательный элемент, съемный фильтр против накипи, вращение на подставке на 360 градусов, 2 больших индикатора уровня воды, удобное открытие крышки, индикация включения, корпус: нержавеющая сталь. </v>
          </cell>
        </row>
        <row r="2312">
          <cell r="A2312">
            <v>7211000396</v>
          </cell>
          <cell r="B2312" t="str">
            <v>KO29913E</v>
          </cell>
          <cell r="J2312" t="str">
            <v xml:space="preserve">Чайник Express Plastic, 1,5л, 2200Вт, минимальнвй уровень воды - 250 мл./ 1чашка,  2 индикатора уровня воды, световой индикатор, центральное подключение, фильтр против накипи, блокировка крышки, цвет: белый </v>
          </cell>
        </row>
        <row r="2313">
          <cell r="A2313">
            <v>1830005839</v>
          </cell>
          <cell r="B2313" t="str">
            <v>CV9520F0</v>
          </cell>
          <cell r="J2313" t="str">
            <v>Фен Expertise PRO AC Rowenta: профессиональный AC мотор, 2300 Вт, скорость воздушного потока 200км/ч,  2 скорости/3 температурных режима, холодный воздух, ионизатор, ультра-тонкие концентраторы 4мм и 8мм</v>
          </cell>
        </row>
        <row r="2314">
          <cell r="A2314">
            <v>1830008259</v>
          </cell>
          <cell r="B2314" t="str">
            <v>TN3841F4</v>
          </cell>
          <cell r="J2314" t="str">
            <v>EXPERTISE 2 (TBC)</v>
          </cell>
        </row>
        <row r="2315">
          <cell r="A2315">
            <v>1830007912</v>
          </cell>
          <cell r="B2315" t="str">
            <v>TN3800F4</v>
          </cell>
          <cell r="J2315" t="str">
            <v>EXPERTISE 2 (TBC)</v>
          </cell>
        </row>
        <row r="2316">
          <cell r="A2316">
            <v>1830007913</v>
          </cell>
          <cell r="B2316" t="str">
            <v>TN3840F4</v>
          </cell>
          <cell r="J2316" t="str">
            <v>EXPERTISE 2 (TBC)</v>
          </cell>
        </row>
        <row r="2317">
          <cell r="A2317">
            <v>2100086690</v>
          </cell>
          <cell r="B2317" t="str">
            <v>PP5150V1</v>
          </cell>
          <cell r="J2317" t="str">
            <v>Память на 4-х пользователей с системой интуитивного распознавания  4х-сенсорная технология Tefal Автоматическое включение при вставании на весы/ автоотключени  Материал платформы – закаленное стекло Широкий ЖК дисплей с подсветкой Максимальный вес 160 кг Шаг измерений 100 г  Питание: 4 батарейки LR03 (не в комплекте)               </v>
          </cell>
        </row>
        <row r="2318">
          <cell r="A2318">
            <v>8010000805</v>
          </cell>
          <cell r="B2318" t="str">
            <v>EA895N10</v>
          </cell>
          <cell r="J2318" t="str">
            <v>Автоматическая кофемашина KRUPS EVIDENCE от WILMOTTE, От зерна до чашки, Изысканный дизайн, Сделано во Франции, Капучино в одно касание, Простое управление, Компактная, Сдержанная элегантность, Легко чистить, EA89W410</v>
          </cell>
        </row>
        <row r="2319">
          <cell r="A2319">
            <v>8010000431</v>
          </cell>
          <cell r="B2319" t="str">
            <v>EA894T10</v>
          </cell>
          <cell r="J2319" t="str">
            <v>Полностью автоматическая кофемашина EVIDENCE 2 от KRUPS. 18 встроенных рецептов различных напитков. Интуитивно понятный интерфейс сочетающий сенсорные кнопки и OLED дисплей с цветными иконками.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кофемолка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алюминий титанового цвета + черный пластик. В комплекте : металлический контейнер для молока, фильтр для воды, таблетки для чистки варочного механизма.</v>
          </cell>
        </row>
        <row r="2320">
          <cell r="A2320">
            <v>8010000429</v>
          </cell>
          <cell r="B2320" t="str">
            <v>EA894810</v>
          </cell>
          <cell r="J2320" t="str">
            <v>Полностью автоматическая кофемашина EVIDENCE Plus от KRUPS. 19 встроенных рецептов различных напитков. Интуитивно понятный интерфейс сочетающий сенсорные кнопки и OLED дисплей с цветными иконками.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кофемолка с новым типоп жерновов. Запатентованный Компактный Термоблок. Объем  контейнера для кофе 260 гр. Объем резервуара для воды – 2,3 литра, давление 15 бар, мощность 1450 Вт. Съемный поддон для капель. Материал корпуса – алюминий цвета мокка + черный пластик. В комплекте : металлический контейнер для молока, фильтр для воды, таблетки для чистки варочного механизма.</v>
          </cell>
        </row>
        <row r="2321">
          <cell r="A2321">
            <v>8000036209</v>
          </cell>
          <cell r="B2321" t="str">
            <v>EA891D10</v>
          </cell>
          <cell r="J2321"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метал + черный пластик. В комплекте : металлический контейнер для молока, фильтр для воды, таблетки для чистки варочного механизма.</v>
          </cell>
        </row>
        <row r="2322">
          <cell r="A2322">
            <v>8000036181</v>
          </cell>
          <cell r="B2322" t="str">
            <v>EA891C10</v>
          </cell>
          <cell r="J2322"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хромированный алюминий + черный пластик. В комплекте : металлический контейнер для молока, фильтр для воды, таблетки для чистки варочного механизма.</v>
          </cell>
        </row>
        <row r="2323">
          <cell r="A2323">
            <v>8000036182</v>
          </cell>
          <cell r="B2323" t="str">
            <v>EA891810</v>
          </cell>
          <cell r="J2323"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черный пластик. В комплекте : металлический контейнер для молока, фильтр для воды, таблетки для чистки варочного механизма.</v>
          </cell>
        </row>
        <row r="2324">
          <cell r="A2324">
            <v>8000036192</v>
          </cell>
          <cell r="B2324" t="str">
            <v>EA891110</v>
          </cell>
          <cell r="J2324"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белый пластик + черный пластик. В комплекте : металлический контейнер для молока, фильтр для воды, таблетки для чистки варочного механизма.</v>
          </cell>
        </row>
        <row r="2325">
          <cell r="A2325">
            <v>8000036179</v>
          </cell>
          <cell r="B2325" t="str">
            <v>EA890110</v>
          </cell>
          <cell r="J2325"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белый пластик +черный пластик. В комплекте: фильтр для воды, таблетки для чистки варочного механизма.</v>
          </cell>
        </row>
        <row r="2326">
          <cell r="A2326">
            <v>8010001375</v>
          </cell>
          <cell r="B2326" t="str">
            <v>EA898GF0</v>
          </cell>
          <cell r="J2326" t="str">
            <v>Полностью автоматическая кофемашина EVIDENCE от KRUPS EA898GF0. 18 встроенных рецептов различных напитков, включая холодные напитки.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2,3 литра, давление 15 бар, мощность 1450 Вт. Съемный поддон для капель. Материал корпуса - темно серый/черный пластик.</v>
          </cell>
        </row>
        <row r="2327">
          <cell r="A2327">
            <v>2100125419</v>
          </cell>
          <cell r="B2327" t="str">
            <v>K2579024</v>
          </cell>
          <cell r="J2327" t="str">
            <v>Нож-Сантоку Ever Sharp 16,5см</v>
          </cell>
        </row>
        <row r="2328">
          <cell r="A2328">
            <v>2100119195</v>
          </cell>
          <cell r="B2328" t="str">
            <v>K2569004</v>
          </cell>
          <cell r="J2328" t="str">
            <v>Поварской нож Ever Sharp 16,5см</v>
          </cell>
        </row>
        <row r="2329">
          <cell r="A2329">
            <v>2100129825</v>
          </cell>
          <cell r="B2329" t="str">
            <v>K2579104</v>
          </cell>
          <cell r="J2329" t="str">
            <v>Поварской нож Ever Sharp BLACK edition 16,5см</v>
          </cell>
        </row>
        <row r="2330">
          <cell r="A2330">
            <v>2100139799</v>
          </cell>
          <cell r="B2330" t="str">
            <v>K297S244 </v>
          </cell>
          <cell r="J2330" t="str">
            <v>Поварской нож Ever Sharp PRO 16,5 см с блоком-чехлом</v>
          </cell>
        </row>
        <row r="2331">
          <cell r="A2331">
            <v>2100139800</v>
          </cell>
          <cell r="B2331" t="str">
            <v>K297S644</v>
          </cell>
          <cell r="J2331" t="str">
            <v>Набор ножей Ever Sharp PRO (5 ножей + блок)</v>
          </cell>
        </row>
        <row r="2332">
          <cell r="A2332">
            <v>2100139801</v>
          </cell>
          <cell r="B2332" t="str">
            <v xml:space="preserve">K297S744 </v>
          </cell>
          <cell r="J2332" t="str">
            <v>Набор ножей Ever Sharp PRO (5 ножей + ножницы + блок)</v>
          </cell>
        </row>
        <row r="2333">
          <cell r="A2333">
            <v>4100000128</v>
          </cell>
          <cell r="B2333" t="str">
            <v>VF4110F0</v>
          </cell>
          <cell r="J2333" t="str">
            <v>VF4110F0 Вентилятор</v>
          </cell>
        </row>
        <row r="2334">
          <cell r="A2334">
            <v>7211004050</v>
          </cell>
          <cell r="B2334" t="str">
            <v>RK321A32</v>
          </cell>
          <cell r="J2334" t="str">
            <v xml:space="preserve">МУЛЬТИВАРКА: ОБЪЕМ 5 Л, МОЩНОСТЬ 750 ВТ, 13 ПРОГРАММ,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ОТСРОЧКА СТАРТА ДО 24 ЧАСОВ; АВТОПОДОГРЕВ И ВОЗМОЖНОСТЬ ЕГО ОТМЕНЫ ПЕРЕД НАЧАЛОМ ПРИГОТОВЛЕНИЯ; СЪЕМНАЯ 2ММ 5ТИ СЛОЙНАЯ ЧАША С АНТИПРИГАРНЫМ ПОКРЫТИЕМ ПОКРЫТИЕМ, КОРЗИНА ДЛЯ ПРИГОТОВЛЕНИЯ НА ПАРУ, МЕРНАЯ ЧАШКА И СПЕЦИАЛЬНЫЕ ЛОЖКИ ДЛЯ СУПА И РИСА, КНИГА РЕЦЕПТОВ В КОМПЛЕКТЕ. </v>
          </cell>
        </row>
        <row r="2335">
          <cell r="A2335">
            <v>2100132176</v>
          </cell>
          <cell r="B2335" t="str">
            <v>K2791124</v>
          </cell>
          <cell r="J2335" t="str">
            <v xml:space="preserve">Длинная лопатка с режущей поверхностью </v>
          </cell>
        </row>
        <row r="2336">
          <cell r="A2336">
            <v>2100132179</v>
          </cell>
          <cell r="B2336" t="str">
            <v>K2791424</v>
          </cell>
          <cell r="J2336" t="str">
            <v xml:space="preserve">Лопатка с режущей поверхностью </v>
          </cell>
        </row>
        <row r="2337">
          <cell r="A2337">
            <v>2100132175</v>
          </cell>
          <cell r="B2337" t="str">
            <v>K2791024</v>
          </cell>
          <cell r="J2337" t="str">
            <v>Ложка-скребок</v>
          </cell>
        </row>
        <row r="2338">
          <cell r="A2338">
            <v>2100132177</v>
          </cell>
          <cell r="B2338" t="str">
            <v>K2791224</v>
          </cell>
          <cell r="J2338" t="str">
            <v>Половник с мерной шкалой</v>
          </cell>
        </row>
        <row r="2339">
          <cell r="A2339">
            <v>2100132178</v>
          </cell>
          <cell r="B2339" t="str">
            <v>K2791324</v>
          </cell>
          <cell r="J2339" t="str">
            <v>Щипцы с отверстием для слива</v>
          </cell>
        </row>
        <row r="2340">
          <cell r="A2340">
            <v>2100132830</v>
          </cell>
          <cell r="B2340" t="str">
            <v>K279S304</v>
          </cell>
          <cell r="J2340" t="str">
            <v>Набор из 3 предметов: длинная лопатка, половник, ложка</v>
          </cell>
        </row>
        <row r="2341">
          <cell r="A2341">
            <v>4100000739</v>
          </cell>
          <cell r="B2341" t="str">
            <v>VF4440F2</v>
          </cell>
          <cell r="J2341" t="str">
            <v>ESSENTIAL + STAND VF4440</v>
          </cell>
        </row>
        <row r="2342">
          <cell r="A2342">
            <v>4100000626</v>
          </cell>
          <cell r="B2342" t="str">
            <v>VF4440F0</v>
          </cell>
          <cell r="J2342" t="str">
            <v>Essential + (replaces VF6410F0)</v>
          </cell>
        </row>
        <row r="2343">
          <cell r="A2343">
            <v>4100000738</v>
          </cell>
          <cell r="B2343" t="str">
            <v>VF4420F2</v>
          </cell>
          <cell r="J2343" t="str">
            <v>ESSENTIAL + STAND VF4420</v>
          </cell>
        </row>
        <row r="2344">
          <cell r="A2344">
            <v>4100000679</v>
          </cell>
          <cell r="B2344" t="str">
            <v>VF4420F0</v>
          </cell>
          <cell r="J2344" t="str">
            <v>Essential+ anti-mosquito (replaces VF4210)</v>
          </cell>
        </row>
        <row r="2345">
          <cell r="A2345">
            <v>4100000740</v>
          </cell>
          <cell r="B2345" t="str">
            <v>VF4410F2</v>
          </cell>
          <cell r="J2345" t="str">
            <v>ESSENTIAL + STAND VF4410</v>
          </cell>
        </row>
        <row r="2346">
          <cell r="A2346">
            <v>4100000624</v>
          </cell>
          <cell r="B2346" t="str">
            <v>VF4410F0</v>
          </cell>
          <cell r="J2346" t="str">
            <v>Essential+
VF4410
(replaces VF4110)</v>
          </cell>
        </row>
        <row r="2347">
          <cell r="A2347">
            <v>4100000737</v>
          </cell>
          <cell r="B2347" t="str">
            <v>VF2330F2</v>
          </cell>
          <cell r="J2347" t="str">
            <v>ESSENTIAL + DESK VF2330</v>
          </cell>
        </row>
        <row r="2348">
          <cell r="A2348">
            <v>4100000681</v>
          </cell>
          <cell r="B2348" t="str">
            <v>VF2330F0</v>
          </cell>
          <cell r="J2348" t="str">
            <v xml:space="preserve">Essential + </v>
          </cell>
        </row>
        <row r="2349">
          <cell r="A2349">
            <v>4100000622</v>
          </cell>
          <cell r="B2349" t="str">
            <v>VF2310F0</v>
          </cell>
          <cell r="J2349" t="str">
            <v>Вентилятор Tefal Essential, 3 скорости</v>
          </cell>
        </row>
        <row r="2350">
          <cell r="A2350">
            <v>8010000453</v>
          </cell>
          <cell r="B2350" t="str">
            <v>EA819N10</v>
          </cell>
          <cell r="J2350" t="str">
            <v>Полностью автоматическая эспрессо машина Latt Happy от KRUPS. Возможность приготовления капучино с помощью одной кнопки. Технология KRUPS Quattro Force. Металлическая кофемолка с новым типом жерновов. Запатентованный Компактный Термоблок. LCD дисплей. Возможность сохранения 4 любимых наапитков.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контейнер для молока, фильтр для воды, таблетки для чистки варочного механизма.</v>
          </cell>
        </row>
        <row r="2351">
          <cell r="A2351">
            <v>8000036227</v>
          </cell>
          <cell r="B2351" t="str">
            <v>EA817010</v>
          </cell>
          <cell r="J2351" t="str">
            <v>Полностью автоматическая эспрессо машина ARABICA от KRUPS. 3 встроенных рецепта кофейных напитков. Технология KRUPS Quattro Force. Металлическая кофемолка с новым типом жерновов. Запатентованный Компактный Термоблок. LCD дисплей. Объем  контейнера для кофе 260 гр. Объем резервуара для воды – 1,7 литра, давление 15 бар, мощность 1450 Вт. Паровое сопло-капучинатор,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фильтр для воды, таблетки для чистки варочного механизма.</v>
          </cell>
        </row>
        <row r="2352">
          <cell r="A2352">
            <v>8000036152</v>
          </cell>
          <cell r="B2352" t="str">
            <v>EA811810</v>
          </cell>
          <cell r="J2352" t="str">
            <v>Полностью автоматическая эспрессо машина HAPPY от KRUPS. 6 встроенных рецептов кофейных напитков.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1,7 литра, давление 15 бар, мощность 1450 Вт. Паровое сопло-капучинатор, регулировка степени помола, регулировка крепости, регулировка температуры воды, автоматические программы промывки, очистки. Материал корпуса –черный + серебряный пластик. В комплекте : фильтр для воды, таблетки для чистки варочного механизма.</v>
          </cell>
        </row>
        <row r="2353">
          <cell r="A2353">
            <v>8000036226</v>
          </cell>
          <cell r="B2353" t="str">
            <v>EA811010</v>
          </cell>
          <cell r="J2353" t="str">
            <v>Полностью автоматическая кофемашина Arabica от KRUPS. 6 встроенных рецептов кофейных напитков. Технология KRUPS Quattro Force. Металлическая коническая кофемельница. Запатентованный компактный термоблок. Объем контейнера для кофейных зерен 260 гр. Объем резервуара для воды – 1,7 литра, давление 15 бар, мощность 1450 Вт. Паровое сопло-капучинатор, регулировка степени помола, регулировка крепости, регулировка температуры воды, автоматические программы промывки, очистки. Материал корпуса – черный пластик. В комплекте : таблетки для очистки варочного механизма.</v>
          </cell>
        </row>
        <row r="2354">
          <cell r="A2354">
            <v>8010000646</v>
          </cell>
          <cell r="B2354" t="str">
            <v>EA81R870</v>
          </cell>
          <cell r="J2354" t="str">
            <v>Roma Productive</v>
          </cell>
        </row>
        <row r="2355">
          <cell r="A2355">
            <v>8000035039</v>
          </cell>
          <cell r="B2355" t="str">
            <v>EA810870</v>
          </cell>
          <cell r="J2355" t="str">
            <v>Roma Black</v>
          </cell>
        </row>
        <row r="2356">
          <cell r="A2356">
            <v>8000035384</v>
          </cell>
          <cell r="B2356" t="str">
            <v>EA810570</v>
          </cell>
          <cell r="J2356" t="str">
            <v>Roma White</v>
          </cell>
        </row>
        <row r="2357">
          <cell r="A2357">
            <v>1830008066</v>
          </cell>
          <cell r="B2357" t="str">
            <v>BC5304V0</v>
          </cell>
          <cell r="J2357" t="str">
            <v>ESSENTIAL</v>
          </cell>
        </row>
        <row r="2358">
          <cell r="A2358">
            <v>1830008153</v>
          </cell>
          <cell r="B2358" t="str">
            <v>PP1330V0</v>
          </cell>
          <cell r="J2358" t="str">
            <v>Весы стеклянные Essential DUNE,  Материал платформы – закаленное стекло,  ЖК дисплей 60 х 30 мм,  Ультра-тонкая платформа: 22 мм,  Устойчивая платформа: 280 х 280 мм, максимальный вес 150 кг.,  Шаг измерений 100 г,  литиевая батарейка 3 В  Серый  цвет с прозрачной серединой.</v>
          </cell>
        </row>
        <row r="2359">
          <cell r="A2359">
            <v>1830007838</v>
          </cell>
          <cell r="B2359" t="str">
            <v>PP1300V0</v>
          </cell>
          <cell r="J2359" t="str">
            <v>Весы стеклянные Essential Black,  Материал платформы – закаленное стекло,  ЖК дисплей 60 х 30 мм,  Ультра-тонкая платформа: 22 мм,  Устойчивая платформа: 280 х 280 мм, максимальный вес 150 кг.,  Шаг измерений 100 г,  литиевая батарейка 3 В  Чёрный цвет с прозрачной серединой.</v>
          </cell>
        </row>
        <row r="2360">
          <cell r="A2360">
            <v>9100052936</v>
          </cell>
          <cell r="B2360" t="str">
            <v>04232810</v>
          </cell>
          <cell r="J2360" t="str">
            <v>Набор ск.20/26 ESSENTIAL</v>
          </cell>
        </row>
        <row r="2361">
          <cell r="A2361">
            <v>9100052938</v>
          </cell>
          <cell r="B2361" t="str">
            <v>04232830</v>
          </cell>
          <cell r="J2361" t="str">
            <v>Набор ск.24/сот24+кр ESSENTIAL</v>
          </cell>
        </row>
        <row r="2362">
          <cell r="A2362">
            <v>3110601214</v>
          </cell>
          <cell r="B2362" t="str">
            <v>N2021510</v>
          </cell>
          <cell r="J2362" t="str">
            <v>Термокружка Tefal Essential 0,36 л серая</v>
          </cell>
        </row>
        <row r="2363">
          <cell r="A2363">
            <v>3110601215</v>
          </cell>
          <cell r="B2363" t="str">
            <v>N2021810</v>
          </cell>
          <cell r="J2363" t="str">
            <v>Термокружка Tefal Essential 0,36 л зеленая</v>
          </cell>
        </row>
        <row r="2364">
          <cell r="A2364">
            <v>3110601216</v>
          </cell>
          <cell r="B2364" t="str">
            <v>N2021710</v>
          </cell>
          <cell r="J2364" t="str">
            <v>Термокружка Tefal Essential 0,36 л красная</v>
          </cell>
        </row>
        <row r="2365">
          <cell r="A2365">
            <v>3110601217</v>
          </cell>
          <cell r="B2365" t="str">
            <v>N2021610</v>
          </cell>
          <cell r="J2365" t="str">
            <v>Термокружка Tefal Essential 0,36 л синяя</v>
          </cell>
        </row>
        <row r="2366">
          <cell r="A2366">
            <v>3110601366</v>
          </cell>
          <cell r="B2366" t="str">
            <v>N2024617</v>
          </cell>
          <cell r="J2366" t="str">
            <v>Термокружка Tefal Essential 0,36 л белая</v>
          </cell>
        </row>
        <row r="2367">
          <cell r="A2367">
            <v>9100052937</v>
          </cell>
          <cell r="B2367" t="str">
            <v>04232820</v>
          </cell>
          <cell r="J2367" t="str">
            <v>Набор ск.20/24/28 ESSENTIAL</v>
          </cell>
        </row>
        <row r="2368">
          <cell r="A2368">
            <v>2100121789</v>
          </cell>
          <cell r="B2368" t="str">
            <v>K2240175</v>
          </cell>
          <cell r="J2368" t="str">
            <v>Нож поварской Essential 15см</v>
          </cell>
        </row>
        <row r="2369">
          <cell r="A2369">
            <v>2100121787</v>
          </cell>
          <cell r="B2369" t="str">
            <v>K2210775</v>
          </cell>
          <cell r="J2369" t="str">
            <v>Нож для измельчения Essential 20см</v>
          </cell>
        </row>
        <row r="2370">
          <cell r="A2370">
            <v>2100121791</v>
          </cell>
          <cell r="B2370" t="str">
            <v>K2210675</v>
          </cell>
          <cell r="J2370" t="str">
            <v>Нож сантоку Essential 12см</v>
          </cell>
        </row>
        <row r="2371">
          <cell r="A2371">
            <v>2100121790</v>
          </cell>
          <cell r="B2371" t="str">
            <v>K2210975</v>
          </cell>
          <cell r="J2371" t="str">
            <v>Нож универсальный Essential 12см</v>
          </cell>
        </row>
        <row r="2372">
          <cell r="A2372">
            <v>2100121788</v>
          </cell>
          <cell r="B2372" t="str">
            <v>K2210575</v>
          </cell>
          <cell r="J2372" t="str">
            <v>Нож для чистки овощей Essential 9см</v>
          </cell>
        </row>
        <row r="2373">
          <cell r="A2373">
            <v>2100122004</v>
          </cell>
          <cell r="B2373" t="str">
            <v>K2210255</v>
          </cell>
          <cell r="J2373" t="str">
            <v>Нож поварской Essential 20см</v>
          </cell>
        </row>
        <row r="2374">
          <cell r="A2374">
            <v>2100122002</v>
          </cell>
          <cell r="B2374" t="str">
            <v>K2214155</v>
          </cell>
          <cell r="J2374" t="str">
            <v>Ножницы Essential</v>
          </cell>
        </row>
        <row r="2375">
          <cell r="A2375">
            <v>2100121792</v>
          </cell>
          <cell r="B2375" t="str">
            <v>K2213S75</v>
          </cell>
          <cell r="J2375" t="str">
            <v>Набор ножей Essential (3 предмета)</v>
          </cell>
        </row>
        <row r="2376">
          <cell r="A2376">
            <v>2100121793</v>
          </cell>
          <cell r="B2376" t="str">
            <v>K2214S75</v>
          </cell>
          <cell r="J2376" t="str">
            <v>Набор ножей Essential (4 предмета)</v>
          </cell>
        </row>
        <row r="2377">
          <cell r="A2377">
            <v>2100122007</v>
          </cell>
          <cell r="B2377" t="str">
            <v>K2219355</v>
          </cell>
          <cell r="J2377" t="str">
            <v>Набор ножей Essential (Шеф 15см, Овощной 9см)</v>
          </cell>
        </row>
        <row r="2378">
          <cell r="A2378">
            <v>2100121804</v>
          </cell>
          <cell r="B2378" t="str">
            <v>K2660555</v>
          </cell>
          <cell r="J2378" t="str">
            <v>Точилка для ножей Essential</v>
          </cell>
        </row>
        <row r="2379">
          <cell r="A2379">
            <v>2100127659</v>
          </cell>
          <cell r="B2379" t="str">
            <v>K2219455</v>
          </cell>
          <cell r="J2379" t="str">
            <v>Набор ножей Essential 3 шт.</v>
          </cell>
        </row>
        <row r="2380">
          <cell r="A2380">
            <v>2100127657</v>
          </cell>
          <cell r="B2380" t="str">
            <v>K221S255</v>
          </cell>
          <cell r="J2380" t="str">
            <v>Набор ножей Essential 2 шт.</v>
          </cell>
        </row>
        <row r="2381">
          <cell r="A2381">
            <v>1830009528</v>
          </cell>
          <cell r="B2381" t="str">
            <v>BC5504V0</v>
          </cell>
        </row>
        <row r="2382">
          <cell r="A2382">
            <v>8000031618</v>
          </cell>
          <cell r="B2382" t="str">
            <v>XS600010</v>
          </cell>
          <cell r="J2382" t="str">
            <v>Капучинатор с емкостью для молока из нержавеющей стали</v>
          </cell>
        </row>
        <row r="2383">
          <cell r="A2383">
            <v>1600005026</v>
          </cell>
          <cell r="B2383" t="str">
            <v>XS530010</v>
          </cell>
          <cell r="J2383" t="str">
            <v>ESPRESSOS ACCESSORIES</v>
          </cell>
        </row>
        <row r="2384">
          <cell r="A2384">
            <v>8000003687</v>
          </cell>
          <cell r="B2384" t="str">
            <v>F08801</v>
          </cell>
          <cell r="J2384" t="str">
            <v>Фильтр для воды Claris</v>
          </cell>
        </row>
        <row r="2385">
          <cell r="A2385">
            <v>8000031569</v>
          </cell>
          <cell r="B2385" t="str">
            <v>XS300010</v>
          </cell>
          <cell r="J2385" t="str">
            <v>Чистящее средство для кофемашины табл.д/гидросист.</v>
          </cell>
        </row>
        <row r="2386">
          <cell r="A2386">
            <v>8000033616</v>
          </cell>
          <cell r="B2386" t="str">
            <v>F054001B</v>
          </cell>
          <cell r="J2386" t="str">
            <v>Порошок для удаления накипи KRUPS F 054  (40г)</v>
          </cell>
        </row>
        <row r="2387">
          <cell r="A2387">
            <v>8000035748</v>
          </cell>
          <cell r="B2387" t="str">
            <v>EA82F810</v>
          </cell>
          <cell r="J2387" t="str">
            <v>Полностью автоматическая эспрессо машина от KRUPS Quattro Force. Возможность приготовления капучино с помощью одной кнопки. 6 встроенных рецептов кофейных напитков. LCD дисплей с легким доступом ко всем функциям.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контейнер для молока, фильтр для воды, таблетки для чистки варочного механизма.</v>
          </cell>
        </row>
        <row r="2388">
          <cell r="A2388">
            <v>8000035080</v>
          </cell>
          <cell r="B2388" t="str">
            <v>EA826E30</v>
          </cell>
          <cell r="J2388" t="str">
            <v>Espresseria Automatic, полностью автоматическая эспрессо машина. Мощность 1450 Вт., 15 бар, термоблок, графический ЖК дисплей, паровое сопло-капучинатор, автокапучинатор XS6000, управление одной кнопкой через дисплей, регулировка степени помола, регулировка крепости, регулировка температуры воды, герметичный контейнер для кофе в зернах емкостью 275 гр., подогрев чашек, автоматические программы промывки, очистки, фильтр для воды, передняя панель из литого металла.</v>
          </cell>
        </row>
        <row r="2389">
          <cell r="A2389">
            <v>8000035344</v>
          </cell>
          <cell r="B2389" t="str">
            <v>EA829810</v>
          </cell>
          <cell r="J2389" t="str">
            <v>Полностью автоматическая кофемашина Latt' Express от KRUPS. Возможность приготовления капучино одной с помощью одной кнопки. Запатентованный Компактный Термоблок (горячий кофе с первой чашки, более медленное образование накипи). LCD экран для легкого управления кофе-машиной. 1 програмирумый рецепт капучино или латте. Возможность установки 3 степеней помола кофе, крепости кофе.  Металлическая кофемельница.  Автоматическая очистка молочника. Возможность хрения молочника в холодильнике. Герметичный контейнер для кофе в зернах емкостью 250 гр. Контейнер воды на 1,6л. Съемный поддон для капель. Объем резервуара для воды - 1.7 литра. Давление 15 бар, мощность 1450 Вт.</v>
          </cell>
        </row>
        <row r="2390">
          <cell r="A2390">
            <v>8000035749</v>
          </cell>
          <cell r="B2390" t="str">
            <v>EA82F010</v>
          </cell>
          <cell r="J2390" t="str">
            <v>Полностью автоматическая эспрессо машина от  KRUPS Quattro Force. 5 встроенных рецептов кофейных напитков. LCD дисплей с легким доступом ко всем функциям.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1,7 литра, давление 15 бар, мощность 1450 Вт. Регулировка степени помола, регулировка крепости, регулировка температуры воды, автоматические программы промывки, очистки. Материал корпуса –черный пластик. В комплекте : фильтр для воды, таблетки для чистки варочного механизма.</v>
          </cell>
        </row>
        <row r="2391">
          <cell r="A2391">
            <v>8000035884</v>
          </cell>
          <cell r="B2391" t="str">
            <v>TT420D30</v>
          </cell>
          <cell r="J2391" t="str">
            <v>ТОСТЕР EQUINOX TT420D30</v>
          </cell>
        </row>
        <row r="2392">
          <cell r="A2392">
            <v>9100024453</v>
          </cell>
          <cell r="B2392">
            <v>4170928</v>
          </cell>
          <cell r="J2392" t="str">
            <v>Сковорода 28 со с.к.ONLY COOK</v>
          </cell>
        </row>
        <row r="2393">
          <cell r="A2393">
            <v>9100024452</v>
          </cell>
          <cell r="B2393">
            <v>4170926</v>
          </cell>
          <cell r="J2393" t="str">
            <v>Сковорода 26 со с.к.ONLY COOK</v>
          </cell>
        </row>
        <row r="2394">
          <cell r="A2394">
            <v>9100024451</v>
          </cell>
          <cell r="B2394">
            <v>4170924</v>
          </cell>
          <cell r="J2394" t="str">
            <v>Сковорода 24 со с.к.ONLY COOK</v>
          </cell>
        </row>
        <row r="2395">
          <cell r="A2395">
            <v>9100024449</v>
          </cell>
          <cell r="B2395">
            <v>4170522</v>
          </cell>
          <cell r="J2395" t="str">
            <v>Сковорода 22бл ONLY COOK</v>
          </cell>
        </row>
        <row r="2396">
          <cell r="A2396">
            <v>2100098069</v>
          </cell>
          <cell r="B2396" t="str">
            <v>G7010514</v>
          </cell>
          <cell r="J2396" t="str">
            <v>G7010514 Сковорода 26 ILLICO (Иллико)</v>
          </cell>
        </row>
        <row r="2397">
          <cell r="A2397">
            <v>2100098068</v>
          </cell>
          <cell r="B2397" t="str">
            <v>G7010414</v>
          </cell>
          <cell r="J2397" t="str">
            <v>G7010414 Сковорода 24 ILLICO (Иллико)</v>
          </cell>
        </row>
        <row r="2398">
          <cell r="A2398">
            <v>2100098072</v>
          </cell>
          <cell r="B2398" t="str">
            <v>G7022214</v>
          </cell>
          <cell r="J2398" t="str">
            <v>Ковш 16 см ILLICO (Иллико)</v>
          </cell>
        </row>
        <row r="2399">
          <cell r="A2399">
            <v>1830007622</v>
          </cell>
          <cell r="B2399" t="str">
            <v>EP4930F0</v>
          </cell>
          <cell r="J2399" t="str">
            <v>EPILATEUR W&amp;D</v>
          </cell>
        </row>
        <row r="2400">
          <cell r="A2400">
            <v>1830007621</v>
          </cell>
          <cell r="B2400" t="str">
            <v>EP4920F0</v>
          </cell>
          <cell r="J2400" t="str">
            <v>EPILATEUR W&amp;D</v>
          </cell>
        </row>
        <row r="2401">
          <cell r="A2401">
            <v>7211004348</v>
          </cell>
          <cell r="B2401" t="str">
            <v>CY753832</v>
          </cell>
          <cell r="J2401" t="str">
            <v>МУЛЬТИВАРКА-СКОРОВАРКА TEFAL TURBO CUISINE CY753832</v>
          </cell>
        </row>
        <row r="2402">
          <cell r="A2402">
            <v>7211004474</v>
          </cell>
          <cell r="B2402" t="str">
            <v>CE22A932</v>
          </cell>
          <cell r="J2402" t="str">
            <v>СКОРОВАРКА EPC SPEEDY COOK</v>
          </cell>
        </row>
        <row r="2403">
          <cell r="A2403">
            <v>7211004417</v>
          </cell>
          <cell r="B2403" t="str">
            <v>CE222D32</v>
          </cell>
          <cell r="J2403" t="str">
            <v>СКОРОВАРКА EPC SPEEDY COOK</v>
          </cell>
        </row>
        <row r="2404">
          <cell r="A2404">
            <v>7211004466</v>
          </cell>
          <cell r="B2404" t="str">
            <v>CE222B32</v>
          </cell>
          <cell r="J2404" t="str">
            <v>СКОРОВАРКА EPC SPEEDY COOK</v>
          </cell>
        </row>
        <row r="2405">
          <cell r="A2405">
            <v>7211003399</v>
          </cell>
          <cell r="B2405" t="str">
            <v>CY625D32</v>
          </cell>
          <cell r="J2405" t="str">
            <v>МУЛЬТИВАРКА-СКОРОВАРКА: ОБЪЕМ 5 Л, СФЕРИЧЕСКАЯ ЧАША, МОЩНОСТЬ 1100 ВТ, 32 РЕЖИМА, ВКЛЮЧАЯ МУЛЬТИШЕФ - РЕГУЛИРОВКА ТЕМПЕРАТУРЫ И ВРЕМЕНИ ПРИГОТОВЛЕНИЯ (РАБОТАЕТ И С ДАВЛЕНИЕМ, И БЕЗ), ВОЗМОЖНОСТЬ ОТКЛЮЧИТЬ ДАВЛЕНИЕ НА 4Х ПРОГРАММАХ, АВТОМАТИЧЕСКИЙ СПУСК ПАРА, НОВАЯ ПРОГРАММА "СУ ВИД", ВОЗМОЖНОСТЬ ИЗМЕНЕНИЯ ТЕМПЕРАТУРЫ И ВРЕМЕНИ В АВТОМАТИЧЕСКИХ ПРОГРАММАХ; ПОДДЕРЖАНИЕ В РАЗОГРЕТОМ СОСТОЯНИИ И ОТСРОЧКА СТАРТА ДО 24 ЧАСОВ; СЪЕМНАЯ 2ММ 6ТИ СЛОЙНАЯ СФЕРИЧЕСКАЯ ЧАША С АНТИПРИГАРНЫМ ПОКРЫТИЕМ, КОРЗИНА ДЛЯ ПРИГОТОВЛЕНИЯ НА ПАРУ, МЕРНАЯ ЧАШКА И СПЕЦИАЛЬНЫЕ ЛОЖКИ ДЛЯ СУПА И РИСА, КНИГА РЕЦЕПТОВ В КОМПЛЕКТЕ. МАТЕРИАЛ КОРПУСА - МЕТАЛЛ И ПЛАСТИК.</v>
          </cell>
        </row>
        <row r="2406">
          <cell r="A2406">
            <v>7211003315</v>
          </cell>
          <cell r="B2406" t="str">
            <v>CY621D32</v>
          </cell>
          <cell r="J2406" t="str">
            <v>МУЛЬТИВАРКА-СКОРОВАРКА: ОБЪЕМ 5 Л, СФЕРИЧЕСКАЯ ЧАША, МОЩНОСТЬ 1100 ВТ, 32 РЕЖИМА, ВКЛЮЧАЯ МУЛЬТИШЕФ - РЕГУЛИРОВКА ТЕМПЕРАТУРЫ И ВРЕМЕНИ ПРИГОТОВЛЕНИЯ (РАБОТАЕТ И С ДАВЛЕНИЕМ, И БЕЗ), НОВАЯ ПРОГРАММА "СУ ВИД", ВОЗМОЖНОСТЬ ИЗМЕНЕНИЯ ТЕМПЕРАТУРЫ И ВРЕМЕНИ В АВТОМАТИЧЕСКИХ ПРОГРАММАХ; ПОДДЕРЖАНИЕ В РАЗОГРЕТОМ СОСТОЯНИИ И ОТСРОЧКА СТАРТА ДО 24 ЧАСОВ; СЪЕМНАЯ 2ММ 6ТИ СЛОЙНАЯ СФЕРИЧЕСКАЯ ЧАША С АНТИПРИГАРНЫМ ПОКРЫТИЕМ, КОРЗИНА ДЛЯ ПРИГОТОВЛЕНИЯ НА ПАРУ, МЕРНАЯ ЧАШКА И СПЕЦИАЛЬНЫЕ ЛОЖКИ ДЛЯ СУПА И РИСА, КНИГА РЕЦЕПТОВ В КОМПЛЕКТЕ. МАТЕРИАЛ КОРПУСА - МЕТАЛЛ И ПЛАСТИК.</v>
          </cell>
        </row>
        <row r="2407">
          <cell r="A2407">
            <v>7211003314</v>
          </cell>
          <cell r="B2407" t="str">
            <v>CE620D32</v>
          </cell>
          <cell r="J2407" t="str">
            <v>МУЛЬТИВАРКА-СКОРОВАРКА: ОБЪЕМ 5 Л, МОЩНОСТЬ 1100 ВТ, 22 РЕЖИМА, ВКЛЮЧАЯ МУЛЬТИШЕФ - РЕГУЛИРОВКА ТЕМПЕРАТУРЫ И ВРЕМЕНИ ПРИГОТОВЛЕНИЯ (РАБОТАЕТ И С ДАВЛЕНИЕМ, И БЕЗ),МВОЗМОЖНОСТЬ ИЗМЕНЕНИЯ ТЕМПЕРАТУРЫ И ВРЕМЕНИ В АВТОМАТИЧЕСКИХ ПРОГРАММАХ; ПОДДЕРЖАНИЕ В РАЗОГРЕТОМ СОСТОЯНИИ И ОТСРОЧКА СТАРТА ДО 24 ЧАСОВ; СЪЕМНАЯ 2ММ 6ТИ СЛОЙНАЯ ЧАША С АНТИПРИГАРНЫМ ПОКРЫТИЕМ, КОРЗИНА ДЛЯ ПРИГОТОВЛЕНИЯ НА ПАРУ, МЕРНАЯ ЧАШКА И СПЕЦИАЛЬНЫЕ ЛОЖКИ ДЛЯ СУПА И РИСА, КНИГА РЕЦЕПТОВ В КОМПЛЕКТЕ. МАТЕРИАЛ КОРПУСА - МЕТАЛЛ И ПЛАСТИК.</v>
          </cell>
        </row>
        <row r="2408">
          <cell r="A2408">
            <v>2100076153</v>
          </cell>
          <cell r="B2408" t="str">
            <v>C7534154</v>
          </cell>
          <cell r="J2408" t="str">
            <v>Гриль 26 Sensoria</v>
          </cell>
        </row>
        <row r="2409">
          <cell r="A2409">
            <v>2100102542</v>
          </cell>
          <cell r="B2409" t="str">
            <v>A702S685</v>
          </cell>
          <cell r="J2409" t="str">
            <v>TEFAL INTUITION Набор посуды из нержавеющей стали 6 предметов :  Кастрюля 20/24 с крышками, ковш 16 с крышкой</v>
          </cell>
        </row>
        <row r="2410">
          <cell r="A2410">
            <v>2100125812</v>
          </cell>
          <cell r="B2410" t="str">
            <v>B8171944</v>
          </cell>
          <cell r="J2410" t="str">
            <v xml:space="preserve">ВОК 28 Intuition  </v>
          </cell>
        </row>
        <row r="2411">
          <cell r="A2411">
            <v>2100125771</v>
          </cell>
          <cell r="B2411" t="str">
            <v>B8170644</v>
          </cell>
          <cell r="J2411" t="str">
            <v xml:space="preserve">Сковорода 28 Intuition  </v>
          </cell>
        </row>
        <row r="2412">
          <cell r="A2412">
            <v>2100125770</v>
          </cell>
          <cell r="B2412" t="str">
            <v>B8170544</v>
          </cell>
          <cell r="J2412" t="str">
            <v xml:space="preserve">Сковорода 26 Intuition  </v>
          </cell>
        </row>
        <row r="2413">
          <cell r="A2413">
            <v>2100125769</v>
          </cell>
          <cell r="B2413" t="str">
            <v>B8170444</v>
          </cell>
          <cell r="J2413" t="str">
            <v xml:space="preserve">Сковорода 24 Intuition  </v>
          </cell>
        </row>
        <row r="2414">
          <cell r="A2414">
            <v>2100125814</v>
          </cell>
          <cell r="B2414" t="str">
            <v>B8644474</v>
          </cell>
          <cell r="J2414" t="str">
            <v>INTUITION Кастрюля, 20 см(цветная коробка)</v>
          </cell>
        </row>
        <row r="2415">
          <cell r="A2415">
            <v>2100125815</v>
          </cell>
          <cell r="B2415" t="str">
            <v>B8644674</v>
          </cell>
          <cell r="J2415" t="str">
            <v>INTUITION Кастрюля, 24 см(цветная коробка)</v>
          </cell>
        </row>
        <row r="2416">
          <cell r="A2416">
            <v>2100125813</v>
          </cell>
          <cell r="B2416" t="str">
            <v>B8642274</v>
          </cell>
          <cell r="J2416" t="str">
            <v>INTUITION Ковш 16+крышка (цветная коробка)</v>
          </cell>
        </row>
        <row r="2417">
          <cell r="A2417">
            <v>2100094923</v>
          </cell>
          <cell r="B2417" t="str">
            <v>H1184074</v>
          </cell>
          <cell r="J2417" t="str">
            <v>Гриль круглый 26 SUPREME GUSTO</v>
          </cell>
        </row>
        <row r="2418">
          <cell r="A2418">
            <v>2100095879</v>
          </cell>
          <cell r="B2418" t="str">
            <v>H1180675</v>
          </cell>
          <cell r="J2418" t="str">
            <v>Сковорода 28 SUPREME GUSTO</v>
          </cell>
        </row>
        <row r="2419">
          <cell r="A2419">
            <v>2100095878</v>
          </cell>
          <cell r="B2419" t="str">
            <v>H1180575</v>
          </cell>
          <cell r="J2419" t="str">
            <v>Сковорода 26 SUPREME GUSTO</v>
          </cell>
        </row>
        <row r="2420">
          <cell r="A2420">
            <v>2100094922</v>
          </cell>
          <cell r="B2420" t="str">
            <v>H1180974</v>
          </cell>
          <cell r="J2420" t="str">
            <v>Сковорода блинная 25 SUPREME GUSTO</v>
          </cell>
        </row>
        <row r="2421">
          <cell r="A2421">
            <v>2100094926</v>
          </cell>
          <cell r="B2421" t="str">
            <v>H1180474</v>
          </cell>
          <cell r="J2421" t="str">
            <v>Сковорода 24 SUPREME GUSTO</v>
          </cell>
        </row>
        <row r="2422">
          <cell r="A2422">
            <v>2100094925</v>
          </cell>
          <cell r="B2422" t="str">
            <v>H1180374</v>
          </cell>
          <cell r="J2422" t="str">
            <v>Сковорода 22 SUPREME GUSTO</v>
          </cell>
        </row>
        <row r="2423">
          <cell r="A2423">
            <v>2100098972</v>
          </cell>
          <cell r="B2423" t="str">
            <v>A705S375</v>
          </cell>
          <cell r="J2423" t="str">
            <v xml:space="preserve">DUETTO Набор посуды из нержавеющей стали 6 предметов :  Кастрюля 20/24 с крышками, ковш 16 с крышкой.  </v>
          </cell>
        </row>
        <row r="2424">
          <cell r="A2424">
            <v>2100121274</v>
          </cell>
          <cell r="B2424" t="str">
            <v>G712SA55</v>
          </cell>
          <cell r="J2424" t="str">
            <v>Набор 10 предметов DAILY COOK: Ковш 16 см с крышкой, Кастрюли 18/20/24 см, Кастрюля для пасты 22 см</v>
          </cell>
        </row>
        <row r="2425">
          <cell r="A2425">
            <v>2100121373</v>
          </cell>
          <cell r="B2425" t="str">
            <v>G713SB45</v>
          </cell>
          <cell r="J2425" t="str">
            <v>Набор 11 предметов DAILY COOK: Ковш 16 см, Кастрюли 20/24 см с крышками, Сковорода 28 см, 5 аксессуаров)</v>
          </cell>
        </row>
        <row r="2426">
          <cell r="A2426">
            <v>2100122747</v>
          </cell>
          <cell r="B2426" t="str">
            <v>G713S974</v>
          </cell>
          <cell r="J2426" t="str">
            <v>Набор 9 пр DAILY COOK: Ковш 16/ кастрюли 20/24 + 3 аксс</v>
          </cell>
        </row>
        <row r="2427">
          <cell r="A2427">
            <v>2100121258</v>
          </cell>
          <cell r="B2427" t="str">
            <v>G7124645</v>
          </cell>
          <cell r="J2427" t="str">
            <v>Кастрюля 24 см с крышкой DAILY COOK</v>
          </cell>
        </row>
        <row r="2428">
          <cell r="A2428">
            <v>2100121266</v>
          </cell>
          <cell r="B2428" t="str">
            <v>G7309955</v>
          </cell>
          <cell r="J2428" t="str">
            <v>Сковорода-вок 28 см с крышкой DAILY COOK</v>
          </cell>
        </row>
        <row r="2429">
          <cell r="A2429">
            <v>2100121257</v>
          </cell>
          <cell r="B2429" t="str">
            <v>G7124445</v>
          </cell>
          <cell r="J2429" t="str">
            <v>Кастрюля 20 см с крышкой DAILY COOK</v>
          </cell>
        </row>
        <row r="2430">
          <cell r="A2430">
            <v>2100121263</v>
          </cell>
          <cell r="B2430" t="str">
            <v>G7300655</v>
          </cell>
          <cell r="J2430" t="str">
            <v>Сковорода 28 см DAILY COOK</v>
          </cell>
        </row>
        <row r="2431">
          <cell r="A2431">
            <v>2100121262</v>
          </cell>
          <cell r="B2431" t="str">
            <v>G7300555</v>
          </cell>
          <cell r="J2431" t="str">
            <v>Сковорода 26 см DAILY COOK</v>
          </cell>
        </row>
        <row r="2432">
          <cell r="A2432">
            <v>2100121261</v>
          </cell>
          <cell r="B2432" t="str">
            <v>G7300455</v>
          </cell>
          <cell r="J2432" t="str">
            <v>Сковорода 24 см DAILY COOK</v>
          </cell>
        </row>
        <row r="2433">
          <cell r="A2433">
            <v>2100121260</v>
          </cell>
          <cell r="B2433" t="str">
            <v>G7300255</v>
          </cell>
          <cell r="J2433" t="str">
            <v>Сковорода 20 см DAILY COOK</v>
          </cell>
        </row>
        <row r="2434">
          <cell r="A2434">
            <v>2100121256</v>
          </cell>
          <cell r="B2434" t="str">
            <v>G7122345</v>
          </cell>
          <cell r="J2434" t="str">
            <v>Ковш 18 см с крышкой  Daily cook</v>
          </cell>
        </row>
        <row r="2435">
          <cell r="A2435">
            <v>2100121273</v>
          </cell>
          <cell r="B2435" t="str">
            <v>G7122255</v>
          </cell>
          <cell r="J2435" t="str">
            <v>Ковш 16 см с крышкой DAILY COOK</v>
          </cell>
        </row>
        <row r="2436">
          <cell r="A2436">
            <v>2100121271</v>
          </cell>
          <cell r="B2436" t="str">
            <v>G7313855</v>
          </cell>
          <cell r="J2436" t="str">
            <v>Сковорода для блинов 25 см  Daily cook</v>
          </cell>
        </row>
        <row r="2437">
          <cell r="A2437">
            <v>2100122746</v>
          </cell>
          <cell r="B2437" t="str">
            <v>G712S974</v>
          </cell>
          <cell r="J2437" t="str">
            <v>Daily Cook Набор 9 пр: Ковш 16/ кастрюли 20/24 + 3 аксс</v>
          </cell>
        </row>
        <row r="2438">
          <cell r="A2438">
            <v>2100104255</v>
          </cell>
          <cell r="B2438" t="str">
            <v>E2154034</v>
          </cell>
          <cell r="J2438" t="str">
            <v>Сковорода гриль  26 AROMA</v>
          </cell>
        </row>
        <row r="2439">
          <cell r="A2439">
            <v>1830006929</v>
          </cell>
          <cell r="B2439" t="str">
            <v>VF6210F0</v>
          </cell>
          <cell r="J2439" t="str">
            <v>VF6210F0 Колонный вентилятор</v>
          </cell>
        </row>
        <row r="2440">
          <cell r="A2440">
            <v>1830006444</v>
          </cell>
          <cell r="B2440" t="str">
            <v>VF6670F0</v>
          </cell>
          <cell r="J2440" t="str">
            <v>VF6670F0 Колонный вентилятор</v>
          </cell>
        </row>
        <row r="2441">
          <cell r="A2441">
            <v>7211004581</v>
          </cell>
          <cell r="B2441" t="str">
            <v>BJ551B10</v>
          </cell>
          <cell r="J2441" t="str">
            <v>Чайник заварочный с дисплеем, 8 температурных режимов</v>
          </cell>
        </row>
        <row r="2442">
          <cell r="A2442">
            <v>2100131765</v>
          </cell>
          <cell r="B2442" t="str">
            <v>B4270172</v>
          </cell>
          <cell r="J2442" t="str">
            <v>Сковорода 18 Enjoy Mini  желтая</v>
          </cell>
        </row>
        <row r="2443">
          <cell r="A2443">
            <v>2100131766</v>
          </cell>
          <cell r="B2443" t="str">
            <v>B4280172</v>
          </cell>
          <cell r="J2443" t="str">
            <v>Сковорода 18 Enjoy Mini корраловая</v>
          </cell>
        </row>
        <row r="2444">
          <cell r="A2444">
            <v>2100096216</v>
          </cell>
          <cell r="B2444" t="str">
            <v>K210S514</v>
          </cell>
          <cell r="J2444" t="str">
            <v xml:space="preserve">Набор "Масленица" (венчик, половник, блинная лопатка, ложка, лопатка) </v>
          </cell>
        </row>
        <row r="2445">
          <cell r="A2445">
            <v>2100058869</v>
          </cell>
          <cell r="B2445" t="str">
            <v>K0060612</v>
          </cell>
          <cell r="J2445" t="str">
            <v>Венчик Tefal Enjoy</v>
          </cell>
        </row>
        <row r="2446">
          <cell r="A2446">
            <v>2100057709</v>
          </cell>
          <cell r="B2446" t="str">
            <v>K0060512</v>
          </cell>
          <cell r="J2446" t="str">
            <v>Длинная лопатка Tefal Enjoy</v>
          </cell>
        </row>
        <row r="2447">
          <cell r="A2447">
            <v>2100057708</v>
          </cell>
          <cell r="B2447" t="str">
            <v>K0060412</v>
          </cell>
          <cell r="J2447" t="str">
            <v>Лопатка Tefal Enjoy</v>
          </cell>
        </row>
        <row r="2448">
          <cell r="A2448">
            <v>2100057707</v>
          </cell>
          <cell r="B2448" t="str">
            <v>K0060312</v>
          </cell>
          <cell r="J2448" t="str">
            <v>Угловая лопатка Tefal Enjoy</v>
          </cell>
        </row>
        <row r="2449">
          <cell r="A2449">
            <v>2100057706</v>
          </cell>
          <cell r="B2449" t="str">
            <v>K0060212</v>
          </cell>
          <cell r="J2449" t="str">
            <v>Половник Tefal Enjoy</v>
          </cell>
        </row>
        <row r="2450">
          <cell r="A2450">
            <v>2100057705</v>
          </cell>
          <cell r="B2450" t="str">
            <v>K0060112</v>
          </cell>
          <cell r="J2450" t="str">
            <v>Ложка Tefal Enjoy</v>
          </cell>
        </row>
        <row r="2451">
          <cell r="A2451">
            <v>2100077449</v>
          </cell>
          <cell r="B2451" t="str">
            <v>K0260614</v>
          </cell>
          <cell r="J2451" t="str">
            <v>Щипцы Tefal Enjoy</v>
          </cell>
        </row>
        <row r="2452">
          <cell r="A2452">
            <v>2100069900</v>
          </cell>
          <cell r="B2452" t="str">
            <v>K0260514</v>
          </cell>
          <cell r="J2452" t="str">
            <v>Угловая лопатка Tefal Enjoy</v>
          </cell>
        </row>
        <row r="2453">
          <cell r="A2453">
            <v>2100069899</v>
          </cell>
          <cell r="B2453" t="str">
            <v>K0260314</v>
          </cell>
          <cell r="J2453" t="str">
            <v xml:space="preserve">Шумовка-картофелемялка Tefal Enjoy </v>
          </cell>
        </row>
        <row r="2454">
          <cell r="A2454">
            <v>2100124406</v>
          </cell>
          <cell r="B2454" t="str">
            <v>K0060614</v>
          </cell>
          <cell r="J2454" t="str">
            <v>Венчик Enjoy пластик. Tefal. Цвет: cерый</v>
          </cell>
        </row>
        <row r="2455">
          <cell r="A2455">
            <v>2100117531</v>
          </cell>
          <cell r="B2455" t="str">
            <v>E3007704</v>
          </cell>
          <cell r="J2455" t="str">
            <v>EMOTION ВОК  26</v>
          </cell>
        </row>
        <row r="2456">
          <cell r="A2456">
            <v>2100117988</v>
          </cell>
          <cell r="B2456" t="str">
            <v>E3000604</v>
          </cell>
          <cell r="J2456" t="str">
            <v>EMOTION Сковорода  28</v>
          </cell>
        </row>
        <row r="2457">
          <cell r="A2457">
            <v>2100117991</v>
          </cell>
          <cell r="B2457" t="str">
            <v>E3014524</v>
          </cell>
          <cell r="J2457" t="str">
            <v>EMOTION Кастрюля 20 + крышка</v>
          </cell>
        </row>
        <row r="2458">
          <cell r="A2458">
            <v>2100117533</v>
          </cell>
          <cell r="B2458" t="str">
            <v>E3000504</v>
          </cell>
          <cell r="J2458" t="str">
            <v>EMOTION Сковорода 26</v>
          </cell>
        </row>
        <row r="2459">
          <cell r="A2459">
            <v>2100117987</v>
          </cell>
          <cell r="B2459" t="str">
            <v>E3000404</v>
          </cell>
          <cell r="J2459" t="str">
            <v>EMOTION Сковорода 24</v>
          </cell>
        </row>
        <row r="2460">
          <cell r="A2460">
            <v>2100117990</v>
          </cell>
          <cell r="B2460" t="str">
            <v>E3012224</v>
          </cell>
          <cell r="J2460" t="str">
            <v>EMOTION Ковш 16 + крышка</v>
          </cell>
        </row>
        <row r="2461">
          <cell r="A2461">
            <v>2100117440</v>
          </cell>
          <cell r="B2461" t="str">
            <v>E3012174</v>
          </cell>
          <cell r="J2461" t="str">
            <v>EMOTION Ковш 14 + крышка</v>
          </cell>
        </row>
        <row r="2462">
          <cell r="A2462">
            <v>3100503692</v>
          </cell>
          <cell r="B2462">
            <v>503692</v>
          </cell>
          <cell r="J2462" t="str">
            <v xml:space="preserve">Заварочный термос-чайник ELLIPSE 1 л </v>
          </cell>
        </row>
        <row r="2463">
          <cell r="A2463">
            <v>2100137362</v>
          </cell>
          <cell r="B2463" t="str">
            <v>H8742155</v>
          </cell>
          <cell r="J2463" t="str">
            <v>Ковш 14 см с крышкой Elementary Mini's</v>
          </cell>
        </row>
        <row r="2464">
          <cell r="A2464">
            <v>2100137364</v>
          </cell>
          <cell r="B2464" t="str">
            <v>H8744255</v>
          </cell>
          <cell r="J2464" t="str">
            <v>Кастрюля 16 см с крышкой Elementary Mini's</v>
          </cell>
        </row>
        <row r="2465">
          <cell r="A2465">
            <v>2100137365</v>
          </cell>
          <cell r="B2465" t="str">
            <v>H8730155</v>
          </cell>
          <cell r="J2465" t="str">
            <v xml:space="preserve">Сковорода 18 см Elementary Mini's </v>
          </cell>
        </row>
        <row r="2466">
          <cell r="A2466">
            <v>7211002851</v>
          </cell>
          <cell r="B2466" t="str">
            <v>KI280D30</v>
          </cell>
          <cell r="J2466" t="str">
            <v>Чайник Tefal  Element, объем 1,7 литра, мощность 2400 Вт, скрытый нагревательный элемент, съемный фильтр против накипи, вращение на подставке на 360 градусов,  индикатор уровня воды, удобное открытие крышки, индикация включения, корпус: нержавеющая сталь.</v>
          </cell>
        </row>
        <row r="2467">
          <cell r="A2467">
            <v>3100502489</v>
          </cell>
          <cell r="B2467">
            <v>502489</v>
          </cell>
          <cell r="J2467" t="str">
            <v>Термос-чайник ELEGANZA 1 л нерж.сталь</v>
          </cell>
        </row>
        <row r="2468">
          <cell r="A2468">
            <v>3100502664</v>
          </cell>
          <cell r="B2468">
            <v>502664</v>
          </cell>
          <cell r="J2468" t="str">
            <v>Термос-чайник ELEGANZA 1.3л нерж.сталь</v>
          </cell>
        </row>
        <row r="2469">
          <cell r="A2469">
            <v>1500636319</v>
          </cell>
          <cell r="B2469" t="str">
            <v>JU385H30</v>
          </cell>
          <cell r="J2469" t="str">
            <v>СОКОВЫЖИМАЛКА ELEA DUO 2 В ОДНОМ: ЦЕНТРИФ.+ЦИТРУС., МАКС МОЩНОСТЬ 500 ВТ, НОМИН.МОЩНОСТЬ 300 ВТ, ДИАМЕТР ЗАГРУЗОЧНОГО ОТВЕРСТИЯ 53 ММ, 2 СКОРОСТИ, ИНТЕГРИРОВАННЫЙ РЕЗЕРВУАР ДЛЯ МЯКОТИ 0,7Л, НОСИК С ФУНКЦИЕЙ КАПЛЯ-СТОП, ЩЕТКА ДЛЯ ОЧИСТКИ, ЦВЕТ СЕРЕБРИСТЫЙ МЕТАЛЛИК С ЧЕРНЫМИ ВСТАВКАМИ</v>
          </cell>
        </row>
        <row r="2470">
          <cell r="A2470">
            <v>7211003291</v>
          </cell>
          <cell r="B2470" t="str">
            <v>RK807D32</v>
          </cell>
          <cell r="J2470" t="str">
            <v xml:space="preserve">Мультиварка: индукционный нагрев, объем 5 л, мощность 1200 Вт, 44 режима,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отсрочка старта до 24 часов; автоподогрев и возможность его отмены перед началом приготовления, возможность отключения звука; съемная 2мм 6ти слойная сферическая чаша с антипригарным покрытием покрытием, корзина для приготовления на пару, мерная чашка и специальные ложки для супа и риса, книга рецептов в комплекте. </v>
          </cell>
        </row>
        <row r="2471">
          <cell r="A2471">
            <v>1830006290</v>
          </cell>
          <cell r="B2471" t="str">
            <v>GV6830E0</v>
          </cell>
          <cell r="J2471" t="str">
            <v>GV6830E0 ПАРОГЕНЕРАТОР</v>
          </cell>
        </row>
        <row r="2472">
          <cell r="A2472">
            <v>1830006291</v>
          </cell>
          <cell r="B2472" t="str">
            <v>GV6840E0</v>
          </cell>
          <cell r="J2472" t="str">
            <v>ПАРОГЕНЕРАТОР С БОЙЛЕРОМ EFFECTIS ANTI-CALC, ВРЕМЯ НАГРЕВА ВОДЫ 2 МИНУТЫ, ОДНА НАСТРОЙКА БЕЗОПАСНАЯ ДЛЯ ВСЕХ ТИПОВТ ТКАНЕЙ.  ДАВЛЕНИЕ 6,5 БАР, ПОСТОЯННЫЙ ПАР 100 Г/МИН, ПАРОВОЙ УДАР 300 Г/МИН, САМООЧИЩАЮЩАЯСЯ ПОДОШВА INJEKT AUTOCLEAN, АВТООТКЛЮЧЕНИЕ, ЭКО-ФУНКЦИЯ, КОЛЛЕКТОР ДЛЯ СБОРА НАКИПИ В БОЙЛЕРЕ, СИСТЕМА ЗАЩЕЛКИВАНИЯ УТЮГА,  РЕЗЕРВУАР ДЛЯ ВОДЫ 1,4 Л, МОЩНОСТЬ 2200 ВТ,  ДОЛИВ ВОДЫ В РЕЗЕРВУАР В ЛЮБОЙ МОМЕНТ, CПЕЦИАЛЬНЫЙ ОТСЕК ДЛЯ УДОБНОГО ХРАНЕНИЯ ШЛАНГА, СДЕЛАНО ВО ФРАНЦИИ</v>
          </cell>
        </row>
        <row r="2473">
          <cell r="A2473">
            <v>2100123684</v>
          </cell>
          <cell r="B2473" t="str">
            <v>G7380474</v>
          </cell>
          <cell r="J2473" t="str">
            <v>Сковорда 24 Edition</v>
          </cell>
        </row>
        <row r="2474">
          <cell r="A2474">
            <v>2100123685</v>
          </cell>
          <cell r="B2474" t="str">
            <v>G7380574</v>
          </cell>
          <cell r="J2474" t="str">
            <v>Сковорода 26 Edition</v>
          </cell>
        </row>
        <row r="2475">
          <cell r="A2475">
            <v>2100123686</v>
          </cell>
          <cell r="B2475" t="str">
            <v>G7380674</v>
          </cell>
          <cell r="J2475" t="str">
            <v>Сковорода 28 Edition</v>
          </cell>
        </row>
        <row r="2476">
          <cell r="A2476">
            <v>2100123765</v>
          </cell>
          <cell r="B2476" t="str">
            <v>G7393874</v>
          </cell>
          <cell r="J2476" t="str">
            <v>Сковорода для блинов 25 Edition</v>
          </cell>
        </row>
        <row r="2477">
          <cell r="A2477">
            <v>2100123687</v>
          </cell>
          <cell r="B2477" t="str">
            <v>G7402274</v>
          </cell>
          <cell r="J2477" t="str">
            <v>Ковш 16 Edition</v>
          </cell>
        </row>
        <row r="2478">
          <cell r="A2478">
            <v>2100123688</v>
          </cell>
          <cell r="B2478" t="str">
            <v>G7404474</v>
          </cell>
          <cell r="J2478" t="str">
            <v>Кастрюля 20 + крышка Edition</v>
          </cell>
        </row>
        <row r="2479">
          <cell r="A2479">
            <v>2100123689</v>
          </cell>
          <cell r="B2479" t="str">
            <v>G7404674</v>
          </cell>
          <cell r="J2479" t="str">
            <v>Кастрюля 24 + крышка Edition</v>
          </cell>
        </row>
        <row r="2480">
          <cell r="A2480">
            <v>1830008951</v>
          </cell>
          <cell r="B2480" t="str">
            <v>DG9661F0</v>
          </cell>
          <cell r="J2480" t="str">
            <v>Самый эффективный и экологичный - парогенератор Eco Steam Pro идеально сочетает лучшее от двух
миров. Глажение в режиме Eco потребляет до 50% меньше электроэнергии*** без потерь в
эффективности благодаря давлению 7.8 бар, постоянной подаче пара 150 г/мин и паровому удару 600
г/мин для быстрого разглаживания самых стойких заломов. Прибор создан с вниманием к природе: он на
42% состоит из переработанных материалов, 85% из которых можно повторно переработать.</v>
          </cell>
        </row>
        <row r="2481">
          <cell r="A2481">
            <v>1830008950</v>
          </cell>
          <cell r="B2481" t="str">
            <v>DG9640F0</v>
          </cell>
          <cell r="J2481" t="str">
            <v>парогенератор Rowenta Eco Steam Pro Steam Generator Iron давление пара 8 бар , подача пара 140 , паровой удар 580</v>
          </cell>
        </row>
        <row r="2482">
          <cell r="A2482">
            <v>1830008949</v>
          </cell>
          <cell r="B2482" t="str">
            <v>DG9621F0</v>
          </cell>
          <cell r="J2482" t="str">
            <v>парогенератор Rowenta Eco Steam Pro Steam Generator Iron давление пара 7,8 бар , подача пара 140 , паровой удар 500</v>
          </cell>
        </row>
        <row r="2483">
          <cell r="A2483">
            <v>1830008947</v>
          </cell>
          <cell r="B2483" t="str">
            <v>DG9610F0</v>
          </cell>
          <cell r="J2483" t="str">
            <v>парогенератор Rowenta Eco Steam Pro Steam Generator Iron давление пара 7,6 бар , подача пара 140 , паровой удар 460</v>
          </cell>
        </row>
        <row r="2484">
          <cell r="A2484">
            <v>1830008948</v>
          </cell>
          <cell r="B2484" t="str">
            <v>DG9611F0</v>
          </cell>
          <cell r="J2484" t="str">
            <v>парогенератор Rowenta Eco Steam Pro Steam Generator Iron давление пара 7,4 бар , подача пара 140 , паровой удар 480</v>
          </cell>
        </row>
        <row r="2485">
          <cell r="A2485">
            <v>1510002089</v>
          </cell>
          <cell r="B2485" t="str">
            <v>DJ77EN10</v>
          </cell>
          <cell r="J2485" t="str">
            <v>Овощерезка Eco Respect на 90% сделана из переработанного пластика. Произведена во Франции, мощность 200 Вт, 3 насадки: терка, нарезка, терка для сыра, 1 скорость, прямая подача, 18% экономии энергии при использовании.</v>
          </cell>
        </row>
        <row r="2486">
          <cell r="A2486">
            <v>1110030521</v>
          </cell>
          <cell r="B2486" t="str">
            <v>DW6020D1</v>
          </cell>
          <cell r="J2486" t="str">
            <v>УТЮГ С ПАРОМ FOCUS, 2400 ВТ, ПОДОШВА MICROSTEAM 400 3D, ЭКО-РЕЖИМ,  ЗАОСТРЕННЫЙ НОСИК HIGH PRECISION, АВТООТКЛЮЧЕНИЕ, ПАРОВОЙ УДАР 180 Г/МИН, РЕГУЛИРУЕМЫЙ ПАР 0-40 Г/МИН, ВЕРТИКАЛЬНЫЙ ПАР, ФУНКЦИЯ САМООЧИСТКИ, КАПЛЯ-СТОП, ВСТРОЕННАЯ ЗАЩИТА ОТ НАКИПИ, КОМФОРТНАЯ РУЧКА, РЕЗЕРВУАР ДЛЯ ВОДЫ 300 МЛ, ШНУР 2 М</v>
          </cell>
        </row>
        <row r="2487">
          <cell r="A2487">
            <v>1830008189</v>
          </cell>
          <cell r="B2487" t="str">
            <v>QF5030F0</v>
          </cell>
          <cell r="J2487" t="str">
            <v>Воздухоочиститель ECLIPSE 2IN1 BLADELESS PURIFYING FAN, очищение воздуха на 99,99%, интенсивное охлаждение</v>
          </cell>
        </row>
        <row r="2488">
          <cell r="A2488">
            <v>1830008496</v>
          </cell>
          <cell r="B2488" t="str">
            <v>SF161LF0</v>
          </cell>
          <cell r="J2488" t="str">
            <v>Выпрямитель: Функции:Локоны, кудри; Размер пластин:[9x2,5 mm mm]; 1 температурная настройка 200 °C; Автоотключение:[60 min]; Время нагрева:[60 s]; Плавающие пластины:Да; Ионный генератор:; Покрытие пластин:Покрытие пластин с кератином и турмалином</v>
          </cell>
        </row>
        <row r="2489">
          <cell r="A2489">
            <v>1830007946</v>
          </cell>
          <cell r="B2489" t="str">
            <v>SF1612F0</v>
          </cell>
          <cell r="J2489" t="str">
            <v xml:space="preserve">Выпрямитель                     </v>
          </cell>
        </row>
        <row r="2490">
          <cell r="A2490">
            <v>1830008391</v>
          </cell>
          <cell r="B2490" t="str">
            <v>SF1629F0</v>
          </cell>
          <cell r="J2490" t="str">
            <v>SF1629F0 выпрямитель: Функции:Локоны, кудри; Размер пластин:[9x2,5 mm mm]; Выбор температурных режимов:[1 setting : 200 °C]; Автоотключение:[60 min]; Время нагрева:[60 s]; Плавающие пластины:Да; Ионный генератор:; Покрытие пластин:Покрытие пластин с кератином и турмалином</v>
          </cell>
        </row>
        <row r="2491">
          <cell r="A2491">
            <v>1830008739</v>
          </cell>
          <cell r="B2491" t="str">
            <v>SF1628F0</v>
          </cell>
          <cell r="J2491" t="str">
            <v>Выпрямитель Rowenta Easyliss Pure Collection, SF1628F0, Удобное управление одной кнопкой</v>
          </cell>
        </row>
        <row r="2492">
          <cell r="A2492">
            <v>1830008182</v>
          </cell>
          <cell r="B2492" t="str">
            <v>SF1627F0</v>
          </cell>
          <cell r="J2492" t="str">
            <v>SF1627F0 выпрямитель: Функции:Локоны, кудри; Размер пластин:[9x2,5 mm mm]; Выбор температурных режимов:[1 setting : 200 °C]; Автоотключение:[60 min]; Время нагрева:[60 s]; Плавающие пластины:Да; Ионный генератор:; Покрытие пластин:Покрытие пластин с кератином и турмалином</v>
          </cell>
        </row>
        <row r="2493">
          <cell r="A2493">
            <v>1830007789</v>
          </cell>
          <cell r="B2493" t="str">
            <v>SF1526F0</v>
          </cell>
          <cell r="J2493" t="str">
            <v>Выпрямитель Easyliss • Керамическое покрытие • Плавающие пластины • Ширина пластин: 25 мм • Быстрый нагрев до 60 сек. • Вращающийся шнур • Автоотключение через 60 сек.</v>
          </cell>
        </row>
        <row r="2494">
          <cell r="A2494">
            <v>1830007378</v>
          </cell>
          <cell r="B2494" t="str">
            <v>SF1525F0</v>
          </cell>
          <cell r="J2494" t="str">
            <v>Выпрямитель Mozaic • Керамическое покрытие • Плавающие пластины • Ширина пластин: 25 мм • Быстрый нагрев до 60 сек. • Вращающийся шнур • Автоотключение через 60 сек.</v>
          </cell>
        </row>
        <row r="2495">
          <cell r="A2495">
            <v>1830007098</v>
          </cell>
          <cell r="B2495" t="str">
            <v>SF1519F0</v>
          </cell>
          <cell r="J2495" t="str">
            <v>Выпрямитель Copper collection</v>
          </cell>
        </row>
        <row r="2496">
          <cell r="A2496">
            <v>1830006616</v>
          </cell>
          <cell r="B2496" t="str">
            <v>SF1516F0</v>
          </cell>
          <cell r="J2496" t="str">
            <v xml:space="preserve">Выпрямитель Lipsctick red </v>
          </cell>
        </row>
        <row r="2497">
          <cell r="A2497">
            <v>1830006388</v>
          </cell>
          <cell r="B2497" t="str">
            <v>SF1515F0</v>
          </cell>
          <cell r="J2497" t="str">
            <v>SF1515F0 Выпрямитель</v>
          </cell>
        </row>
        <row r="2498">
          <cell r="A2498">
            <v>1830005712</v>
          </cell>
          <cell r="B2498" t="str">
            <v>SF1512F0</v>
          </cell>
          <cell r="J2498" t="str">
            <v>Выпрямитель Elite Toumaline Compact: температура нагрева 210 градусов, покрытие пластин - керамика + турмалин, компактный размер, дизайн Elite Model Look.</v>
          </cell>
        </row>
        <row r="2499">
          <cell r="A2499">
            <v>1830007960</v>
          </cell>
          <cell r="B2499" t="str">
            <v>SF1500D8</v>
          </cell>
          <cell r="J2499" t="str">
            <v>Выпрямитель • Керамическое покрытие</v>
          </cell>
        </row>
        <row r="2500">
          <cell r="A2500">
            <v>1830008783</v>
          </cell>
          <cell r="B2500" t="str">
            <v>FV5780E1</v>
          </cell>
          <cell r="J2500" t="str">
            <v>Утюг Tefal Focus мощностью 2800 ,постоянная подача пара 50гр, паровой удар 240</v>
          </cell>
        </row>
        <row r="2501">
          <cell r="A2501">
            <v>1830007452</v>
          </cell>
          <cell r="B2501" t="str">
            <v>FV5715E0</v>
          </cell>
          <cell r="J2501" t="str">
            <v>УТЮГ EASYGLISS, 2500 ВТ, ПОДОШВА DURILIUM AIRGLIDE , РЕГУЛИРУЕМЫЙ ПАР 0-45Г/МИН, ПАРОВОЙ УДАР 190 Г/МИН, ПРОТИВОКАПЕЛЬНАЯ СИСТЕМА, ВЕРТИКАЛЬНЫЙ ПАР, CИСТЕМА EASYCORD, РЕЗЕРВУАР ДЛЯ ВОДЫ 270 МЛ, СИСТЕМА ЗАЩИТЫ ОТ НАКИПИ, СПРЕЙ</v>
          </cell>
        </row>
        <row r="2502">
          <cell r="A2502">
            <v>1830007573</v>
          </cell>
          <cell r="B2502" t="str">
            <v>FV5716E0</v>
          </cell>
          <cell r="J2502" t="str">
            <v>Утюг Easygliss, 2500 Вт, подошва Durilium Airglide , регулируемый пар 0-45г/мин, паровой удар 195 г/мин, противокапельная система, вертикальный пар, cистема Easycord, резервуар для воды 270 мл, система защиты от накипи, спрей, цвет белый/фиолетовый</v>
          </cell>
        </row>
        <row r="2503">
          <cell r="A2503">
            <v>1830007574</v>
          </cell>
          <cell r="B2503" t="str">
            <v>FV5717E0</v>
          </cell>
          <cell r="J2503" t="str">
            <v>Утюг Easygliss, 2500 Вт, подошва Durilium Airglide , регулируемый пар 0-45г/мин, паровой удар 195 г/мин, противокапельная система, вертикальный пар, cистема Easycord, резервуар для воды 270 мл, система защиты от накипи, спрей, цвет белый/бордовый</v>
          </cell>
        </row>
        <row r="2504">
          <cell r="A2504">
            <v>1830007569</v>
          </cell>
          <cell r="B2504" t="str">
            <v>FV5718E0</v>
          </cell>
          <cell r="J2504" t="str">
            <v>УТЮГ EASYGLISS, 2500 ВТ, ПОДОШВА DURILIUM AIRGLIDE , РЕГУЛИРУЕМЫЙ ПАР 0-45Г/МИН, ПАРОВОЙ УДАР 195 Г/МИН, ПРОТИВОКАПЕЛЬНАЯ СИСТЕМА, ВЕРТИКАЛЬНЫЙ ПАР, CИСТЕМА EASYCORD, РЕЗЕРВУАР ДЛЯ ВОДЫ 270 МЛ, СИСТЕМА ЗАЩИТЫ ОТ НАКИПИ, СПРЕЙ, ЦВЕТ БЕЛЫЙ/БИРЮЗОВЫЙ</v>
          </cell>
        </row>
        <row r="2505">
          <cell r="A2505">
            <v>1830007849</v>
          </cell>
          <cell r="B2505" t="str">
            <v>FV5720E0</v>
          </cell>
          <cell r="J2505" t="str">
            <v>УТЮГ EASYGLISS, 2500 ВТ, ПОДОШВА DURILIUM AIRGLIDE , РЕГУЛИРУЕМЫЙ ПАР 0-45Г/МИН, ПАРОВОЙ УДАР 190 Г/МИН, ПРОТИВОКАПЕЛЬНАЯ СИСТЕМА, ВЕРТИКАЛЬНЫЙ ПАР, CИСТЕМА EASYCORD, РЕЗЕРВУАР ДЛЯ ВОДЫ 270 МЛ, СИСТЕМА ЗАЩИТЫ ОТ НАКИПИ, СПРЕЙ</v>
          </cell>
        </row>
        <row r="2506">
          <cell r="A2506">
            <v>1830007453</v>
          </cell>
          <cell r="B2506" t="str">
            <v>FV5735E0</v>
          </cell>
          <cell r="J2506" t="str">
            <v>УТЮГ EASYGLISS, 2500 ВТ, ПОДОШВА DURILIUM AIRGLIDE, РЕГУЛИРУЕМЫЙ ПАР 0-45Г/МИН, ПАРОВОЙ УДАР 220 Г/МИН, АВТООТКЛЮЧЕНИЕ, ПРОТИВОКАПЕЛЬНАЯ СИСТЕМА, ВЕРТИКАЛЬНЫЙ ПАР, CИСТЕМА EASYCORD, РЕЗЕРВУАР ДЛЯ ВОДЫ 270 МЛ, СИСТЕМА ЗАЩИТЫ ОТ НАКИПИ, СПРЕЙ, ЦВЕТ БЕЛЫЙ/СИНИЙ</v>
          </cell>
        </row>
        <row r="2507">
          <cell r="A2507">
            <v>1830008076</v>
          </cell>
          <cell r="B2507" t="str">
            <v>FV5736E0</v>
          </cell>
          <cell r="J2507" t="str">
            <v>УТЮГ EASYGLISS 2, 2500 ВТ, ФИРМЕННАЯ ПОДОШВА DURILIUM AIRGLIDE, РЕГУЛИРУЕМЫЙ ПАР 0-45 Г/МИН, ПАРОВОЙ УДАР 220 Г/МИН, АВТООТКЛЮЧЕНИЕ, ПРОТИВОКАПЕЛЬНАЯ СИСТЕМА, ВЕРТИКАЛЬНЫЙ ПАР, РЕЗЕРВУАР ДЛЯ ВОДЫ 270 МЛ, САМООЧИСТКА, ПРОТИВОИЗВЕСТКОВЫЙ СТЕРЖЕНЬ, АВТОНАСТРОЙКА СИЛЫ ПАРА, СПРЕЙ, УСТОЙЧИВАЯ ОТКРЫТАЯ ПЯТКА УТЮГА, ДЛИНА ШНУРА ПИТАНИЯ 2 МЕТРА,  СДЕЛАНО ВО ФРАНЦИИ</v>
          </cell>
        </row>
        <row r="2508">
          <cell r="A2508">
            <v>1830007584</v>
          </cell>
          <cell r="B2508" t="str">
            <v>FV5737E0</v>
          </cell>
          <cell r="J2508" t="str">
            <v>УТЮГ EASYGLISS, 2500 ВТ, ПОДОШВА DURILIUM AIRGLIDE , РЕГУЛИРУЕМЫЙ ПАР 0-45Г/МИН, ПАРОВОЙ УДАР 220 Г/МИН, АВТООТКЛЮЧЕНИЕ, ПРОТИВОКАПЕЛЬНАЯ СИСТЕМА, ВЕРТИКАЛЬНЫЙ ПАР, CИСТЕМА EASYCORD, РЕЗЕРВУАР ДЛЯ ВОДЫ 270 МЛ, СИСТЕМА ЗАЩИТЫ ОТ НАКИПИ, СПРЕЙ, ЦВЕТ БЕЛЫЙ/БИРЮЗОВЫЙ</v>
          </cell>
        </row>
        <row r="2509">
          <cell r="A2509">
            <v>1830008461</v>
          </cell>
          <cell r="B2509" t="str">
            <v>FV5770E0</v>
          </cell>
          <cell r="J2509" t="str">
            <v>УТЮГ EASYGLISS, 2700 ВТ, ПОДОШВА DURILIUM AIRGLIDE ,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СПРЕЙ</v>
          </cell>
        </row>
        <row r="2510">
          <cell r="A2510">
            <v>1830008444</v>
          </cell>
          <cell r="B2510" t="str">
            <v>FV5771E0</v>
          </cell>
          <cell r="J2510" t="str">
            <v>УТЮГ EASYGLISS, 2700 ВТ, ПОДОШВА DURILIUM AIRGLIDE ,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СПРЕЙ</v>
          </cell>
        </row>
        <row r="2511">
          <cell r="A2511">
            <v>1830008441</v>
          </cell>
          <cell r="B2511" t="str">
            <v>FV5772E0</v>
          </cell>
          <cell r="J2511" t="str">
            <v>УТЮГ EASYGLISS, 2700 ВТ, ПОДОШВА DURILIUM AIRGLIDE , РЕГУЛИРУЕМЫЙ ПАР 0-50Г/МИН, ПАРОВОЙ УДАР 240 Г/МИН, АВТООТКЛЮЧЕНИЕ, ПРОТИВОКАПЕЛЬНАЯ СИСТЕМА, ВЕРТИКАЛЬНЫЙ ПАР, CИСТЕМА EASYCORD, РЕЗЕРВУАР ДЛЯ ВОДЫ 270 МЛ, СИСТЕМА ЗАЩИТЫ ОТ НАКИПИ, СПРЕЙ</v>
          </cell>
        </row>
        <row r="2512">
          <cell r="A2512">
            <v>1830009503</v>
          </cell>
          <cell r="B2512" t="str">
            <v>FV5723E0</v>
          </cell>
          <cell r="J2512" t="str">
            <v>Утюг Tefal easygliss plus с мощностью 2400, время нагрева 45с , подача пара 190</v>
          </cell>
        </row>
        <row r="2513">
          <cell r="A2513">
            <v>1830006847</v>
          </cell>
          <cell r="B2513" t="str">
            <v>FV3952E0</v>
          </cell>
          <cell r="J2513" t="str">
            <v>УТЮГ EASYGLISS, 2400 ВТ, ПОДОШВА DURILIUM AIRGLIDE, РЕГУЛИРУЕМЫЙ ПАР 0-35Г/МИН, ПАРОВОЙ УДАР 125 Г/МИН, ПРОТИВОКАПЕЛЬНАЯ СИСТЕМА, ВЕРТИКАЛЬНЫЙ ПАР, CИСТЕМА EASYCORD, РЕЗЕРВУАР ДЛЯ ВОДЫ 270 МЛ, СИСТЕМА ЗАЩИТЫ ОТ НАКИПИ, САМООЧИСТКА, СПРЕЙ, СДЕЛАНО ВО ФРАНЦИИ</v>
          </cell>
        </row>
        <row r="2514">
          <cell r="A2514">
            <v>1830006853</v>
          </cell>
          <cell r="B2514" t="str">
            <v>FV3962E0</v>
          </cell>
          <cell r="J2514" t="str">
            <v>УТЮГ EASYGLISS, 2400 ВТ, ПОДОШВА DURILIUM AIRGLIDE, РЕГУЛИРУЕМЫЙ ПАР 0-35Г/МИН, ПАРОВОЙ УДАР 140 Г/МИН, ПРОТИВОКАПЕЛЬНАЯ СИСТЕМА, ВЕРТИКАЛЬНЫЙ ПАР, CИСТЕМА EASYCORD, РЕЗЕРВУАР ДЛЯ ВОДЫ 270 МЛ, СИСТЕМА ЗАЩИТЫ ОТ НАКИПИ, САМООЧИСТКА, СПРЕЙ, СДЕЛАНО ВО ФРАНЦИИ</v>
          </cell>
        </row>
        <row r="2515">
          <cell r="A2515">
            <v>1830006854</v>
          </cell>
          <cell r="B2515" t="str">
            <v>FV3965E0</v>
          </cell>
          <cell r="J2515" t="str">
            <v>УТЮГ EASYGLISS, 2400 ВТ, ПОДОШВА DURILIUM AIRGLIDE, РЕГУЛИРУЕМЫЙ ПАР 0-35Г/МИН, ПАРОВОЙ УДАР 145 Г/МИН, ПРОТИВОКАПЕЛЬНАЯ СИСТЕМА, ВЕРТИКАЛЬНЫЙ ПАР, CИСТЕМА EASYCORD, РЕЗЕРВУАР ДЛЯ ВОДЫ 270 МЛ, СИСТЕМА ЗАЩИТЫ ОТ НАКИПИ, САМООЧИСТКА, СПРЕЙ, СДЕЛАНО ВО ФРАНЦИИ</v>
          </cell>
        </row>
        <row r="2516">
          <cell r="A2516">
            <v>1830006855</v>
          </cell>
          <cell r="B2516" t="str">
            <v>FV3970E0</v>
          </cell>
          <cell r="J2516" t="str">
            <v>УТЮГ EASYGLISS, 2400 ВТ, ПОДОШВА DURILIUM AIRGLIDE, РЕГУЛИРУЕМЫЙ ПАР 0-35Г/МИН, ПАРОВОЙ УДАР 120 Г/МИН, АВТООТКЛЮЧЕНИЕ, ПРОТИВОКАПЕЛЬНАЯ СИСТЕМА, ВЕРТИКАЛЬНЫЙ ПАР, CИСТЕМА EASYCORD, РЕЗЕРВУАР ДЛЯ ВОДЫ 270 МЛ, СИСТЕМА ЗАЩИТЫ ОТ НАКИПИ, САМООЧИСТКА, СПРЕЙ, СДЕЛАНО ВО ФРАНЦИИ</v>
          </cell>
        </row>
        <row r="2517">
          <cell r="A2517">
            <v>7211004114</v>
          </cell>
          <cell r="B2517" t="str">
            <v>FP245810</v>
          </cell>
          <cell r="J2517" t="str">
            <v>КУХОННЫЙ КОМБАЙН EASYFORCE, ЦВЕТ - БЕЛЫЙ, 800 ВТ, ЧАША 2,4 Л (ПОЛЕЗНЫЙ ОБЪЕМ 1,4 Л), 2 СКОРОСТИ+ИМПУЛЬСНЫЙ РЕЖИМ</v>
          </cell>
        </row>
        <row r="2518">
          <cell r="A2518">
            <v>7211003391</v>
          </cell>
          <cell r="B2518" t="str">
            <v>FP244110</v>
          </cell>
          <cell r="J2518" t="str">
            <v>КУХОННЫЙ КОМБАЙН EASYFORCE, ЦВЕТ - БЕЛЫЙ, 700 ВТ, ЧАША 2,4 Л (ПОЛЕЗНЫЙ ОБЪЕМ 1,4 Л), 2 СКОРОСТИ+ИМПУЛЬСНЫЙ РЕЖИМ, 2 НАСАДКИ ДЛЯ ТЕРКИ И ШИНКОВКИ, СТАЛЬНЫЕ ЛЕЗВИЯ ДЛЯ ИЗМЕЛЬЧЕНИЯ / ЗАМЕШИВАНИЯ, ЭМУЛЬСИОННЫЙ ДИСК ДЛЯ ВЗБИВАНИЯ. СДЕЛАНО В КИТАЕ.
КУХОННЫЙ КОМБАЙН EASYFORCE, ЦВЕТ - БЕЛЫЙ, 700 ВТ, ЧАША 2,4 Л (ПОЛЕЗНЫЙ ОБЪЕМ 1,4 Л), 2 СКОРОСТИ+ИМПУЛЬСНЫЙ РЕЖИМ, 2 НАСАДКИ ДЛЯ ТЕРКИ И ШИНКОВКИ, СТАЛЬНЫЕ ЛЕЗВИЯ ДЛЯ ИЗМЕЛЬЧЕНИЯ / ЗАМЕШИВАНИЯ, ЭМУЛЬСИОННЫЙ ДИСК ДЛЯ ВЗБИВАНИЯ. СДЕЛАНО В КИТАЕ.</v>
          </cell>
        </row>
        <row r="2519">
          <cell r="A2519">
            <v>3110600913</v>
          </cell>
          <cell r="B2519" t="str">
            <v>N2110417</v>
          </cell>
          <cell r="J2519" t="str">
            <v>Термокружка Tefal Easy2Go 0,5 л зелёная</v>
          </cell>
        </row>
        <row r="2520">
          <cell r="A2520">
            <v>3110600912</v>
          </cell>
          <cell r="B2520" t="str">
            <v>N2110317</v>
          </cell>
          <cell r="J2520" t="str">
            <v>Термокружка Tefal Easy2Go 0,5 л винная</v>
          </cell>
        </row>
        <row r="2521">
          <cell r="A2521">
            <v>3110600911</v>
          </cell>
          <cell r="B2521" t="str">
            <v>N2110217</v>
          </cell>
          <cell r="J2521" t="str">
            <v>Термокружка Tefal Easy2Go 0,5 л синяя</v>
          </cell>
        </row>
        <row r="2522">
          <cell r="A2522">
            <v>3110600910</v>
          </cell>
          <cell r="B2522" t="str">
            <v>N2110117</v>
          </cell>
          <cell r="J2522" t="str">
            <v>Термокружка Tefal Easy2Go 0,5 л чёрная</v>
          </cell>
        </row>
        <row r="2523">
          <cell r="A2523">
            <v>3110601403</v>
          </cell>
          <cell r="B2523" t="str">
            <v>N2180117</v>
          </cell>
          <cell r="J2523" t="str">
            <v>Термос 0.5 л из нержающей стали</v>
          </cell>
        </row>
        <row r="2524">
          <cell r="A2524">
            <v>3110601404</v>
          </cell>
          <cell r="B2524" t="str">
            <v>N2180217</v>
          </cell>
          <cell r="J2524" t="str">
            <v>Термос 1 л из нержавеющей стали</v>
          </cell>
        </row>
        <row r="2525">
          <cell r="A2525">
            <v>1830008170</v>
          </cell>
          <cell r="B2525" t="str">
            <v>EP1119F0</v>
          </cell>
          <cell r="J2525" t="str">
            <v>EASY TOUCH</v>
          </cell>
        </row>
        <row r="2526">
          <cell r="A2526">
            <v>1830008002</v>
          </cell>
          <cell r="B2526" t="str">
            <v>EP1115F1</v>
          </cell>
          <cell r="J2526" t="str">
            <v>EASY TOUCH</v>
          </cell>
        </row>
        <row r="2527">
          <cell r="A2527">
            <v>1830007953</v>
          </cell>
          <cell r="B2527" t="str">
            <v>EP1110F1</v>
          </cell>
          <cell r="J2527" t="str">
            <v>EASY TOUCH</v>
          </cell>
        </row>
        <row r="2528">
          <cell r="A2528">
            <v>1830009309</v>
          </cell>
          <cell r="B2528" t="str">
            <v>FV1920E0</v>
          </cell>
          <cell r="J2528" t="str">
            <v>Утюг TEFAL Easy Stream 1400/20/100 (PTFE)</v>
          </cell>
        </row>
        <row r="2529">
          <cell r="A2529">
            <v>1830008540</v>
          </cell>
          <cell r="B2529" t="str">
            <v>VR7361F0</v>
          </cell>
          <cell r="J2529" t="str">
            <v xml:space="preserve">парогенератор Rowenta Eco Steam Pro Steam Generator Iron давление пара 5,9 бар , подача пара 110 , паровой удар 280 </v>
          </cell>
        </row>
        <row r="2530">
          <cell r="A2530">
            <v>1830008536</v>
          </cell>
          <cell r="B2530" t="str">
            <v>VR7141F0</v>
          </cell>
          <cell r="J2530" t="str">
            <v xml:space="preserve">парогенератор Rowenta Eco Steam Pro Steam Generator Iron давление пара 5,6 бар , подача пара 110 , паровой удар 270 </v>
          </cell>
        </row>
        <row r="2531">
          <cell r="A2531">
            <v>1830004658</v>
          </cell>
          <cell r="B2531" t="str">
            <v>GV5246E0</v>
          </cell>
          <cell r="J2531" t="str">
            <v>ПАРОГЕНЕРАТОР EASY PRESSING</v>
          </cell>
        </row>
        <row r="2532">
          <cell r="A2532">
            <v>8010000276</v>
          </cell>
          <cell r="B2532" t="str">
            <v>HM211A11</v>
          </cell>
          <cell r="J2532" t="str">
            <v>РУЧНОЙ МИКСЕР SOLEIL IVORY</v>
          </cell>
        </row>
        <row r="2533">
          <cell r="A2533">
            <v>1510001458</v>
          </cell>
          <cell r="B2533" t="str">
            <v>EY401D15</v>
          </cell>
          <cell r="J2533" t="str">
            <v>Аэрогриль Easy Fry Deluxe. Сенсорный дисплей, объем 4,2 л, 8 автоматических программ.</v>
          </cell>
        </row>
        <row r="2534">
          <cell r="A2534">
            <v>7211419956</v>
          </cell>
          <cell r="B2534" t="str">
            <v>EY2454E0</v>
          </cell>
          <cell r="J2534" t="str">
            <v>Easy Fry POP Eucalyptus</v>
          </cell>
        </row>
        <row r="2535">
          <cell r="A2535">
            <v>7211419963</v>
          </cell>
          <cell r="B2535" t="str">
            <v>EY245TE0</v>
          </cell>
          <cell r="J2535" t="str">
            <v>Easy Fry POP Terracotta</v>
          </cell>
        </row>
        <row r="2536">
          <cell r="A2536">
            <v>7211419953</v>
          </cell>
          <cell r="B2536" t="str">
            <v>EY2452E0</v>
          </cell>
          <cell r="J2536" t="str">
            <v>Easy Fry POP Nest</v>
          </cell>
        </row>
        <row r="2537">
          <cell r="A2537">
            <v>7211419960</v>
          </cell>
          <cell r="B2537" t="str">
            <v>EY245GE0</v>
          </cell>
          <cell r="J2537" t="str">
            <v>Easy Fry POP 
Nube</v>
          </cell>
        </row>
        <row r="2538">
          <cell r="A2538">
            <v>1510002621</v>
          </cell>
          <cell r="B2538" t="str">
            <v>EY855D10</v>
          </cell>
          <cell r="J2538" t="str">
            <v>Аэрогриль Easy Fry Mega, Вместительная чаша 7,5 л, 8 автоматических программ</v>
          </cell>
        </row>
        <row r="2539">
          <cell r="A2539">
            <v>1510002913</v>
          </cell>
          <cell r="B2539" t="str">
            <v>EY855D10</v>
          </cell>
          <cell r="J2539" t="str">
            <v>Аэрогриль Easy Fry Mega, Вместительная чаша 7,5 л, 8 автоматических программ</v>
          </cell>
        </row>
        <row r="2540">
          <cell r="A2540">
            <v>7211419111</v>
          </cell>
          <cell r="B2540" t="str">
            <v>EY245B10</v>
          </cell>
          <cell r="J2540" t="str">
            <v>Аэрогриль Easy Fry Max, сенсорное управление, объем 5 л, 8 автоматических программ.</v>
          </cell>
        </row>
        <row r="2541">
          <cell r="A2541">
            <v>7211419753</v>
          </cell>
          <cell r="B2541" t="str">
            <v>EY245A10</v>
          </cell>
          <cell r="J2541" t="str">
            <v>Easy Fry Max 5L Java Pepper</v>
          </cell>
        </row>
        <row r="2542">
          <cell r="A2542">
            <v>7211419102</v>
          </cell>
          <cell r="B2542" t="str">
            <v>EY145810</v>
          </cell>
          <cell r="J2542" t="str">
            <v>Аэрогриль Easy Fry Compact. Сенсорный дисплей, объем 3 л, 8 автоматических программ.</v>
          </cell>
        </row>
        <row r="2543">
          <cell r="A2543">
            <v>7211004825</v>
          </cell>
          <cell r="B2543" t="str">
            <v>EY801D15</v>
          </cell>
          <cell r="J2543" t="str">
            <v>Аэрогриль Easy Fry &amp; Grill XXL, сенсорное управление, объем 6,5 л, 8 автоматических программ.</v>
          </cell>
        </row>
        <row r="2544">
          <cell r="A2544">
            <v>7211419677</v>
          </cell>
          <cell r="B2544" t="str">
            <v>EY801D15</v>
          </cell>
          <cell r="J2544" t="str">
            <v>Аэрогриль Easy Fry &amp; Grill XXL, сенсорное управление, объем 6,5 л, 8 автоматических программ.</v>
          </cell>
        </row>
        <row r="2545">
          <cell r="A2545">
            <v>1510002069</v>
          </cell>
          <cell r="B2545" t="str">
            <v>EY505D15</v>
          </cell>
          <cell r="J2545" t="str">
            <v>Аэрогриль Easy Fry &amp; Grill. Сенсорный дисплей, объем 4,2 л, 10 программ, функция гриля.</v>
          </cell>
        </row>
        <row r="2546">
          <cell r="A2546">
            <v>8000035826</v>
          </cell>
          <cell r="B2546" t="str">
            <v>JU610D10</v>
          </cell>
          <cell r="J2546" t="str">
            <v>CОКОВЫЖИМАЛКА, 800 ВТ, МЕТАЛЛИЧЕСКИЙ КОРПУС, РАССЧИТАНА НА ЦЕЛОЕ ЯБЛОКО (ПОГРУЖНОЕ ОТВЕРСТИЕ 75ММ), 2 СКОРОСТИ, КОНТЕЙНЕР ДЛЯ МЯКОТ 2 Л, КУВШИН ДЛЯ СОКА 1,2 Л, МЕТАЛЛИЧЕСКА\ РУЧКА БЛОКИРОВКИ КОРПУСА. МЕТАЛИЧЕСКИЙ КОРПУС. ЦВЕТ ЧЕРНЫЙ + МЕТТАЛЛ. СДЕЛАНО В КНР</v>
          </cell>
        </row>
        <row r="2547">
          <cell r="A2547">
            <v>2100137835</v>
          </cell>
          <cell r="B2547" t="str">
            <v>G7492274</v>
          </cell>
          <cell r="J2547" t="str">
            <v>Ковш 16 см с крышкой Easy Boil</v>
          </cell>
        </row>
        <row r="2548">
          <cell r="A2548">
            <v>2100137836</v>
          </cell>
          <cell r="B2548" t="str">
            <v>G7494474</v>
          </cell>
          <cell r="J2548" t="str">
            <v>Кастрюля 20 см с крышкой Easy Boil</v>
          </cell>
        </row>
        <row r="2549">
          <cell r="A2549">
            <v>2100137837</v>
          </cell>
          <cell r="B2549" t="str">
            <v>G7494674</v>
          </cell>
          <cell r="J2549" t="str">
            <v>Кастрюля 24 см с крышкой Easy Boil</v>
          </cell>
        </row>
        <row r="2550">
          <cell r="A2550">
            <v>2100137838</v>
          </cell>
          <cell r="B2550" t="str">
            <v>G749S674</v>
          </cell>
          <cell r="J2550" t="str">
            <v>Набор Easy Boil 6 предметов: ковш 16 см с крышкой + кастрюли 20/24 с крышками</v>
          </cell>
        </row>
        <row r="2551">
          <cell r="A2551">
            <v>2100119764</v>
          </cell>
          <cell r="B2551" t="str">
            <v>J1745074</v>
          </cell>
          <cell r="J2551" t="str">
            <v>Форма 12 маффинов Easy Bake</v>
          </cell>
        </row>
        <row r="2552">
          <cell r="A2552">
            <v>2100119765</v>
          </cell>
          <cell r="B2552" t="str">
            <v>J1740174</v>
          </cell>
          <cell r="J2552" t="str">
            <v>Форма кекс 30 см Easy Bake</v>
          </cell>
        </row>
        <row r="2553">
          <cell r="A2553">
            <v>2100119766</v>
          </cell>
          <cell r="B2553" t="str">
            <v>J1741374</v>
          </cell>
          <cell r="J2553" t="str">
            <v>Спрингформа 26 см Easy Bake</v>
          </cell>
        </row>
        <row r="2554">
          <cell r="A2554">
            <v>2100124868</v>
          </cell>
          <cell r="B2554" t="str">
            <v>J1744674</v>
          </cell>
          <cell r="J2554" t="str">
            <v xml:space="preserve">Противень 29 x 23 Easy Bake  </v>
          </cell>
        </row>
        <row r="2555">
          <cell r="A2555">
            <v>2100124870</v>
          </cell>
          <cell r="B2555" t="str">
            <v>J1741274</v>
          </cell>
          <cell r="J2555" t="str">
            <v>Cпрингформа 24 Easy Bake</v>
          </cell>
        </row>
        <row r="2556">
          <cell r="A2556">
            <v>1830009219</v>
          </cell>
          <cell r="B2556" t="str">
            <v>JF4032E0</v>
          </cell>
          <cell r="J2556" t="str">
            <v xml:space="preserve">TEFAL Duo Power, 2-в-1 паровой утюг и отпариватель для одежды, универсальный и эффективный уход за одеждой </v>
          </cell>
        </row>
        <row r="2557">
          <cell r="A2557">
            <v>2100113163</v>
          </cell>
          <cell r="B2557" t="str">
            <v>G719SA74</v>
          </cell>
          <cell r="J2557" t="str">
            <v>Набор Duetto+ 10 пр  (ковш 16+крышка, кастрюли 18/20/24+крышки, высокая кастрюля для пасты 22+крышка)</v>
          </cell>
        </row>
        <row r="2558">
          <cell r="A2558">
            <v>2100113050</v>
          </cell>
          <cell r="B2558" t="str">
            <v>G719S734</v>
          </cell>
          <cell r="J2558" t="str">
            <v>Набор Duetto+ 7 пр( ковш 16, кастрюля 16+ крышка, кастрюли 20/24+крышки</v>
          </cell>
        </row>
        <row r="2559">
          <cell r="A2559">
            <v>2100113162</v>
          </cell>
          <cell r="B2559" t="str">
            <v>G719S674</v>
          </cell>
          <cell r="J2559" t="str">
            <v>Набор Duetto+ 6пр (ковш 16+крышка, кастрюли 20/24+крышки)</v>
          </cell>
        </row>
        <row r="2560">
          <cell r="A2560">
            <v>2100113152</v>
          </cell>
          <cell r="B2560" t="str">
            <v>G7194655</v>
          </cell>
          <cell r="J2560" t="str">
            <v>Кастрюля 24 (4,7 l) DUETTO+</v>
          </cell>
        </row>
        <row r="2561">
          <cell r="A2561">
            <v>2100113151</v>
          </cell>
          <cell r="B2561" t="str">
            <v>G7194455</v>
          </cell>
          <cell r="J2561" t="str">
            <v>Кастрюля 20 (2,7 l) DUETTO+</v>
          </cell>
        </row>
        <row r="2562">
          <cell r="A2562">
            <v>2100113153</v>
          </cell>
          <cell r="B2562" t="str">
            <v>G7194355</v>
          </cell>
          <cell r="J2562" t="str">
            <v>Кастрюля 18 (1,9 l) DUETTO+</v>
          </cell>
        </row>
        <row r="2563">
          <cell r="A2563">
            <v>2100113184</v>
          </cell>
          <cell r="B2563" t="str">
            <v>G7192255</v>
          </cell>
          <cell r="J2563" t="str">
            <v>Ковш 16 + крышка (1,3 l) DUETTO+</v>
          </cell>
        </row>
        <row r="2564">
          <cell r="A2564">
            <v>2100121785</v>
          </cell>
          <cell r="B2564" t="str">
            <v>G732S855</v>
          </cell>
          <cell r="J2564" t="str">
            <v>Набор Duetto+ 8 пр( ковш 18, кастрюли 18/20/24+крышки, сковорода 24)</v>
          </cell>
        </row>
        <row r="2565">
          <cell r="A2565">
            <v>2100136210</v>
          </cell>
          <cell r="B2565" t="str">
            <v>G7192256</v>
          </cell>
          <cell r="J2565" t="str">
            <v>Ковш 16 + крышка (1,5 l) DUETTO+</v>
          </cell>
        </row>
        <row r="2566">
          <cell r="A2566">
            <v>2100136212</v>
          </cell>
          <cell r="B2566" t="str">
            <v>G7194356 </v>
          </cell>
          <cell r="J2566" t="str">
            <v>Кастрюля 18 (2 l) DUETTO+</v>
          </cell>
        </row>
        <row r="2567">
          <cell r="A2567">
            <v>2100136213</v>
          </cell>
          <cell r="B2567" t="str">
            <v>G7194456 </v>
          </cell>
          <cell r="J2567" t="str">
            <v>Кастрюля 20 (2,9 l) DUETTO+</v>
          </cell>
        </row>
        <row r="2568">
          <cell r="A2568">
            <v>2100136214</v>
          </cell>
          <cell r="B2568" t="str">
            <v>G7194656 </v>
          </cell>
          <cell r="J2568" t="str">
            <v>Кастрюля 24 (5 l) DUETTO+</v>
          </cell>
        </row>
        <row r="2569">
          <cell r="A2569">
            <v>2100136220</v>
          </cell>
          <cell r="B2569" t="str">
            <v>G719S655</v>
          </cell>
          <cell r="J2569" t="str">
            <v>Набор Duetto+ 6пр (ковш 16+крышка, кастрюли 20/24+крышки)</v>
          </cell>
        </row>
        <row r="2570">
          <cell r="A2570">
            <v>3110600951</v>
          </cell>
          <cell r="B2570" t="str">
            <v>N4180110</v>
          </cell>
          <cell r="J2570" t="str">
            <v>Чайник для всех видов плит Tefal Duetto+ N4180110 2,7 л нерж.сталь, индукционное дно</v>
          </cell>
        </row>
        <row r="2571">
          <cell r="A2571">
            <v>2100121619</v>
          </cell>
          <cell r="B2571" t="str">
            <v>G7320434</v>
          </cell>
          <cell r="J2571" t="str">
            <v>Сковорода 24 см Duetto+</v>
          </cell>
        </row>
        <row r="2572">
          <cell r="A2572">
            <v>2100121729</v>
          </cell>
          <cell r="B2572" t="str">
            <v>G7320524</v>
          </cell>
          <cell r="J2572" t="str">
            <v>Сковорода 26 см Duetto+</v>
          </cell>
        </row>
        <row r="2573">
          <cell r="A2573">
            <v>2100121620</v>
          </cell>
          <cell r="B2573" t="str">
            <v>G7320634</v>
          </cell>
          <cell r="J2573" t="str">
            <v>Сковорода 28 см Duetto+</v>
          </cell>
        </row>
        <row r="2574">
          <cell r="A2574">
            <v>2100122094</v>
          </cell>
          <cell r="B2574" t="str">
            <v>G7321924</v>
          </cell>
          <cell r="J2574" t="str">
            <v>Сковорода Вок 28 см Duetto+</v>
          </cell>
        </row>
        <row r="2575">
          <cell r="A2575">
            <v>2100122196</v>
          </cell>
          <cell r="B2575" t="str">
            <v>G7334055</v>
          </cell>
          <cell r="J2575" t="str">
            <v>Сковорода гриль 26 см Duetto+</v>
          </cell>
        </row>
        <row r="2576">
          <cell r="A2576">
            <v>2100122195</v>
          </cell>
          <cell r="B2576" t="str">
            <v>G7333855</v>
          </cell>
          <cell r="J2576" t="str">
            <v>Сковорода для блинов 25 см Duetto+</v>
          </cell>
        </row>
        <row r="2577">
          <cell r="A2577">
            <v>2211400444</v>
          </cell>
          <cell r="B2577" t="str">
            <v>TY6751WO</v>
          </cell>
          <cell r="J2577" t="str">
            <v>Беспроводной пылесос DUAL FORCE 2в1 18V , уровень шума 80  дБ, объем контейнера 0,6 л., время автономной работы до 32 мин, время зарядки 4,5 ч, цвет голубой</v>
          </cell>
        </row>
        <row r="2578">
          <cell r="A2578">
            <v>2211400879</v>
          </cell>
          <cell r="B2578" t="str">
            <v>TY6753WO</v>
          </cell>
          <cell r="J2578" t="str">
            <v>Беспроводной пылесос DUAL FORCE 2в1 18V , уровень шума 80  дБ, объем контейнера 0,6 л., время автономной работы до 32 мин, время зарядки 4,5 ч, цвет красный</v>
          </cell>
        </row>
        <row r="2579">
          <cell r="A2579">
            <v>2211400463</v>
          </cell>
          <cell r="B2579" t="str">
            <v>TY6756WO</v>
          </cell>
          <cell r="J2579" t="str">
            <v>Беспроводной пылесос DUAL FORCE 2в1 18V , уровень шума 80  дБ, объем контейнера 0,6 л., время автономной работы до 32 мин, время зарядки 4,5 ч, цвет серый</v>
          </cell>
        </row>
        <row r="2580">
          <cell r="A2580">
            <v>2211400954</v>
          </cell>
          <cell r="B2580" t="str">
            <v>TY6737WH</v>
          </cell>
          <cell r="J2580" t="str">
            <v>TEFAL DUAL FORCE - 2 в 1 беспроводной классический пылесос и ручной пылесос в одном устройстве для удобной и быстрой уборки Щетка со светодиодной подсветкой для максимальной видимости и легкой уборки в местах с плохим освещением и под мебелью Ультралегкая конструкция для комфортного использования Складная ручка для легкого хранения Мощная литий-ионная батарея с напряжением 18 В обеспечивает до 45 минут работы без подзарядки (в режиме Min) и полностью заряжается за 5 часов Моторизованная щетка гарантирует оптимальную мощность всасывания на всех типах полов Циклонная система для глубокой очистки и улучшенной фильтрации Удобная вертикальная парковка</v>
          </cell>
        </row>
        <row r="2581">
          <cell r="A2581">
            <v>1510002666</v>
          </cell>
          <cell r="B2581" t="str">
            <v>EY9428E0</v>
          </cell>
          <cell r="J2581" t="str">
            <v>Dual Easy Fry XXL 11L</v>
          </cell>
        </row>
        <row r="2582">
          <cell r="A2582">
            <v>1510002876</v>
          </cell>
          <cell r="B2582" t="str">
            <v>EY9228E0</v>
          </cell>
          <cell r="J2582" t="str">
            <v>Stainless steel (9L)</v>
          </cell>
        </row>
        <row r="2583">
          <cell r="A2583">
            <v>1510002423</v>
          </cell>
          <cell r="B2583" t="str">
            <v>EY905D10</v>
          </cell>
          <cell r="J2583" t="str">
            <v>Аэрогриль DUAL EASY FRY &amp; GRILL SS EU, сенсорное управление, объем 8,3 л, 8 автоматических программ.</v>
          </cell>
        </row>
        <row r="2584">
          <cell r="A2584">
            <v>1830008167</v>
          </cell>
          <cell r="B2584" t="str">
            <v>TN1609F0</v>
          </cell>
          <cell r="J2584" t="str">
            <v xml:space="preserve">Машинка для стрижки             </v>
          </cell>
        </row>
        <row r="2585">
          <cell r="A2585">
            <v>1830007131</v>
          </cell>
          <cell r="B2585" t="str">
            <v>TN1606F0</v>
          </cell>
          <cell r="J2585" t="str">
            <v>Машинка для стрижки Driver Copper Forever: AC мотор для ровной стрижки даже очень густых волос, широкие лезвия 42 мм, 4 насадки для стрижки: 3 мм/ 6 мм/ 9 мм/ 13 мм. Минимальная длина – 0.5 мм. Рычажок для микро-настройки (3 позиции)</v>
          </cell>
        </row>
        <row r="2586">
          <cell r="A2586">
            <v>1830006703</v>
          </cell>
          <cell r="B2586" t="str">
            <v>TN1604F0</v>
          </cell>
          <cell r="J2586" t="str">
            <v>New RED Driver</v>
          </cell>
        </row>
        <row r="2587">
          <cell r="A2587">
            <v>1830008164</v>
          </cell>
          <cell r="B2587" t="str">
            <v>TN1603F0</v>
          </cell>
          <cell r="J2587" t="str">
            <v>DRIVER 2</v>
          </cell>
        </row>
        <row r="2588">
          <cell r="A2588">
            <v>1830006306</v>
          </cell>
          <cell r="B2588" t="str">
            <v>TN1601F1</v>
          </cell>
          <cell r="J2588" t="str">
            <v>Машинка для стрижки DRIVER Black &amp; White (Juventus STYLE) TN1601: AC мотор для ровной стрижки даже очень густых волос, широкие лезвия 42 мм, 4 насадки для стрижки  3, 6, 9, 13 мм  Минимальная длина – 0.5 мм  Рычажок для микро-настройки (3 позиции)</v>
          </cell>
        </row>
        <row r="2589">
          <cell r="A2589">
            <v>1830005956</v>
          </cell>
          <cell r="B2589" t="str">
            <v>TN1600F0</v>
          </cell>
          <cell r="J2589" t="str">
            <v>Машинка для стрижки DRIVER (NEW DESIGN): лезвия 42мм, из нержавеющей стали, AC мотор (230V) для продолжительного срока службы и повышенной режущей способности, съемные насадки (4 шт.: 3/6/9/13 мм), рычаг для точной прецизионной настройки (3 позиции), работа от сети</v>
          </cell>
        </row>
        <row r="2590">
          <cell r="A2590">
            <v>7211004002</v>
          </cell>
          <cell r="B2590" t="str">
            <v>FP546811</v>
          </cell>
          <cell r="J2590" t="str">
            <v xml:space="preserve">КУХОННЫЙ КОМБАЙН DOUBLE FORCE COMPACT, ЦВЕТ - ЧЕРНЫЙ, 800 ВТ, ЧАША 3 Л, БЛЕНДЕР 1.25Л, 2 СКОРОСТИ+ИМПУЛЬСНЫЙ РЕЖИМ, ИЗМЕЛЬЧИТЕЛЬ, 3 ДВУСТОРОННИХ МЕТАЛЛИЧЕСКИХ ДИСКА ТЕРКА/НАРЕЗКА, 2 СЪЕМНЫХ ЛЕЗВИЯ ИЗ НЕРЖАВЕЮЩЕЙ СТАЛИ, ЭМУЛЬСИОННЫЙ ДИСК. 
КУХОННЫЙ КОМБАЙН DOUBLE FORCE COMPACT, ЦВЕТ - ЧЕРНЫЙ, 800 ВТ, ЧАША 3 Л, БЛЕНДЕР 1.25Л, 2 СКОРОСТИ+ИМПУЛЬСНЫЙ РЕЖИМ, ИЗМЕЛЬЧИТЕЛЬ, 3 ДВУСТОРОННИХ МЕТАЛЛИЧЕСКИХ ДИСКА ТЕРКА/НАРЕЗКА, 2 СЪЕМНЫХ ЛЕЗВИЯ ИЗ НЕРЖАВЕЮЩЕЙ СТАЛИ, ЭМУЛЬСИОННЫЙ ДИСК. 
КУХОННЫЙ КОМБАЙН DOUBLE FORCE COMPACT, ЦВЕТ - ЧЕРНЫЙ, 800 ВТ, ЧАША 3 Л, БЛЕНДЕР 1.25Л, 2 СКОРОСТИ+ИМПУЛЬСНЫЙ РЕЖИМ, ИЗМЕЛЬЧИТЕЛЬ, 3 ДВУСТОРОННИХ МЕТАЛЛИЧЕСКИХ ДИСКА ТЕРКА/НАРЕЗКА, 2 СЪЕМНЫХ ЛЕЗВИЯ ИЗ НЕРЖАВЕЮЩЕЙ СТАЛИ, ЭМУЛЬСИОННЫЙ ДИСК. </v>
          </cell>
        </row>
        <row r="2591">
          <cell r="A2591">
            <v>7211003983</v>
          </cell>
          <cell r="B2591" t="str">
            <v>FP542111</v>
          </cell>
          <cell r="J2591" t="str">
            <v xml:space="preserve">КУХОННЫЙ КОМБАЙН DOUBLE FORCE COMPACT, ЦВЕТ - БЕЛЫЙ, 800 ВТ, ЧАША 2,2 Л, БЛЕНДЕР 1.25Л, 2 СКОРОСТИ+ИМПУЛЬСНЫЙ РЕЖИМ, ИЗМЕЛЬЧИТЕЛЬ, 3 ДВУСТОРОННИХ МЕТАЛЛИЧЕСКИХ ДИСКА ТЕРКА/НАРЕЗКА, 2 СЪЕМНЫХ ЛЕЗВИЯ ИЗ НЕРЖАВЕЮЩЕЙ СТАЛИ, ЭМУЛЬСИОННЫЙ ДИСК. 
КУХОННЫЙ КОМБАЙН DOUBLE FORCE COMPACT, ЦВЕТ - БЕЛЫЙ, 800 ВТ, ЧАША 2,2 Л, БЛЕНДЕР 1.25Л, 2 СКОРОСТИ+ИМПУЛЬСНЫЙ РЕЖИМ, ИЗМЕЛЬЧИТЕЛЬ, 3 ДВУСТОРОННИХ МЕТАЛЛИЧЕСКИХ ДИСКА ТЕРКА/НАРЕЗКА, 2 СЪЕМНЫХ ЛЕЗВИЯ ИЗ НЕРЖАВЕЮЩЕЙ СТАЛИ, ЭМУЛЬСИОННЫЙ ДИСК. </v>
          </cell>
        </row>
        <row r="2592">
          <cell r="A2592">
            <v>7211004595</v>
          </cell>
          <cell r="B2592" t="str">
            <v>KI831E10</v>
          </cell>
          <cell r="J2592" t="str">
            <v>Чайник с двойными стенками, внутренняя колба из нержавеющей стали, встроенный  дисплей, 5 уровней температуры: 40°C / 70°C / 80°C / 90°C / 100°C, поддержание тепла 30 мин, съемный фильтр от накипи, объем 1.7 Л, мощность 1800 Вт</v>
          </cell>
        </row>
        <row r="2593">
          <cell r="A2593">
            <v>7211004773</v>
          </cell>
          <cell r="B2593" t="str">
            <v>KI583E10</v>
          </cell>
          <cell r="J2593" t="str">
            <v>Чайник нерж с двойной стенкой</v>
          </cell>
        </row>
        <row r="2594">
          <cell r="A2594">
            <v>7211004655</v>
          </cell>
          <cell r="B2594" t="str">
            <v>KI583C10</v>
          </cell>
          <cell r="J2594" t="str">
            <v>Чайник нерж с двойной стенкой</v>
          </cell>
        </row>
        <row r="2595">
          <cell r="A2595">
            <v>7211419468</v>
          </cell>
          <cell r="B2595" t="str">
            <v>KO1408E0</v>
          </cell>
          <cell r="J2595" t="str">
            <v xml:space="preserve">DOUBLE LAYER KET </v>
          </cell>
        </row>
        <row r="2596">
          <cell r="A2596">
            <v>7211419432</v>
          </cell>
          <cell r="B2596" t="str">
            <v>KO140AE0</v>
          </cell>
          <cell r="J2596" t="str">
            <v xml:space="preserve">DOUBLE LAYER KET </v>
          </cell>
        </row>
        <row r="2597">
          <cell r="A2597">
            <v>7211004057</v>
          </cell>
          <cell r="B2597" t="str">
            <v>FP827E10</v>
          </cell>
          <cell r="J2597" t="str">
            <v>КУХОННЫЙ КОМБАЙН DOUBLE FORCE, ЦВЕТ - СЕРЕБРИСТЫЙ, 1000 ВТ, ЧАША 3 Л, БЛЕНДЕР 2Л, ЭЛЕКТРОННОЕ УПРАВЛЕНИЕ, 7 ЗАПРОГРАММИРОВАННЫХ ПРОГРАММ + ИМПУЛЬСНЫЙ РЕЖИМ, ПОДСВЕТКА КНОПОК, ИЗМЕЛЬЧИТЕЛЬ, 2 ДВУСТОРОННИХ МЕТАЛЛИЧЕСКИХ ДИСКА ТЕРКА/НАРЕЗКА, СЪЕМНЫЕ ЛЕЗВИЯ ИЗ НЕРЖАВЕЮЩЕЙ СТАЛИ, НАСАДКА ДЛЯ ВЗБИВАНИЯ, ЛОПАТКА, НАСАДКА - СОКОВЫЖИМАЛКА ДЛЯ ЦИТРУСОВЫХ.</v>
          </cell>
        </row>
        <row r="2598">
          <cell r="A2598">
            <v>2100125863</v>
          </cell>
          <cell r="B2598" t="str">
            <v>G2930202</v>
          </cell>
          <cell r="J2598" t="str">
            <v>Сковорода 20 см Delight</v>
          </cell>
        </row>
        <row r="2599">
          <cell r="A2599">
            <v>2100125859</v>
          </cell>
          <cell r="B2599" t="str">
            <v>G2930402</v>
          </cell>
          <cell r="J2599" t="str">
            <v>Сковорода 24 см Delight</v>
          </cell>
        </row>
        <row r="2600">
          <cell r="A2600">
            <v>2100125860</v>
          </cell>
          <cell r="B2600" t="str">
            <v>G2930502</v>
          </cell>
          <cell r="J2600" t="str">
            <v>Сковорода 26 Delight</v>
          </cell>
        </row>
        <row r="2601">
          <cell r="A2601">
            <v>2100125861</v>
          </cell>
          <cell r="B2601" t="str">
            <v>G2930602</v>
          </cell>
          <cell r="J2601" t="str">
            <v>Сковорода 28 см Delight</v>
          </cell>
        </row>
        <row r="2602">
          <cell r="A2602">
            <v>2100118216</v>
          </cell>
          <cell r="B2602" t="str">
            <v>E2324074</v>
          </cell>
          <cell r="J2602" t="str">
            <v xml:space="preserve">Сковорода гриль 26 DELICIO </v>
          </cell>
        </row>
        <row r="2603">
          <cell r="A2603">
            <v>2100118221</v>
          </cell>
          <cell r="B2603" t="str">
            <v>E2320674</v>
          </cell>
          <cell r="J2603" t="str">
            <v>Сковорода 28 DELICIO</v>
          </cell>
        </row>
        <row r="2604">
          <cell r="A2604">
            <v>2100118220</v>
          </cell>
          <cell r="B2604" t="str">
            <v>E2320574</v>
          </cell>
          <cell r="J2604" t="str">
            <v>Сковорода 26 DELICIO</v>
          </cell>
        </row>
        <row r="2605">
          <cell r="A2605">
            <v>2100118219</v>
          </cell>
          <cell r="B2605" t="str">
            <v>E2320474</v>
          </cell>
          <cell r="J2605" t="str">
            <v>Сковорода 24 DELICIO</v>
          </cell>
        </row>
        <row r="2606">
          <cell r="A2606">
            <v>2100118218</v>
          </cell>
          <cell r="B2606" t="str">
            <v>E2320274</v>
          </cell>
          <cell r="J2606" t="str">
            <v>Сковорода 20 DELICIO</v>
          </cell>
        </row>
        <row r="2607">
          <cell r="A2607">
            <v>2100123565</v>
          </cell>
          <cell r="B2607" t="str">
            <v>E2324474</v>
          </cell>
          <cell r="J2607" t="str">
            <v>Кастрюля 20 с кр. DELICIO</v>
          </cell>
        </row>
        <row r="2608">
          <cell r="A2608">
            <v>7211004209</v>
          </cell>
          <cell r="B2608" t="str">
            <v>KO172130</v>
          </cell>
          <cell r="J2608" t="str">
            <v xml:space="preserve">Электрический чайник Tefal DELFINI UP объемом 1,8 л </v>
          </cell>
        </row>
        <row r="2609">
          <cell r="A2609">
            <v>8000035379</v>
          </cell>
          <cell r="B2609" t="str">
            <v>TT130130</v>
          </cell>
          <cell r="J2609" t="str">
            <v>ТОСТЕР DELFINI, МОЩЬНОСТЬ 850 W, ВСЕ ФУНКЦИИ В ОДНОМ РЕГУЛЯТОРЕ (ВКЛЮЧАЯ РАЗМОРОЗКУ И ОСТАНОВКУ), ВЫСОКИЙ ПОДЪЕМ ТОСТОВ, ПОДДОН ДЛЯ КРОШЕК, МАТЕРИАЛ КОРПУСА- ПЛАСТИК. ЦВЕТ -ГЛЯНЦЕВЫЙ БЕЛЫЙ C МАТОВОЙ ЧЕРНОЙ БАЗОЙ</v>
          </cell>
        </row>
        <row r="2610">
          <cell r="A2610">
            <v>7211002130</v>
          </cell>
          <cell r="B2610" t="str">
            <v>KO150F30</v>
          </cell>
          <cell r="J2610" t="str">
            <v xml:space="preserve">Чайник Delfini plus. Мощность 2200 Вт, объем 1,5 литра, скрытый нагревательный элемент, вращение на подставке на 360 градусов, внутренний индикатор уровня воды, съемная крышка. Корпуса - черный пластик с элементами из нержавеющей стали. </v>
          </cell>
        </row>
        <row r="2611">
          <cell r="A2611">
            <v>7211002180</v>
          </cell>
          <cell r="B2611" t="str">
            <v>KO150130</v>
          </cell>
          <cell r="J2611" t="str">
            <v xml:space="preserve">Чайник Delfini plus. Мощность 2200 Вт, объем 1,5 литра, скрытый нагревательный элемент, вращение на подставке на 360 градусов, внутренний индикатор уровня воды, съемная крашка. Корпуса -белый пластик с коричневой подставкой и крышкой. </v>
          </cell>
        </row>
        <row r="2612">
          <cell r="A2612">
            <v>7211002539</v>
          </cell>
          <cell r="B2612" t="str">
            <v>KO151430</v>
          </cell>
          <cell r="J2612" t="str">
            <v xml:space="preserve">Прозрачный чайник TEFAL. Мощность 2400 Вт, объем 1,5 литра, скрытый нагревательный элемент, вращение на подставке на 360 градусов, съемная крышка. Корпус - прозрачный пластик синего оттенка . </v>
          </cell>
        </row>
        <row r="2613">
          <cell r="A2613">
            <v>7211002330</v>
          </cell>
          <cell r="B2613" t="str">
            <v>KO151530</v>
          </cell>
          <cell r="J2613" t="str">
            <v xml:space="preserve">Прозрачный чайник TEFAL. Мощность 2200 Вт, объем 1,5 литра, скрытый нагревательный элемент, вращение на подставке на 360 градусов, съемная крышка. Корпус - прозрачный пластик красного оттенка . </v>
          </cell>
        </row>
        <row r="2614">
          <cell r="A2614">
            <v>1830005706</v>
          </cell>
          <cell r="B2614" t="str">
            <v>CV5512F0</v>
          </cell>
          <cell r="J2614" t="str">
            <v>HAIR DRYER DC PROMO ECO</v>
          </cell>
        </row>
        <row r="2615">
          <cell r="A2615">
            <v>1830006254</v>
          </cell>
          <cell r="B2615" t="str">
            <v>CV5622F0</v>
          </cell>
          <cell r="J2615" t="str">
            <v>HAIR DRYER DC PROMO 2200W</v>
          </cell>
        </row>
        <row r="2616">
          <cell r="A2616">
            <v>1830008470</v>
          </cell>
          <cell r="B2616" t="str">
            <v>CV5623F0</v>
          </cell>
          <cell r="J2616" t="str">
            <v>DC PROMO CV5623</v>
          </cell>
        </row>
        <row r="2617">
          <cell r="A2617">
            <v>1830005655</v>
          </cell>
          <cell r="B2617" t="str">
            <v>CV5610F0</v>
          </cell>
          <cell r="J2617" t="str">
            <v>Фен Rowenta: 2200 Вт, 2 скорости/3 температурных режима, холодный воздух, 12 мм концентратор</v>
          </cell>
        </row>
        <row r="2618">
          <cell r="A2618">
            <v>1830007346</v>
          </cell>
          <cell r="B2618" t="str">
            <v>CV5735F0</v>
          </cell>
          <cell r="J2618" t="str">
            <v>Motion Dry 2Фен Rowenta for EliteDC мотор, Мощность 2200W,  3 температурных режима/ 2 скоростных, холодный воздух, концентратор, съемная решетка, Elite collection
DC мотор, Мощность 2200W,  3 температурных режима/ 2 скоростных, холодный воздух, концентратор, съемная решетка, Elite collection</v>
          </cell>
        </row>
        <row r="2619">
          <cell r="A2619">
            <v>1830008455</v>
          </cell>
          <cell r="B2619" t="str">
            <v>CV5713F0</v>
          </cell>
          <cell r="J2619" t="str">
            <v>фен, 2200 вт, 1 концентратор</v>
          </cell>
        </row>
        <row r="2620">
          <cell r="A2620">
            <v>1830007344</v>
          </cell>
          <cell r="B2620" t="str">
            <v>CV5712F0</v>
          </cell>
          <cell r="J2620" t="str">
            <v>Фен Rowenta for Elite DC мотор, Мощность 2200W,  3 температурных режима/ 2 скоростных, холодный воздух, концентратор, съемная решетка, Elite collection</v>
          </cell>
        </row>
        <row r="2621">
          <cell r="A2621">
            <v>1830007734</v>
          </cell>
          <cell r="B2621" t="str">
            <v>CV5706F0</v>
          </cell>
          <cell r="J2621" t="str">
            <v>CV5706F0</v>
          </cell>
        </row>
        <row r="2622">
          <cell r="A2622">
            <v>1830008743</v>
          </cell>
          <cell r="B2622" t="str">
            <v>CV5708F0</v>
          </cell>
          <cell r="J2622" t="str">
            <v>Мощный фен с мотором 2200 Вт для высокой скорости сушки волос и экономии вашего времени 6 настроек скорости и температуры для идеального контроля над процессом сушки</v>
          </cell>
        </row>
        <row r="2623">
          <cell r="A2623">
            <v>1830008149</v>
          </cell>
          <cell r="B2623" t="str">
            <v>CV5707F0</v>
          </cell>
          <cell r="J2623" t="str">
            <v>CV5707F0 Фен</v>
          </cell>
        </row>
        <row r="2624">
          <cell r="A2624">
            <v>1830008458</v>
          </cell>
          <cell r="B2624" t="str">
            <v>CV5703F0</v>
          </cell>
          <cell r="J2624" t="str">
            <v>MOTION DC CV5703</v>
          </cell>
        </row>
        <row r="2625">
          <cell r="A2625">
            <v>9100052853</v>
          </cell>
          <cell r="B2625">
            <v>4235924</v>
          </cell>
          <cell r="J2625" t="str">
            <v>Сковорода 24 с кр. Day by Day</v>
          </cell>
        </row>
        <row r="2626">
          <cell r="A2626">
            <v>9100052854</v>
          </cell>
          <cell r="B2626">
            <v>4235926</v>
          </cell>
          <cell r="J2626" t="str">
            <v>Сковорода 26 с кр. Day by Day</v>
          </cell>
        </row>
        <row r="2627">
          <cell r="A2627">
            <v>9100052855</v>
          </cell>
          <cell r="B2627">
            <v>4235928</v>
          </cell>
          <cell r="J2627" t="str">
            <v>Сковорода 28 с кр. Day by Day</v>
          </cell>
        </row>
        <row r="2628">
          <cell r="A2628">
            <v>7211004356</v>
          </cell>
          <cell r="B2628" t="str">
            <v>DD55W110</v>
          </cell>
          <cell r="J2628" t="str">
            <v>YUMMY GOURMET DD55W</v>
          </cell>
        </row>
        <row r="2629">
          <cell r="A2629">
            <v>7211003141</v>
          </cell>
          <cell r="B2629" t="str">
            <v>RK745832</v>
          </cell>
          <cell r="J2629" t="str">
            <v>TEFAL "EFFECTUAL MULTICOOKER" МУЛЬТИВАРКА: ОБЪЕМ 5 Л, СФЕРИЧЕСКАЯ ЧАША, МОЩНОСТЬ 750 ВТ, 37 РЕЖИМОВ,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ПОДДЕРЖАНИЕ В РАЗОГРЕТОМ СОСТОЯНИИ И ОТСРОЧКА СТАРТА ДО 24 ЧАСОВ; АВТОМАТИЧЕСКАЯ ФУНКЦИЯ “ПОДОГРЕВ” И ВОЗМОЖНОСТЬ ЕГО ОТМЕНЫ ПЕРЕД НАЧАЛОМ ПРИГОТОВЛЕНИЯ, ПРОГРАММА "РАЗМОРОЗКИ", ФУНКЦИЯ ОТЛОЖЕННОГО СТАРТА ДО 24 ЧАСОВ, ЭЛЕКТРОННЫЙ LCD ДИСПЛЕЙ, ВОЗМОЖНОСТЬ ОТКЛЮЧЕНИЯ ЗВУКА; СЪЕМНАЯ 2ММ 6ТИ СЛОЙНАЯ СФЕРИЧЕСКАЯ ЧАША С ДВУМЯ СЛОЯМИ АНТИПРИГАРНОГО ПОКРЫТИЯ, КОРЗИНА ДЛЯ ПРИГОТОВЛЕНИЯ НА ПАРУ, МЕРНАЯ ЧАШКА И СПЕЦИАЛЬНЫЕ ЛОЖКИ ДЛЯ СУПА И РИСА, КНИГА РЕЦЕПТОВ В КОМПЛЕКТЕ. МАТЕРИАЛ КОРПУСА - МЕТАЛЛ С ПОКРЫТИЕМ, ЦВЕТ ЧЕРНЫЙ.</v>
          </cell>
        </row>
        <row r="2630">
          <cell r="A2630">
            <v>7211004055</v>
          </cell>
          <cell r="B2630" t="str">
            <v>RK745132</v>
          </cell>
          <cell r="J2630" t="str">
            <v>МУЛЬТИВАРКА: ОБЪЕМ 5 Л, СФЕРИЧЕСКАЯ ЧАША, МОЩНОСТЬ 750 ВТ, 37 РЕЖИМОВ, ВКЛЮЧАЯ МУЛЬТИШЕФ - РЕГУЛИРОВКА ТЕМПЕРАТУРЫ И ВРЕМЕНИ ПРИГОТОВЛЕНИЯ, ТЕХНОЛОГИЯ FUZZY LOGIC С АВТОМАТИЧЕСКИМИ РЕГУЛИРОВКАМИ ВО ВРЕМЯ ПРИГОТОВЛЕНИЯ; ВОЗМОЖНОСТЬ ИЗМЕНЕНИЯ ТЕМПЕРАТУРЫ И ВРЕМЕНИ В ПРОЦЕССЕ ПРИГОТОВЛЕНИЯ; ПОДДЕРЖАНИЕ В РАЗОГРЕТОМ СОСТОЯНИИ И ОТСРОЧКА СТАРТА ДО 24 ЧАСОВ; АВТОМАТИЧЕСКАЯ ФУНКЦИЯ “ПОДОГРЕВ” И ВОЗМОЖНОСТЬ ЕГО ОТМЕНЫ ПЕРЕД НАЧАЛОМ ПРИГОТОВЛЕНИЯ, ПРОГРАММА "РАЗМОРОЗКИ", ФУНКЦИЯ ОТЛОЖЕННОГО СТАРТА ДО 24 ЧАСОВ, ЭЛЕКТРОННЫЙ LCD ДИСПЛЕЙ, ВОЗМОЖНОСТЬ ОТКЛЮЧЕНИЯ ЗВУКА; СЪЕМНАЯ 2ММ 6ТИ СЛОЙНАЯ СФЕРИЧЕСКАЯ ЧАША С ДВУМЯ СЛОЯМИ АНТИПРИГАРНОГО ПОКРЫТИЯ, КОРЗИНА ДЛЯ ПРИГОТОВЛЕНИЯ НА ПАРУ, МЕРНАЯ ЧАШКА И СПЕЦИАЛЬНЫЕ ЛОЖКИ ДЛЯ СУПА И РИСА, КНИГА РЕЦЕПТОВ В КОМПЛЕКТЕ. МАТЕРИАЛ КОРПУСА - ПЛАТИК, ЦВЕТ - БЕЛЫЙ.</v>
          </cell>
        </row>
        <row r="2631">
          <cell r="A2631">
            <v>9100052786</v>
          </cell>
          <cell r="B2631" t="str">
            <v>04234810</v>
          </cell>
          <cell r="J2631" t="str">
            <v>Набор ск.22/24 DAILY EXPERT</v>
          </cell>
        </row>
        <row r="2632">
          <cell r="A2632">
            <v>2211401061</v>
          </cell>
          <cell r="B2632" t="str">
            <v>TW1923RH</v>
          </cell>
          <cell r="J2632" t="str">
            <v>Безмешковый пылесос мощность 1200 Вт  уровень шума 84 дБ котнейнер 12 л,HEPA10 насадки: пол/ковер щелевая</v>
          </cell>
        </row>
        <row r="2633">
          <cell r="A2633">
            <v>2211401062</v>
          </cell>
          <cell r="B2633" t="str">
            <v>TW1931RH</v>
          </cell>
          <cell r="J2633" t="str">
            <v>Безмешковый пылесос мощность 1200 Вт  уровень шума 84 дБ котнейнер 12 л,HEPA10 насадки: пол/ковер, щелевая, для мягкой мебели</v>
          </cell>
        </row>
        <row r="2634">
          <cell r="A2634">
            <v>1830008676</v>
          </cell>
          <cell r="B2634" t="str">
            <v>TN182LF0</v>
          </cell>
          <cell r="J2634" t="str">
            <v>HAIR CLIPPER CORDLESS KL</v>
          </cell>
        </row>
        <row r="2635">
          <cell r="A2635">
            <v>9100052057</v>
          </cell>
          <cell r="B2635">
            <v>4232124</v>
          </cell>
          <cell r="J2635" t="str">
            <v xml:space="preserve">Сковорода 24 CURRENT </v>
          </cell>
        </row>
        <row r="2636">
          <cell r="A2636">
            <v>9100052058</v>
          </cell>
          <cell r="B2636">
            <v>4232126</v>
          </cell>
          <cell r="J2636" t="str">
            <v xml:space="preserve">Сковорода 26 CURRENT </v>
          </cell>
        </row>
        <row r="2637">
          <cell r="A2637">
            <v>9100052059</v>
          </cell>
          <cell r="B2637">
            <v>4232128</v>
          </cell>
          <cell r="J2637" t="str">
            <v xml:space="preserve">Сковорода 28 CURRENT </v>
          </cell>
        </row>
        <row r="2638">
          <cell r="A2638">
            <v>9100052060</v>
          </cell>
          <cell r="B2638">
            <v>4232522</v>
          </cell>
          <cell r="J2638" t="str">
            <v>Сковорода 22бл CURRENT</v>
          </cell>
        </row>
        <row r="2639">
          <cell r="A2639">
            <v>1830008529</v>
          </cell>
          <cell r="B2639" t="str">
            <v>CF311LF0</v>
          </cell>
          <cell r="J2639" t="str">
            <v>Плойка Rowenta x KARL LAGERFELD Curls forever, тонкая рабочая поверхность 10 мм, Оптимальная температура 180°C, Долговечный результат, Быстрая завивка, Покрытие Keratin &amp; Glow для мягких и блестящих волос, CF311LF0</v>
          </cell>
        </row>
        <row r="2640">
          <cell r="A2640">
            <v>1830007363</v>
          </cell>
          <cell r="B2640" t="str">
            <v>CF3112F0</v>
          </cell>
          <cell r="J2640" t="str">
            <v xml:space="preserve">Прибор для завивки, создание мелких завитков - стиль 80х, максимальная температура нагрева 180°С, керамическое покрытие пластин, диаметр 10x5мм, световой индикатор включения, термоизолированный наконечник, петля для подвешивания, вращающийся шнур, термоперчатка в комплекте; </v>
          </cell>
        </row>
        <row r="2641">
          <cell r="A2641">
            <v>1830006026</v>
          </cell>
          <cell r="B2641" t="str">
            <v>CF3461F0</v>
          </cell>
          <cell r="J2641" t="str">
            <v>Premium care Curler (timer)</v>
          </cell>
        </row>
        <row r="2642">
          <cell r="A2642">
            <v>1830008387</v>
          </cell>
          <cell r="B2642" t="str">
            <v>CF3229F0</v>
          </cell>
          <cell r="J2642" t="str">
            <v>CURLER 25MM COPPER</v>
          </cell>
        </row>
        <row r="2643">
          <cell r="A2643">
            <v>1830008520</v>
          </cell>
          <cell r="B2643" t="str">
            <v>CF324LF0</v>
          </cell>
          <cell r="J2643" t="str">
            <v>Конусная плойка Rowenta x KARL LAGERFELD Conical Curler, Сияющие волосы, Легкая настройка температуры от 120°C до 200°C, Для всех типов волос, Автовыключение, Защитная термоперчатка, вращающийся шнур, CF324LF0</v>
          </cell>
        </row>
        <row r="2644">
          <cell r="A2644">
            <v>1830006534</v>
          </cell>
          <cell r="B2644" t="str">
            <v>CF3242F0</v>
          </cell>
          <cell r="J2644" t="str">
            <v>Щипцы для завивки конические Elite CF3242</v>
          </cell>
        </row>
        <row r="2645">
          <cell r="A2645">
            <v>1830008509</v>
          </cell>
          <cell r="B2645" t="str">
            <v>CF323LF0</v>
          </cell>
          <cell r="J2645" t="str">
            <v>Щипцы для завивки Rowenta x KARL LAGERFELD Curling Tong, Диаметр 32 мм, Покрытие Keratin &amp; Glow, Гламурные кудри и мягкие волны, Настройка температуры от 120°C до 200°C, Быстрый нагрев, Термоизолированный наконечник для безопасного использования, CF323LF0</v>
          </cell>
        </row>
        <row r="2646">
          <cell r="A2646">
            <v>1830006533</v>
          </cell>
          <cell r="B2646" t="str">
            <v>CF3232F0</v>
          </cell>
          <cell r="J2646" t="str">
            <v xml:space="preserve">Щипцы для завивки Elite ,Максимальная температура нагрева 200°С, диаметр 32 мм для крупных локонов
</v>
          </cell>
        </row>
        <row r="2647">
          <cell r="A2647">
            <v>1830008508</v>
          </cell>
          <cell r="B2647" t="str">
            <v>CF322LF0</v>
          </cell>
          <cell r="J2647" t="str">
            <v>Щипцы для завивки Rowenta x KARL LAGERFELD XL Curling Tong, Диаметр 38 мм, Покрытие Keratin &amp; Glow, Расслабленные кудри и мягкие волны, Универсальная настройка температуры 200°C для идеального результата, Быстрый нагрев, Термоизолированный наконечник для безопасного использования, CF322LF0</v>
          </cell>
        </row>
        <row r="2648">
          <cell r="A2648">
            <v>1830006540</v>
          </cell>
          <cell r="B2648" t="str">
            <v>CF3212F0</v>
          </cell>
          <cell r="J2648" t="str">
            <v>Щипцы для завивки, максимальная температура нагрева 200°С, у</v>
          </cell>
        </row>
        <row r="2649">
          <cell r="A2649">
            <v>1830008504</v>
          </cell>
          <cell r="B2649" t="str">
            <v>CF321LF0</v>
          </cell>
          <cell r="J2649" t="str">
            <v>Щипцы для завивки Rowenta x KARL LAGERFELD Curling Tong, Диаметр 25 мм, Покрытие Keratin &amp; Glow, Естественные волны и кудри, Универсальная настройка температуры 200°C для идеального результата, Быстрый нагрев, Термоизолированный наконечник для безопасного использования, CF321LF0</v>
          </cell>
        </row>
        <row r="2650">
          <cell r="A2650">
            <v>1830008150</v>
          </cell>
          <cell r="B2650" t="str">
            <v>CF3227F0</v>
          </cell>
          <cell r="J2650" t="str">
            <v>Щипцы для завивки, максимальная температура нагрева 200°С, у</v>
          </cell>
        </row>
        <row r="2651">
          <cell r="A2651">
            <v>1830007391</v>
          </cell>
          <cell r="B2651" t="str">
            <v>CF3225F0</v>
          </cell>
          <cell r="J2651" t="str">
            <v>CURLER 2</v>
          </cell>
        </row>
        <row r="2652">
          <cell r="A2652">
            <v>1830006532</v>
          </cell>
          <cell r="B2652" t="str">
            <v>CF3222F0</v>
          </cell>
          <cell r="J2652" t="str">
            <v>Щипцы для завивки Jumbo Elite,Диаметр 38 мм для крупных локонов,Световой индикатор включения, время нагрева 90 сек.Коллекция Rowenta for Elite Model Look
, 
,</v>
          </cell>
        </row>
        <row r="2653">
          <cell r="A2653">
            <v>1830007947</v>
          </cell>
          <cell r="B2653" t="str">
            <v>CF3200D8</v>
          </cell>
          <cell r="J2653" t="str">
            <v>CURLER 2</v>
          </cell>
        </row>
        <row r="2654">
          <cell r="A2654">
            <v>1830008464</v>
          </cell>
          <cell r="B2654" t="str">
            <v>CF2133F0</v>
          </cell>
          <cell r="J2654" t="str">
            <v>Щипцы для завивки Rowenta Curling Tong 16 mm, Тугие кудри, Быстрый результат, Керамическое покрытие, Щадящий нагрев, Термоизолированный наконечник, Петля для подвешивания, Быстрый нагрев, CF2133F0</v>
          </cell>
        </row>
        <row r="2655">
          <cell r="A2655">
            <v>1830004590</v>
          </cell>
          <cell r="B2655" t="str">
            <v>CF2132F0</v>
          </cell>
          <cell r="J2655" t="str">
            <v>Elite, 16 mm</v>
          </cell>
        </row>
        <row r="2656">
          <cell r="A2656">
            <v>1830008463</v>
          </cell>
          <cell r="B2656" t="str">
            <v>CF2119F0</v>
          </cell>
          <cell r="J2656" t="str">
            <v>Щипцы для завивки Rowenta Curling Tong 16 mm, Тугие кудри, Керамическое покрытие, Щадящий нагрев, Термоизолированный наконечник, Вращающийся шнур, Безопасное использование, CF2119F0</v>
          </cell>
        </row>
        <row r="2657">
          <cell r="A2657">
            <v>1830004589</v>
          </cell>
          <cell r="B2657" t="str">
            <v>CF2112F0</v>
          </cell>
          <cell r="J2657" t="str">
            <v xml:space="preserve">Щипцы для завивки, максимальная температура нагрева 150°С, керамическое покрытие, диаметр 16 мм, термоизолированный наконечник, петля для </v>
          </cell>
        </row>
        <row r="2658">
          <cell r="A2658">
            <v>1830008892</v>
          </cell>
          <cell r="B2658" t="str">
            <v>CF2820F0</v>
          </cell>
          <cell r="J2658" t="str">
            <v>Щипцы для завивки Rowenta Express Shine с аргановым маслом</v>
          </cell>
        </row>
        <row r="2659">
          <cell r="A2659">
            <v>1830005241</v>
          </cell>
          <cell r="B2659" t="str">
            <v>CF3372F0</v>
          </cell>
          <cell r="J2659" t="str">
            <v xml:space="preserve">Щипцы для завивки, максимальная температура нагрева 200°С, уникальное покрытие пластин с кератином и турмалином "Keratin&amp;Shine",  термостат на 11 позиций, диаметр 32 мм, световой индикатор включения, термоизолированный наконечник, петля для подвешивания, вращающийся шнур, коллекция Rowenta for Elite Model Look </v>
          </cell>
        </row>
        <row r="2660">
          <cell r="A2660">
            <v>1830003867</v>
          </cell>
          <cell r="B2660" t="str">
            <v>CF3345F0</v>
          </cell>
          <cell r="J2660" t="str">
            <v>Конические щипцы для завивки, максимальная температура нагрева 200°С, ЖК дисплей с голубой подсветкой, цифровой термостат на 9 позиций, блокировка кнопок двойным нажатием Вкл/Выкл, керамическое покрытие с турмалином для ионизирующего эффекта, время нагрева 90 секунд, термоизолированный наконечник, защита для пальцев, петля для подвешивания, вращающийся шнур</v>
          </cell>
        </row>
        <row r="2661">
          <cell r="A2661">
            <v>1830005328</v>
          </cell>
          <cell r="B2661" t="str">
            <v>CF3342F0</v>
          </cell>
          <cell r="J2661" t="str">
            <v xml:space="preserve">Щипцы для завивки, максимальная температура нагрева 180°С, уникальное покрытие пластин с кератином и турмалином "Keratin&amp;Shine", диаметр 38 мм, световой индикатор включения, термоизолированный наконечник, петля для подвешивания, вращающийся шнур, коллекция Rowenta for Elite Model Look </v>
          </cell>
        </row>
        <row r="2662">
          <cell r="A2662">
            <v>1830007111</v>
          </cell>
          <cell r="B2662" t="str">
            <v>CF3319F0</v>
          </cell>
          <cell r="J2662" t="str">
            <v>Щипцы для завивки, максимальная температура нагрева 200°С, у</v>
          </cell>
        </row>
        <row r="2663">
          <cell r="A2663">
            <v>1830006381</v>
          </cell>
          <cell r="B2663" t="str">
            <v>CF3315F0</v>
          </cell>
          <cell r="J2663" t="str">
            <v>Star collection</v>
          </cell>
        </row>
        <row r="2664">
          <cell r="A2664">
            <v>8010001069</v>
          </cell>
          <cell r="B2664" t="str">
            <v>HF80B832</v>
          </cell>
          <cell r="J2664" t="str">
            <v>КУХОННЫЙ РОБОТ COMPANION XL</v>
          </cell>
        </row>
        <row r="2665">
          <cell r="A2665">
            <v>1830008227</v>
          </cell>
          <cell r="B2665" t="str">
            <v>UT2020E0</v>
          </cell>
          <cell r="J2665" t="str">
            <v>ГЛАДИЛЬНАЯ СИСТЕМА CUBE UT2020E0</v>
          </cell>
        </row>
        <row r="2666">
          <cell r="A2666">
            <v>2100078561</v>
          </cell>
          <cell r="B2666" t="str">
            <v>PY559312</v>
          </cell>
          <cell r="J2666" t="str">
            <v>ЭЛ БЛИН-ЦА CREP PART NEO COLOR</v>
          </cell>
        </row>
        <row r="2667">
          <cell r="A2667">
            <v>2100115038</v>
          </cell>
          <cell r="B2667" t="str">
            <v>PY900D12</v>
          </cell>
          <cell r="J2667" t="str">
            <v>БЛИННИЦА CRÊPIER GOURMET  PY900</v>
          </cell>
        </row>
        <row r="2668">
          <cell r="A2668">
            <v>2100113902</v>
          </cell>
          <cell r="B2668" t="str">
            <v>K121S575</v>
          </cell>
          <cell r="J2668" t="str">
            <v>Набор ножей Expertise (5 ножей)</v>
          </cell>
        </row>
        <row r="2669">
          <cell r="A2669">
            <v>2100113901</v>
          </cell>
          <cell r="B2669" t="str">
            <v>K121S375</v>
          </cell>
          <cell r="J2669" t="str">
            <v>Набор ножей Expertise (3 ножа)</v>
          </cell>
        </row>
        <row r="2670">
          <cell r="A2670">
            <v>7211003907</v>
          </cell>
          <cell r="B2670" t="str">
            <v>CE5A0F32</v>
          </cell>
          <cell r="J2670" t="str">
            <v>СКОРОВАРКА CORE RANGE EPC</v>
          </cell>
        </row>
        <row r="2671">
          <cell r="A2671">
            <v>7211001595</v>
          </cell>
          <cell r="B2671" t="str">
            <v>CE500E32</v>
          </cell>
          <cell r="J2671" t="str">
            <v xml:space="preserve">МУЛЬТИВАРКА-СКОРОВАРКА: ОБЪЕМ 5 Л, 21 АВТОМАТИЧЕСКАЯ ПРОГРАММА, РЕЖИМ МУЛЬТИШЕФ - РЕГУЛИРОВКА ТЕМПЕРАТУРЫ И ВРЕМЕНИ ПРИГОТОВЛЕНИЯ; ВОЗМОЖНОСТЬ ГОТОВИТЬ ПОД ДАВЛЕНИЕМ И БЕЗ; ФУНКЦИЯ ЙОГУРТ; ПОДДЕРЖАНИЕ В РАЗОГРЕТОМ СОСТОЯНИИ И ОТСРОЧКА СТАРТА ДО 24 ЧАСОВ; ЧАША С АНТИПРИГАРНЫМ КЕРАМИЧЕСКИМ ПОКРЫТИЕМ; КОРПУС НЕРЖАВЕЮЩАЯ СТАЛЬ; КНОПКА УСКОРЕННОГО ВЫПУСКА ПАРА; LED ДИСПЛЕЙ; КНИГА НА 60 РЕЦЕПТОВ В ПОДАРОК, МОЩНОСТЬ 1000 ВТ. </v>
          </cell>
        </row>
        <row r="2672">
          <cell r="A2672">
            <v>1830007567</v>
          </cell>
          <cell r="B2672" t="str">
            <v>SF1312F0</v>
          </cell>
          <cell r="J2672" t="str">
            <v xml:space="preserve">Беспроводной выпрямитель Rowenta • 25 минут автономной работы • Керамическое покрытие пластин • Ультра компактный дизайн • Выбор температуры: 160ᴼ/200ᴼ • Размер пластин 15x65мм • Зарядка от USB • Использование прибора, как зарядного устройства для мобильного телефона;     </v>
          </cell>
        </row>
        <row r="2673">
          <cell r="A2673">
            <v>2211400251</v>
          </cell>
          <cell r="B2673" t="str">
            <v>TY6543RH</v>
          </cell>
          <cell r="J2673" t="str">
            <v>Беспроводной пылесос AIR FORCE LIGHT , литий-ионный аккумулятор 14,4 В, уровень шума 80 дБ, объем контейнера 0,65 л., вес 2,3 кг., макс. время работы 30 мин. ,насадки: электрощетка, цвет- красный</v>
          </cell>
        </row>
        <row r="2674">
          <cell r="A2674">
            <v>2211400233</v>
          </cell>
          <cell r="B2674" t="str">
            <v>TY6545RH</v>
          </cell>
          <cell r="J2674" t="str">
            <v xml:space="preserve">Беспроводной пылесос AIR FORCE LIGHT , литий-ионный аккумулятор 14,4 В, уровень шума 80 дБ, объем контейнера 0,65 л., вес 2,3 кг., макс. время работы 30 мин. ,насадки: электрощетка. </v>
          </cell>
        </row>
        <row r="2675">
          <cell r="A2675">
            <v>2211400880</v>
          </cell>
          <cell r="B2675" t="str">
            <v>TY6547RH</v>
          </cell>
          <cell r="J2675" t="str">
            <v>Беспроводной пылесос AIR FORCE LIGHT , литий-ионный аккумулятор 14,4 В,   уровень шума 80 дБ, объем контейнера 0,65 л., вес 2,3 кг., макс. время работы 30 мин., насадки: электрощетка</v>
          </cell>
        </row>
        <row r="2676">
          <cell r="A2676">
            <v>7211004957</v>
          </cell>
          <cell r="B2676" t="str">
            <v>TT430G10</v>
          </cell>
          <cell r="J2676" t="str">
            <v>тостер Tefal Coppertinto Toaster TT430G10</v>
          </cell>
        </row>
        <row r="2677">
          <cell r="A2677">
            <v>7211419359</v>
          </cell>
          <cell r="B2677" t="str">
            <v>CY912832</v>
          </cell>
          <cell r="J2677" t="str">
            <v>С насадкой Tefal Extra Crisp приготовление вкусных и полезных блюд с хрустящей корочкой не потребует
лишних усилий! Этот универсальный аксессуар с технологией Extra Crisp станет идеальным дополнением
к мультиварке Cook4me и позволит вам жарить, запекать и готовить сочные блюда с аппетитной
хрустящей корочкой как в аэрогриле</v>
          </cell>
        </row>
        <row r="2678">
          <cell r="A2678">
            <v>9100052252</v>
          </cell>
          <cell r="B2678">
            <v>4233928</v>
          </cell>
          <cell r="J2678" t="str">
            <v>Сковорода 28 c кр. COOK&amp;CLEAN</v>
          </cell>
        </row>
        <row r="2679">
          <cell r="A2679">
            <v>9100052249</v>
          </cell>
          <cell r="B2679">
            <v>4233628</v>
          </cell>
          <cell r="J2679" t="str">
            <v>Сковорода ВОК 28 COOK&amp;CLEAN</v>
          </cell>
        </row>
        <row r="2680">
          <cell r="A2680">
            <v>9100052251</v>
          </cell>
          <cell r="B2680">
            <v>4233926</v>
          </cell>
          <cell r="J2680" t="str">
            <v>Сковорода 26 c кр. COOK&amp;CLEAN</v>
          </cell>
        </row>
        <row r="2681">
          <cell r="A2681">
            <v>9100052250</v>
          </cell>
          <cell r="B2681">
            <v>4233924</v>
          </cell>
          <cell r="J2681" t="str">
            <v>Сковорода 24 c кр. COOK&amp;CLEAN</v>
          </cell>
        </row>
        <row r="2682">
          <cell r="A2682">
            <v>9100052247</v>
          </cell>
          <cell r="B2682">
            <v>4233128</v>
          </cell>
          <cell r="J2682" t="str">
            <v>Сковорода 28 COOK&amp;CLEAN</v>
          </cell>
        </row>
        <row r="2683">
          <cell r="A2683">
            <v>9100052246</v>
          </cell>
          <cell r="B2683">
            <v>4233126</v>
          </cell>
          <cell r="J2683" t="str">
            <v>Сковорода 26 COOK&amp;CLEAN</v>
          </cell>
        </row>
        <row r="2684">
          <cell r="A2684">
            <v>9100052245</v>
          </cell>
          <cell r="B2684">
            <v>4233124</v>
          </cell>
          <cell r="J2684" t="str">
            <v>Сковорода 24 COOK&amp;CLEAN</v>
          </cell>
        </row>
        <row r="2685">
          <cell r="A2685">
            <v>9100052244</v>
          </cell>
          <cell r="B2685">
            <v>4233122</v>
          </cell>
          <cell r="J2685" t="str">
            <v>Сковорода 22 COOK&amp;CLEAN</v>
          </cell>
        </row>
        <row r="2686">
          <cell r="A2686">
            <v>9100052248</v>
          </cell>
          <cell r="B2686">
            <v>4233522</v>
          </cell>
          <cell r="J2686" t="str">
            <v>Сковорода 22бл COOK&amp;CLEAN</v>
          </cell>
        </row>
        <row r="2687">
          <cell r="A2687">
            <v>2100124376</v>
          </cell>
          <cell r="B2687" t="str">
            <v>B922S955</v>
          </cell>
          <cell r="J2687" t="str">
            <v>Набор 9 предметов: ковш 16 см+крышка, кастрюли 20/24 см, кастрюля для пасты 22 см, сковорода 28 см COOK EAT</v>
          </cell>
        </row>
        <row r="2688">
          <cell r="A2688">
            <v>2100124370</v>
          </cell>
          <cell r="B2688" t="str">
            <v>B921SA55</v>
          </cell>
          <cell r="J2688" t="str">
            <v>Набор 10 предметов: ковш 16 см+крышка, кастрюли 18/20/24 см, кастрюля для пасты 22 см  COOK EAT</v>
          </cell>
        </row>
        <row r="2689">
          <cell r="A2689">
            <v>2100124356</v>
          </cell>
          <cell r="B2689" t="str">
            <v>B922S634</v>
          </cell>
          <cell r="J2689" t="str">
            <v>Набор 6 предметов: ковш 16 см, кастрюли 20/24 см, сковорода 28 см  COOK EAT</v>
          </cell>
        </row>
        <row r="2690">
          <cell r="A2690">
            <v>2100124354</v>
          </cell>
          <cell r="B2690" t="str">
            <v>B921S734</v>
          </cell>
          <cell r="J2690" t="str">
            <v>Набор 7 предметов: ковш 16 см, кастрюли 18/20/24 см  COOK EAT</v>
          </cell>
        </row>
        <row r="2691">
          <cell r="A2691">
            <v>2100124433</v>
          </cell>
          <cell r="B2691" t="str">
            <v>B921S604</v>
          </cell>
          <cell r="J2691" t="str">
            <v>Набор 6 предметов: ковш 14 см+крышка, кастрюля 18/20 см  COOK EAT</v>
          </cell>
        </row>
        <row r="2692">
          <cell r="A2692">
            <v>2100124355</v>
          </cell>
          <cell r="B2692" t="str">
            <v>B922S434</v>
          </cell>
          <cell r="J2692" t="str">
            <v>Набор 4 предмета: ковш 16 см, кастрюля 20 см, сковорода 28 см  COOK EAT</v>
          </cell>
        </row>
        <row r="2693">
          <cell r="A2693">
            <v>2100124475</v>
          </cell>
          <cell r="B2693" t="str">
            <v>B922S204</v>
          </cell>
          <cell r="J2693" t="str">
            <v xml:space="preserve"> Набор 2 предмета: сковороды 24/28 см  COOK EAT</v>
          </cell>
        </row>
        <row r="2694">
          <cell r="A2694">
            <v>2100124432</v>
          </cell>
          <cell r="B2694" t="str">
            <v>B9214S04</v>
          </cell>
          <cell r="J2694" t="str">
            <v>Набор 4 предмета: ковш 16 см+крышка, кастрюля 18 см  COOK EAT</v>
          </cell>
        </row>
        <row r="2695">
          <cell r="A2695">
            <v>2100124358</v>
          </cell>
          <cell r="B2695" t="str">
            <v>B9214674</v>
          </cell>
          <cell r="J2695" t="str">
            <v>Кастрюля 24 см + крышка  COOK EAT</v>
          </cell>
        </row>
        <row r="2696">
          <cell r="A2696">
            <v>2100124357</v>
          </cell>
          <cell r="B2696" t="str">
            <v>B9214474</v>
          </cell>
          <cell r="J2696" t="str">
            <v>Кастрюля 20 см + крышка  COOK EAT</v>
          </cell>
        </row>
        <row r="2697">
          <cell r="A2697">
            <v>2100124436</v>
          </cell>
          <cell r="B2697" t="str">
            <v>B9214374</v>
          </cell>
          <cell r="J2697" t="str">
            <v>Кастрюля 18 см + крышка  COOK EAT</v>
          </cell>
        </row>
        <row r="2698">
          <cell r="A2698">
            <v>2100124435</v>
          </cell>
          <cell r="B2698" t="str">
            <v>B9212274</v>
          </cell>
          <cell r="J2698" t="str">
            <v>Ковш 16 см + крышка  COOK EAT</v>
          </cell>
        </row>
        <row r="2699">
          <cell r="A2699">
            <v>2100124541</v>
          </cell>
          <cell r="B2699" t="str">
            <v>B921S784</v>
          </cell>
          <cell r="J2699" t="str">
            <v>Набор 7 предметов: ковш 16 см+крышка, кастрюля 16/20/24 см</v>
          </cell>
        </row>
        <row r="2700">
          <cell r="A2700">
            <v>2100116195</v>
          </cell>
          <cell r="B2700" t="str">
            <v>G723S674</v>
          </cell>
          <cell r="J2700" t="str">
            <v>COOK&amp;CLIP Набор 6 пр (ковш 16+крышка, кастрюли 20/24 с крышками)</v>
          </cell>
        </row>
        <row r="2701">
          <cell r="A2701">
            <v>2100115226</v>
          </cell>
          <cell r="B2701" t="str">
            <v>G7237974</v>
          </cell>
          <cell r="J2701" t="str">
            <v>COOK&amp;CLIP Паста пот  22см+ крышка</v>
          </cell>
        </row>
        <row r="2702">
          <cell r="A2702">
            <v>2100115225</v>
          </cell>
          <cell r="B2702" t="str">
            <v>G7234674</v>
          </cell>
          <cell r="J2702" t="str">
            <v xml:space="preserve">COOK&amp;CLIP Кастрюля 24см+ крышка </v>
          </cell>
        </row>
        <row r="2703">
          <cell r="A2703">
            <v>2100115224</v>
          </cell>
          <cell r="B2703" t="str">
            <v>G7234474</v>
          </cell>
          <cell r="J2703" t="str">
            <v xml:space="preserve">COOK&amp;CLIP Кастрюля 20см+ крышка </v>
          </cell>
        </row>
        <row r="2704">
          <cell r="A2704">
            <v>2100115220</v>
          </cell>
          <cell r="B2704" t="str">
            <v>G7232274</v>
          </cell>
          <cell r="J2704" t="str">
            <v>COOK&amp;CLIP Ковш 16+ крышка</v>
          </cell>
        </row>
        <row r="2705">
          <cell r="A2705">
            <v>7211004777</v>
          </cell>
          <cell r="B2705" t="str">
            <v>VC502D10</v>
          </cell>
          <cell r="J2705" t="str">
            <v>Touch screen with 8 automatic regimes, XL capacity, 15-year repairability commitment, a recipe b</v>
          </cell>
        </row>
        <row r="2706">
          <cell r="A2706">
            <v>7211002933</v>
          </cell>
          <cell r="B2706" t="str">
            <v>VC145130</v>
          </cell>
          <cell r="J2706" t="str">
            <v>ПАРОВАРКА ЗАПАТЕНТОВАННАЯ СИСТЕМА УЛЬТРАКОМПАКТНОГО ХРАНЕНИЯ</v>
          </cell>
        </row>
        <row r="2707">
          <cell r="A2707">
            <v>7211001105</v>
          </cell>
          <cell r="B2707" t="str">
            <v>VC140131</v>
          </cell>
          <cell r="J2707" t="str">
            <v>ПАРОВАРКА CONVENIENT</v>
          </cell>
        </row>
        <row r="2708">
          <cell r="A2708">
            <v>1830006695</v>
          </cell>
          <cell r="B2708" t="str">
            <v>CQ3031F0</v>
          </cell>
          <cell r="J2708" t="str">
            <v>Обогреватель VECTISSIMO  convector</v>
          </cell>
        </row>
        <row r="2709">
          <cell r="A2709">
            <v>1830005679</v>
          </cell>
          <cell r="B2709" t="str">
            <v>CQ3030F0</v>
          </cell>
          <cell r="J2709" t="str">
            <v>Конвектор Vectissimo Black, механический, 2400W</v>
          </cell>
        </row>
        <row r="2710">
          <cell r="A2710">
            <v>1830008392</v>
          </cell>
          <cell r="B2710" t="str">
            <v>CO3035F1</v>
          </cell>
          <cell r="J2710" t="str">
            <v>Конвектор Vectissimo Black, механический, 2400W</v>
          </cell>
        </row>
        <row r="2711">
          <cell r="A2711">
            <v>2100138288</v>
          </cell>
          <cell r="B2711" t="str">
            <v>G7642274</v>
          </cell>
          <cell r="J2711" t="str">
            <v>Ковш 16 см с крышкой Confidence</v>
          </cell>
        </row>
        <row r="2712">
          <cell r="A2712">
            <v>2100138289</v>
          </cell>
          <cell r="B2712" t="str">
            <v>G7644474</v>
          </cell>
          <cell r="J2712" t="str">
            <v>Кастрюля 20 см с крышкой Confidence</v>
          </cell>
        </row>
        <row r="2713">
          <cell r="A2713">
            <v>2100138290</v>
          </cell>
          <cell r="B2713" t="str">
            <v>G7644674</v>
          </cell>
          <cell r="J2713" t="str">
            <v>Кастрюля 24 см с крышкой Confidence</v>
          </cell>
        </row>
        <row r="2714">
          <cell r="A2714">
            <v>2100138291</v>
          </cell>
          <cell r="B2714" t="str">
            <v>G764S674</v>
          </cell>
          <cell r="J2714" t="str">
            <v>Набор Confidence 6 предметов: ковш 16 см с крышкой + кастрюли 20/24 с крышками</v>
          </cell>
        </row>
        <row r="2715">
          <cell r="A2715">
            <v>1830007851</v>
          </cell>
          <cell r="B2715" t="str">
            <v>BC1000V1</v>
          </cell>
          <cell r="J2715" t="str">
            <v xml:space="preserve">Tefal Кухонные весы                     </v>
          </cell>
        </row>
        <row r="2716">
          <cell r="A2716">
            <v>1830007263</v>
          </cell>
          <cell r="B2716" t="str">
            <v>DG7623F0</v>
          </cell>
          <cell r="J2716" t="str">
            <v>парогенератор Rowenta Eco Steam Pro Steam Generator Iron давление пара 6,3 бар , подача пара 100 , паровой удар 325</v>
          </cell>
        </row>
        <row r="2717">
          <cell r="A2717">
            <v>1830008237</v>
          </cell>
          <cell r="B2717" t="str">
            <v>CV4753F0</v>
          </cell>
          <cell r="J2717" t="str">
            <v>Компактный и мощный фен для мужчин с мотором мощностью 2200 Вт Воздушный поток со скоростью 100 км/ч для ультрабыстрой сушки, 3 режима температуры для защиты волос и 2 скорости сушки, функция подачи холодного воздуха для фиксации укладки Компактный размер и складная ручка для легкого хранения и переноски</v>
          </cell>
        </row>
        <row r="2718">
          <cell r="A2718">
            <v>1830008886</v>
          </cell>
          <cell r="B2718" t="str">
            <v>CV4753F1</v>
          </cell>
          <cell r="J2718" t="str">
            <v>Фен ROWENTA COMPACT PRO CV4753F1</v>
          </cell>
        </row>
        <row r="2719">
          <cell r="A2719">
            <v>1830006323</v>
          </cell>
          <cell r="B2719" t="str">
            <v>CV4751F0</v>
          </cell>
          <cell r="J2719" t="str">
            <v>Nomad</v>
          </cell>
        </row>
        <row r="2720">
          <cell r="A2720">
            <v>1830005060</v>
          </cell>
          <cell r="B2720" t="str">
            <v>CV4750F0</v>
          </cell>
          <cell r="J2720" t="str">
            <v>Фен Nomad for Men, 2200 Вт, складная ручка, скорость потока воздуха - 100 км/ч, концентратор, 6 режимов, холодный воздух, съемная решетка</v>
          </cell>
        </row>
        <row r="2721">
          <cell r="A2721">
            <v>1830004641</v>
          </cell>
          <cell r="B2721" t="str">
            <v>CV4741D0</v>
          </cell>
          <cell r="J2721" t="str">
            <v>Фен Compact Pro, 2200 Вт, ионизация, насадка Air Control, 6 режимов, режим Турбо, холодный воздух, съемная решетка</v>
          </cell>
        </row>
        <row r="2722">
          <cell r="A2722">
            <v>1830004640</v>
          </cell>
          <cell r="B2722" t="str">
            <v>CV4731D0</v>
          </cell>
          <cell r="J2722" t="str">
            <v>Фен, 2200 Вт, ионизация, активный диффузор с движущимися пальчиками, концентратор, 6 режимов, режим Турбо, холодный воздух, съемная решетка</v>
          </cell>
        </row>
        <row r="2723">
          <cell r="A2723">
            <v>1830007565</v>
          </cell>
          <cell r="B2723" t="str">
            <v>CV6930F0</v>
          </cell>
          <cell r="J2723" t="str">
            <v>Фен COMPACT PRO, AC мотор, мощность 2200 Вт, 4 настройки мощности/температуры, холодный воздух, тонкий концентратор, классический диффузор.</v>
          </cell>
        </row>
        <row r="2724">
          <cell r="A2724">
            <v>7211005169</v>
          </cell>
          <cell r="B2724" t="str">
            <v>TW4B50EA</v>
          </cell>
          <cell r="J2724" t="str">
            <v>Безмешковый пылесос COMPACT POWER XXL TW4B50EA, мощность 900 Вт, уровень шума 75 дБ, пылесборник объемом 2,5 л, длина шнура питания 6,2 м, в комплекте: мини турбощетка, щелевая насадка, насадка для паркета</v>
          </cell>
        </row>
        <row r="2725">
          <cell r="A2725">
            <v>2211401295</v>
          </cell>
          <cell r="B2725" t="str">
            <v>TW7B62EA</v>
          </cell>
          <cell r="J2725" t="str">
            <v>Безмешковый пылесос COMPACT POWER XXL, мощность потребления  900W</v>
          </cell>
        </row>
        <row r="2726">
          <cell r="A2726">
            <v>7211005167</v>
          </cell>
          <cell r="B2726" t="str">
            <v>TW4B25EA</v>
          </cell>
          <cell r="J2726" t="str">
            <v xml:space="preserve">Безмешковый пылесос COMPACT POWER XXL TW4B25EA, мощность 900 Вт, уровень шума 75 дБ, пылесборник объемом 2,5 л, длина шнура питания 6,2 м, в комплекте: насадка для мягкой мебели, щелевая насадка </v>
          </cell>
        </row>
        <row r="2727">
          <cell r="A2727">
            <v>7211005170</v>
          </cell>
          <cell r="B2727" t="str">
            <v>TW4B75EA</v>
          </cell>
          <cell r="J2727" t="str">
            <v>Безмешковый пылесос COMPACT POWER XXL TW4B75EA, мощность 900 Вт, уровень шума 75 дБ, пылесборник объемом 2,5 л, длина шнура питания 6,2 м, в комплекте: мини турбощетка, щелевая насадка, насадка для паркета, насадка для мягкой мебели, гибкая щелевая насадка XXL</v>
          </cell>
        </row>
        <row r="2728">
          <cell r="A2728">
            <v>7211005168</v>
          </cell>
          <cell r="B2728" t="str">
            <v>TW4B36EA</v>
          </cell>
          <cell r="J2728" t="str">
            <v>Безмешковый пылесос COMPACT POWER XXL TW4B36EA, мощность 900 Вт, уровень шума 75 дБ, пылесборник объемом 2,5 л, длина шнура питания 6,2 м, в комплекте: насадка для мягкой мебели, щелевая насадка, насадка для паркета</v>
          </cell>
        </row>
        <row r="2729">
          <cell r="A2729">
            <v>7211004537</v>
          </cell>
          <cell r="B2729" t="str">
            <v>TW4825EA</v>
          </cell>
          <cell r="J2729" t="str">
            <v>Безмешковый пылесос Compact Power XXL мощность 550 Вт  уровень шума 75 дБ объем контейнера 15 л фильтр HEPA насадки: пол/ковер , щелевая, щетка для мягкой мебели</v>
          </cell>
        </row>
        <row r="2730">
          <cell r="A2730">
            <v>7211005009</v>
          </cell>
          <cell r="B2730" t="str">
            <v>TW4826EA</v>
          </cell>
          <cell r="J2730" t="str">
            <v>Безмешковый пылесос Compact Power XXL мощность 550 Вт,  уровень шума 75 дБ, объем контейнера 25 л, фильтр HEPA, насадки: пол/ковер, щелевая, щетка для мягкой мебели, насадка-щетка</v>
          </cell>
        </row>
        <row r="2731">
          <cell r="A2731">
            <v>2211400904</v>
          </cell>
          <cell r="B2731" t="str">
            <v>TW4826EA</v>
          </cell>
          <cell r="J2731" t="str">
            <v>Безмешковый пылесос Compact Power XXL мощность 550 Вт,  уровень шума 75 дБ, объем контейнера 25 л, фильтр HEPA, насадки: пол/ковер, щелевая, щетка для мягкой мебели, насадка-щетка</v>
          </cell>
        </row>
        <row r="2732">
          <cell r="A2732">
            <v>7211005010</v>
          </cell>
          <cell r="B2732" t="str">
            <v>TW4853EA</v>
          </cell>
          <cell r="J2732"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для мягкой мебели</v>
          </cell>
        </row>
        <row r="2733">
          <cell r="A2733">
            <v>2211400794</v>
          </cell>
          <cell r="B2733" t="str">
            <v>TW4853EA</v>
          </cell>
          <cell r="J2733"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для мягкой мебели</v>
          </cell>
        </row>
        <row r="2734">
          <cell r="A2734">
            <v>7211004388</v>
          </cell>
          <cell r="B2734" t="str">
            <v>TW4855EA</v>
          </cell>
          <cell r="J2734" t="str">
            <v>Безмешковый пылесос Compact Power XXL мощность 550 Вт,  уровень шума 75 дБ, объем контейнера 25 л, фильтр HEPA, насадки: пол/ковер, щелевая, щетка для мягкой мебели, паркетная, насадка-щетка</v>
          </cell>
        </row>
        <row r="2735">
          <cell r="A2735">
            <v>2211400876</v>
          </cell>
          <cell r="B2735" t="str">
            <v>TW4855EA</v>
          </cell>
          <cell r="J2735" t="str">
            <v>Безмешковый пылесос Compact Power XXL мощность 550 Вт,  уровень шума 75 дБ, объем контейнера 25 л, фильтр HEPA, насадки: пол/ковер, щелевая, щетка для мягкой мебели, паркетная, насадка-щетка</v>
          </cell>
        </row>
        <row r="2736">
          <cell r="A2736">
            <v>7211004389</v>
          </cell>
          <cell r="B2736" t="str">
            <v>TW4871EA</v>
          </cell>
          <cell r="J2736" t="str">
            <v>Безмешковый пылесос COMPACT POWER XXL , мощность 550 W, уровень шума 75 дБ, объем мешка 2,5 л, фильтр высокой фильтрации, насадки: пол/ковер, щелевая 2в1, паркетная щетка, мини турбощетка, для мягкой мебели</v>
          </cell>
        </row>
        <row r="2737">
          <cell r="A2737">
            <v>2211400795</v>
          </cell>
          <cell r="B2737" t="str">
            <v>TW4871EA</v>
          </cell>
          <cell r="J2737" t="str">
            <v>Безмешковый пылесос COMPACT POWER XXL , мощность 550 W, уровень шума 75 дБ, объем мешка 2,5 л, фильтр высокой фильтрации, насадки: пол/ковер, щелевая 2в1, паркетная щетка, мини турбощетка, для мягкой мебели</v>
          </cell>
        </row>
        <row r="2738">
          <cell r="A2738">
            <v>7211005011</v>
          </cell>
          <cell r="B2738" t="str">
            <v>TW4873EA</v>
          </cell>
          <cell r="J2738"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мини турбощетка, щетка для мебели, для мягкой мебели</v>
          </cell>
        </row>
        <row r="2739">
          <cell r="A2739">
            <v>2211400796</v>
          </cell>
          <cell r="B2739" t="str">
            <v>TW4873EA</v>
          </cell>
          <cell r="J2739"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мини турбощетка, щетка для мебели, для мягкой мебели</v>
          </cell>
        </row>
        <row r="2740">
          <cell r="A2740">
            <v>7211005012</v>
          </cell>
          <cell r="B2740" t="str">
            <v>TW4881EA</v>
          </cell>
          <cell r="J2740"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мини турбощетка, щетка для мебели, гибкая щелевая, для мягкой мебели</v>
          </cell>
        </row>
        <row r="2741">
          <cell r="A2741">
            <v>2211400797</v>
          </cell>
          <cell r="B2741" t="str">
            <v>TW4881EA</v>
          </cell>
          <cell r="J2741" t="str">
            <v>Безмешковый пылесос COMPACT POWER XXL (CC4), мощность 550 W, уровень шума 75 дБ, объем мешка 2,5 л, фильтр высокой фильтрации, насадки: пол/ковер, щелевая 2в1, паркетная щетка, мини турбощетка, щетка для мебели, гибкая щелевая, для мягкой мебели</v>
          </cell>
        </row>
        <row r="2742">
          <cell r="A2742">
            <v>7211005013</v>
          </cell>
          <cell r="B2742" t="str">
            <v>TW4886EA</v>
          </cell>
          <cell r="J2742" t="str">
            <v>Безмешковый пылесос Compact Power XXL мощность 550 Вт,  уровень шума 75 дБ, объем контейнера 25 л, фильтр HEPA, насадки: пол/ковер, щелевая, щелевая XXL, щетка для мягкой мебели, паркетная, мини турбо щетка, насадка-щетка</v>
          </cell>
        </row>
        <row r="2743">
          <cell r="A2743">
            <v>2211400875</v>
          </cell>
          <cell r="B2743" t="str">
            <v>TW4886EA</v>
          </cell>
          <cell r="J2743" t="str">
            <v>Безмешковый пылесос Compact Power XXL мощность 550 Вт,  уровень шума 75 дБ, объем контейнера 25 л, фильтр HEPA, насадки: пол/ковер, щелевая, щелевая XXL, щетка для мягкой мебели, паркетная, мини турбо щетка, насадка-щетка</v>
          </cell>
        </row>
        <row r="2744">
          <cell r="A2744">
            <v>2211400261</v>
          </cell>
          <cell r="B2744" t="str">
            <v>TW3927EA</v>
          </cell>
          <cell r="J2744" t="str">
            <v>Мешковый пылесос COMPACT POWER , мощность 750 W( = 2000 W), уровень шума 79 дБ, объем мешка 3 л, фильтр HEPA 11, насадки: пол/ковер, щелевая, для мягкой мебели, паркетная щетка, цвет голубой</v>
          </cell>
        </row>
        <row r="2745">
          <cell r="A2745">
            <v>2211400262</v>
          </cell>
          <cell r="B2745" t="str">
            <v>TW3931EA</v>
          </cell>
          <cell r="J2745" t="str">
            <v>Мешковый пылесос COMPACT POWER , мощность 750 W( = 2000 W), уровень шума 79 дБ, объем мешка 3 л, фильтр HEPA 11, насадки: пол/ковер, щелевая, для мягкой мебели, паркетная щетка, цвет голубой</v>
          </cell>
        </row>
        <row r="2746">
          <cell r="A2746">
            <v>2211400166</v>
          </cell>
          <cell r="B2746" t="str">
            <v>TW3953EA</v>
          </cell>
          <cell r="J2746" t="str">
            <v>Мешковый пылесос COMPACT POWER , мощность 750 W( = 2000 W), уровень шума 75 дБ, объем мешка 3 л, фильтр HEPA 11, насадки: пол/ковер, щелевая, для мягкой мебели, паркетная щетка, мини турбощетка, цвет черный</v>
          </cell>
        </row>
        <row r="2747">
          <cell r="A2747">
            <v>2211400445</v>
          </cell>
          <cell r="B2747" t="str">
            <v>TW3981EA</v>
          </cell>
          <cell r="J2747" t="str">
            <v>COMPACT POWER BAGGED</v>
          </cell>
        </row>
        <row r="2748">
          <cell r="A2748">
            <v>2211400167</v>
          </cell>
          <cell r="B2748" t="str">
            <v>TW3985EA</v>
          </cell>
          <cell r="J2748" t="str">
            <v>Мешковый пылесос COMPACT POWER , мощность 750 W( = 2000 W), уровень шума 75 дБ, объем мешка 3 л, фильтр HEPA 11, насадки: пол/ковер, щелевая, для мягкой мебели, паркетная щетка, мини турбощетка, цвет черный</v>
          </cell>
        </row>
        <row r="2749">
          <cell r="A2749">
            <v>2211400263</v>
          </cell>
          <cell r="B2749" t="str">
            <v>TW3999EA</v>
          </cell>
          <cell r="J2749" t="str">
            <v>Мешковый пылесос COMPACT POWER , мощность 750 W( = 2000 W), уровень шума 75 дБ, объем мешка 3 л, фильтр HEPA 11, насадки: пол/ковер, щелевая, для мягкой мебели, паркетная щетка, мини турбощетка, цвет фиолетовый</v>
          </cell>
        </row>
        <row r="2750">
          <cell r="A2750">
            <v>1830007634</v>
          </cell>
          <cell r="B2750" t="str">
            <v>SE2210F0</v>
          </cell>
          <cell r="J2750" t="str">
            <v>Тепловентилятор, Мощность 2000 Вт, механический термостат , площадь помещения – до 20 кв.м, защита от перегрева, цвет - серый</v>
          </cell>
        </row>
        <row r="2751">
          <cell r="A2751">
            <v>2211400061</v>
          </cell>
          <cell r="B2751" t="str">
            <v>TW3724RA</v>
          </cell>
          <cell r="J2751" t="str">
            <v>Безмешковой пылесос Copmact Power, мощность 750 W (= 2000 W), уровень шума 79 дБ, объем контейнера 1,5 л, фильтр HEPA, насадки: пол/ковер, щелевая</v>
          </cell>
        </row>
        <row r="2752">
          <cell r="A2752">
            <v>2211400062</v>
          </cell>
          <cell r="B2752" t="str">
            <v>TW3731RA</v>
          </cell>
          <cell r="J2752" t="str">
            <v>Безмешковой пылесос Copmact Power, мощность 750 W (= 2000 W), уровень шума 79 дБ, объем контейнера 1,5 л, фильтр HEPA, насадки: пол/ковер, щелевая, насадка для мягкой мебели</v>
          </cell>
        </row>
        <row r="2753">
          <cell r="A2753">
            <v>2211400158</v>
          </cell>
          <cell r="B2753" t="str">
            <v>TW3753EA</v>
          </cell>
          <cell r="J2753" t="str">
            <v>Безмешковый пылесос Copmact Power, мощность 750 W (= 2000 W), уровень шума 79 дБ, объем контейнера 1,5 л, фильтр HEPA, насадки: пол/ковер, щелевая, паркетная щетка</v>
          </cell>
        </row>
        <row r="2754">
          <cell r="A2754">
            <v>2211400547</v>
          </cell>
          <cell r="B2754" t="str">
            <v>TW3759EA</v>
          </cell>
          <cell r="J2754" t="str">
            <v>Безмешковый пылесос Copmact Power, мощность 750 Ватт , уровень шума 79 дБ, объем контейнера 1,5 л, фильтр HEPA11, насадки: пол/ковер, щелевая, паркетная щетка</v>
          </cell>
        </row>
        <row r="2755">
          <cell r="A2755">
            <v>2211400063</v>
          </cell>
          <cell r="B2755" t="str">
            <v>TW3786RA</v>
          </cell>
          <cell r="J2755" t="str">
            <v>Безмешковой пылесос Copmact Power, мощность 750 W (= 2000 W), уровень шума 79 дБ, объем контейнера 1,5 л, фильтр HEPA, насадки: пол/ковер, щелевая, щетка для мягкой мебели, паркетная, мини турбо щетка.</v>
          </cell>
        </row>
        <row r="2756">
          <cell r="A2756">
            <v>2211400548</v>
          </cell>
          <cell r="B2756" t="str">
            <v>TW3796EA</v>
          </cell>
          <cell r="J2756" t="str">
            <v>Безмешковый пылесос Copmact Power, мощность 750 Ватт, уровень шума 79 дБ, объем контейнера 1,5 л, фильтр HEPA11, насадки: пол/ковер, щелевая, паркетная щетка, мини турбощетка, автомобильная насадка, для мягкой мебели</v>
          </cell>
        </row>
        <row r="2757">
          <cell r="A2757">
            <v>2211400208</v>
          </cell>
          <cell r="B2757" t="str">
            <v>TW3798EA</v>
          </cell>
          <cell r="J2757" t="str">
            <v>Безмешковый пылесос Copmact Power, мощность 750 W (= 2000 W), уровень шума 79 дБ, объем контейнера 1,5 л, фильтр HEPA, насадки: пол/ковер, щелевая, паркетная щетка, мини турбощетка, автомобильная насадка, для мягкой мебели</v>
          </cell>
        </row>
        <row r="2758">
          <cell r="A2758">
            <v>8900547728</v>
          </cell>
          <cell r="B2758">
            <v>790556380</v>
          </cell>
          <cell r="J2758" t="str">
            <v>Набор кастрюль 5 предметов COMPACT CUISINE</v>
          </cell>
        </row>
        <row r="2759">
          <cell r="A2759">
            <v>3201112135</v>
          </cell>
          <cell r="B2759">
            <v>732556040</v>
          </cell>
          <cell r="J2759" t="str">
            <v>Набор кастрюль 5 пр. COMFORT LINE</v>
          </cell>
        </row>
        <row r="2760">
          <cell r="A2760">
            <v>2100096006</v>
          </cell>
          <cell r="B2760" t="str">
            <v>K221SB14</v>
          </cell>
          <cell r="J2760" t="str">
            <v>Набор ножей Comfort (9 ножей + блок)</v>
          </cell>
        </row>
        <row r="2761">
          <cell r="A2761">
            <v>2100096005</v>
          </cell>
          <cell r="B2761" t="str">
            <v>K221SA14</v>
          </cell>
          <cell r="J2761" t="str">
            <v>Набор ножей Comfort (5 ножей + блок)</v>
          </cell>
        </row>
        <row r="2762">
          <cell r="A2762">
            <v>2100123129</v>
          </cell>
          <cell r="B2762" t="str">
            <v>K221SA04</v>
          </cell>
          <cell r="J2762" t="str">
            <v>Набор ножей Comfort (5 ножей + блок)</v>
          </cell>
        </row>
        <row r="2763">
          <cell r="A2763">
            <v>2100121761</v>
          </cell>
          <cell r="B2763" t="str">
            <v>K221S475</v>
          </cell>
          <cell r="J2763" t="str">
            <v>Набор из 4 ножей Comfort</v>
          </cell>
        </row>
        <row r="2764">
          <cell r="A2764">
            <v>2100121762</v>
          </cell>
          <cell r="B2764" t="str">
            <v>K221S375</v>
          </cell>
          <cell r="J2764" t="str">
            <v>Набор из 3 ножей Comfort</v>
          </cell>
        </row>
        <row r="2765">
          <cell r="A2765">
            <v>2100121737</v>
          </cell>
          <cell r="B2765" t="str">
            <v>K2213204</v>
          </cell>
          <cell r="J2765" t="str">
            <v>Поварской нож 20 см Comfort</v>
          </cell>
        </row>
        <row r="2766">
          <cell r="A2766">
            <v>2100121731</v>
          </cell>
          <cell r="B2766" t="str">
            <v>K2213704</v>
          </cell>
          <cell r="J2766" t="str">
            <v>Нож для измельчения 20 см Comfort</v>
          </cell>
        </row>
        <row r="2767">
          <cell r="A2767">
            <v>2100121739</v>
          </cell>
          <cell r="B2767" t="str">
            <v>K2213604</v>
          </cell>
          <cell r="J2767" t="str">
            <v>Нож Сантоку 12 см Comfort</v>
          </cell>
        </row>
        <row r="2768">
          <cell r="A2768">
            <v>2100094125</v>
          </cell>
          <cell r="B2768" t="str">
            <v>K2213914</v>
          </cell>
          <cell r="J2768" t="str">
            <v>Многофункциональный нож 12 см Comfort</v>
          </cell>
        </row>
        <row r="2769">
          <cell r="A2769">
            <v>2100121738</v>
          </cell>
          <cell r="B2769" t="str">
            <v>K2213904</v>
          </cell>
          <cell r="J2769" t="str">
            <v>Многофункциональный нож 12 см Comfort</v>
          </cell>
        </row>
        <row r="2770">
          <cell r="A2770">
            <v>2100121730</v>
          </cell>
          <cell r="B2770" t="str">
            <v>K2214104</v>
          </cell>
          <cell r="J2770" t="str">
            <v>Ножницы Comfort</v>
          </cell>
        </row>
        <row r="2771">
          <cell r="A2771">
            <v>2100094120</v>
          </cell>
          <cell r="B2771" t="str">
            <v>K2213514</v>
          </cell>
          <cell r="J2771" t="str">
            <v>Нож для чистки овощей 9 см Comfort</v>
          </cell>
        </row>
        <row r="2772">
          <cell r="A2772">
            <v>2100121732</v>
          </cell>
          <cell r="B2772" t="str">
            <v>K2213504</v>
          </cell>
          <cell r="J2772" t="str">
            <v>Нож для чистки овощей 9 см Comfort</v>
          </cell>
        </row>
        <row r="2773">
          <cell r="A2773">
            <v>2100121736</v>
          </cell>
          <cell r="B2773" t="str">
            <v>K2213104</v>
          </cell>
          <cell r="J2773" t="str">
            <v>Поварской нож Comfort 15 см</v>
          </cell>
        </row>
        <row r="2774">
          <cell r="A2774">
            <v>2100136154</v>
          </cell>
          <cell r="B2774" t="str">
            <v>K2216S74</v>
          </cell>
          <cell r="J2774" t="str">
            <v>Набор ножей Comfort (5 ножей + пластиковый блок)</v>
          </cell>
        </row>
        <row r="2775">
          <cell r="A2775">
            <v>2100121757</v>
          </cell>
          <cell r="B2775" t="str">
            <v>K250S225</v>
          </cell>
          <cell r="J2775" t="str">
            <v>Набор Шеф-нож 15см + ножницы Comfort</v>
          </cell>
        </row>
        <row r="2776">
          <cell r="A2776">
            <v>2820267510</v>
          </cell>
          <cell r="B2776" t="str">
            <v>FV2675E0</v>
          </cell>
          <cell r="J2776" t="str">
            <v>УТЮГ COMFORT GLIDE, 2500 ВТ, ПОДОШВА DURILIUM AIRGLIDE, РЕГУЛИРУЕМЫЙ ПАР 0-40Г/МИН, ПАРОВОЙ УДАР 150 Г/МИН, АВТООТКЛЮЧЕНИЕ, ПРОТИВОКАПЕЛЬНАЯ СИСТЕМА, ВЕРТИКАЛЬНЫЙ ПАР, CИСТЕМА EASYCORD, РЕЗЕРВУАР ДЛЯ ВОДЫ 270 МЛ, СИСТЕМА ЗАЩИТЫ ОТ НАКИПИ, САМООЧИСТКА, СПРЕЙ</v>
          </cell>
        </row>
        <row r="2777">
          <cell r="A2777">
            <v>2820268300</v>
          </cell>
          <cell r="B2777" t="str">
            <v>FV2683E0</v>
          </cell>
          <cell r="J2777" t="str">
            <v>УТЮГ COMFORT GLIDE, 2500 ВТ, ПОДОШВА DURILIUM AIRGLIDE, РЕГУЛИРУЕМЫЙ ПАР 0-40Г/МИН, ПАРОВОЙ УДАР 140 Г/МИН, АВТООТКЛЮЧЕНИЕ, ПРОТИВОКАПЕЛЬНАЯ СИСТЕМА, ВЕРТИКАЛЬНЫЙ ПАР, CИСТЕМА EASYCORD, РЕЗЕРВУАР ДЛЯ ВОДЫ 270 МЛ, СИСТЕМА ЗАЩИТЫ ОТ НАКИПИ, САМООЧИСТКА, СПРЕЙ</v>
          </cell>
        </row>
        <row r="2778">
          <cell r="A2778">
            <v>2820268400</v>
          </cell>
          <cell r="B2778" t="str">
            <v>FV2684E0</v>
          </cell>
          <cell r="J2778" t="str">
            <v>УТЮГ COMFORT GLIDE, 2500 ВТ, ПОДОШВА DURILIUM AIRGLIDE, РЕГУЛИРУЕМЫЙ ПАР 0-40Г/МИН, ПАРОВОЙ УДАР 150 Г/МИН, АВТООТКЛЮЧЕНИЕ, ПРОТИВОКАПЕЛЬНАЯ СИСТЕМА, ВЕРТИКАЛЬНЫЙ ПАР, CИСТЕМА EASYCORD, РЕЗЕРВУАР ДЛЯ ВОДЫ 270 МЛ, СИСТЕМА ЗАЩИТЫ ОТ НАКИПИ, САМООЧИСТКА, СПРЕЙ</v>
          </cell>
        </row>
        <row r="2779">
          <cell r="A2779">
            <v>2100102192</v>
          </cell>
          <cell r="B2779" t="str">
            <v>K1292614</v>
          </cell>
          <cell r="J2779" t="str">
            <v>Пресс для чеснока COMFORT</v>
          </cell>
        </row>
        <row r="2780">
          <cell r="A2780">
            <v>2100102199</v>
          </cell>
          <cell r="B2780" t="str">
            <v>K1292414</v>
          </cell>
          <cell r="J2780" t="str">
            <v>КИСТОЧКА ДЛЯ ВЫПЕЧКИ COMFORT</v>
          </cell>
        </row>
        <row r="2781">
          <cell r="A2781">
            <v>2100102201</v>
          </cell>
          <cell r="B2781" t="str">
            <v>K1292014</v>
          </cell>
          <cell r="J2781" t="str">
            <v>K1292014 ЛОПАТКА COMFORT TEFAL</v>
          </cell>
        </row>
        <row r="2782">
          <cell r="A2782">
            <v>2100102187</v>
          </cell>
          <cell r="B2782" t="str">
            <v>K1291714</v>
          </cell>
          <cell r="J2782" t="str">
            <v>Венчик COMFORT</v>
          </cell>
        </row>
        <row r="2783">
          <cell r="A2783">
            <v>2100102194</v>
          </cell>
          <cell r="B2783" t="str">
            <v>K1290714</v>
          </cell>
          <cell r="J2783" t="str">
            <v>Терка ручная  COMFORT</v>
          </cell>
        </row>
        <row r="2784">
          <cell r="A2784">
            <v>2100102198</v>
          </cell>
          <cell r="B2784" t="str">
            <v>K1290214</v>
          </cell>
          <cell r="J2784" t="str">
            <v>K1290214 Половник COMFORT</v>
          </cell>
        </row>
        <row r="2785">
          <cell r="A2785">
            <v>2100102186</v>
          </cell>
          <cell r="B2785" t="str">
            <v>K1291814</v>
          </cell>
          <cell r="J2785" t="str">
            <v>Овощечистка Y-формы COMFORT</v>
          </cell>
        </row>
        <row r="2786">
          <cell r="A2786">
            <v>2100102185</v>
          </cell>
          <cell r="B2786" t="str">
            <v>K1298114</v>
          </cell>
          <cell r="J2786" t="str">
            <v>Овощечистка с вертикальным лезвием COMFORT</v>
          </cell>
        </row>
        <row r="2787">
          <cell r="A2787">
            <v>2100102196</v>
          </cell>
          <cell r="B2787" t="str">
            <v>K1291014</v>
          </cell>
          <cell r="J2787" t="str">
            <v>Шумовка "Комфорт"</v>
          </cell>
        </row>
        <row r="2788">
          <cell r="A2788">
            <v>2100102197</v>
          </cell>
          <cell r="B2788" t="str">
            <v>K1290114</v>
          </cell>
          <cell r="J2788" t="str">
            <v>Ложка "Комфорт"</v>
          </cell>
        </row>
        <row r="2789">
          <cell r="A2789">
            <v>2100102204</v>
          </cell>
          <cell r="B2789" t="str">
            <v>K1291614</v>
          </cell>
          <cell r="J2789" t="str">
            <v>Щипцы "Комфорт"</v>
          </cell>
        </row>
        <row r="2790">
          <cell r="A2790">
            <v>2100102202</v>
          </cell>
          <cell r="B2790" t="str">
            <v>K1294614</v>
          </cell>
          <cell r="J2790" t="str">
            <v>Гибкая лопатка "Комфорт"</v>
          </cell>
        </row>
        <row r="2791">
          <cell r="A2791">
            <v>2100128559</v>
          </cell>
          <cell r="B2791" t="str">
            <v>K273S304</v>
          </cell>
          <cell r="J2791" t="str">
            <v>Набор из 3х ножей (разноцветные)</v>
          </cell>
        </row>
        <row r="2792">
          <cell r="A2792">
            <v>2100128560</v>
          </cell>
          <cell r="B2792" t="str">
            <v>K2733S04</v>
          </cell>
          <cell r="J2792" t="str">
            <v>Набор из 3х ножей (черные)</v>
          </cell>
        </row>
        <row r="2793">
          <cell r="A2793">
            <v>2100120915</v>
          </cell>
          <cell r="B2793" t="str">
            <v>K1569075</v>
          </cell>
          <cell r="J2793" t="str">
            <v>Блок для ножей Collection v1.5</v>
          </cell>
        </row>
        <row r="2794">
          <cell r="A2794">
            <v>1510002214</v>
          </cell>
          <cell r="B2794" t="str">
            <v>GX204D10</v>
          </cell>
          <cell r="J2794" t="str">
            <v>Кофемолка KRUPS, мощность 200 Вт, два лезвия, загрузка кофе в зернах 85 г, цвет -металлик</v>
          </cell>
        </row>
        <row r="2795">
          <cell r="A2795">
            <v>8010000601</v>
          </cell>
          <cell r="B2795" t="str">
            <v>F2034232</v>
          </cell>
          <cell r="J2795" t="str">
            <v>Кофемолка KRUPS, мощность 200 Вт, два лезвия, загрузка кофе в зернах 85 г, цвет - черный</v>
          </cell>
        </row>
        <row r="2796">
          <cell r="A2796">
            <v>7211001147</v>
          </cell>
          <cell r="B2796" t="str">
            <v>LM142A26</v>
          </cell>
          <cell r="J2796" t="str">
            <v>МИНИ-БЛЕНДЕР MOULINEX FRUIT SENSATION. МОЩНОСТЬ - 300ВТ, 2 СКОРОСТИ, СТЕКЛЯННАЯ ЧАША, ОБЪЕМ 0,6Л, СЪЕМНЫЕ НОЖИ ИЗ НЕРЖАВЕЮЩЕЙ СТАЛИ, 2 ИЗМЕЛЬЧИТЕЛЯ, КНИГА РЕЦЕПТОВ. СДЕЛАНО В КИТАЕ</v>
          </cell>
        </row>
        <row r="2797">
          <cell r="A2797">
            <v>3100508270</v>
          </cell>
          <cell r="B2797">
            <v>508270</v>
          </cell>
          <cell r="J2797" t="str">
            <v>Приспособление для отрезания пищевой пленки и фольги Clic&amp;Cut 33см зеленый</v>
          </cell>
        </row>
        <row r="2798">
          <cell r="A2798">
            <v>3100508269</v>
          </cell>
          <cell r="B2798">
            <v>508269</v>
          </cell>
          <cell r="J2798" t="str">
            <v xml:space="preserve">Приспособление для отрезания пищевой пленки и фольги Clic&amp;Cut 33см желтый </v>
          </cell>
        </row>
        <row r="2799">
          <cell r="A2799">
            <v>3100508268</v>
          </cell>
          <cell r="B2799">
            <v>508268</v>
          </cell>
          <cell r="J2799" t="str">
            <v>Приспособление для отрезания пищевой пленки и фольги Clic&amp;Cut 33см оранж</v>
          </cell>
        </row>
        <row r="2800">
          <cell r="A2800">
            <v>3100508020</v>
          </cell>
          <cell r="B2800">
            <v>508020</v>
          </cell>
          <cell r="J2800" t="str">
            <v>Приспособление для отрезания пищевой пленки и фольги Clic&amp;Cut 33см красный</v>
          </cell>
        </row>
        <row r="2801">
          <cell r="A2801">
            <v>2211400818</v>
          </cell>
          <cell r="B2801" t="str">
            <v>VP7751WH</v>
          </cell>
          <cell r="J2801" t="str">
            <v>Паровой пылесос CLEAN &amp; STEAM REVOLUTION 2 в 1 : пылесос и пароочиститель, мощность 1500 Вт, объем контейнера для пыли - 0,3 л., индикатор подачи пара, время обрязования пара до 30 с, контейнера для воды - 0,47 л, уровень шума 83 дБ,  в комплекте 3 тряпок: 2 мягкие , 1 жесткая, 2 картриджа для очистки от накипи, цвет - светло-фиолетовый</v>
          </cell>
        </row>
        <row r="2802">
          <cell r="A2802">
            <v>2211400817</v>
          </cell>
          <cell r="B2802" t="str">
            <v>VP7777WH</v>
          </cell>
          <cell r="J2802" t="str">
            <v>Паровой пылесос CLEAN &amp; STEAM REVOLUTION 2 в 1 : пылесос и пароочиститель, мощность 1500 Вт, объем контейнера для пыли - 0,3 л., 3 режима подачи пара, индикатор подачи пара, время обрязования пара до 30 с, контейнера для воды - 0,47 л, уровень шума 83 дБ,  в комплекте 3 тряпок: 2 мягкие, 2 жесткие, 3 картриджа для очистки от накипи, цвет - синий</v>
          </cell>
        </row>
        <row r="2803">
          <cell r="A2803">
            <v>2211401055</v>
          </cell>
          <cell r="B2803" t="str">
            <v>VP8561RH</v>
          </cell>
          <cell r="J2803" t="str">
            <v>Паровой пылесос CLEAN &amp; STEAM ULTIMATE 3 в 1 : пылесос + пароочиститель для пола + ручной пароочиститель в одном устройстве, мощность 1700 Вт, объем контейнера для пыли - 0,5 л., контейнера для воды - 0,4 л  ,  в комплекте 6 тряпок: 3 для легких загрязнений и 3 для сложных загрязнений , насадки для очистки поверхностей , цвет - белый</v>
          </cell>
        </row>
        <row r="2804">
          <cell r="A2804">
            <v>2211400509</v>
          </cell>
          <cell r="B2804" t="str">
            <v>VP8561RH</v>
          </cell>
          <cell r="J2804" t="str">
            <v>Паровой пылесос CLEAN &amp; STEAM ULTIMATE 3 в 1 : пылесос + пароочиститель для пола + ручной пароочиститель в одном устройстве, мощность 1700 Вт, объем контейнера для пыли - 0,5 л., контейнера для воды - 0,4 л  ,  в комплекте 6 тряпок: 3 для легких загрязнений и 3 для сложных загрязнений , насадки для очистки поверхностей , цвет - белый</v>
          </cell>
        </row>
        <row r="2805">
          <cell r="A2805">
            <v>2211400268</v>
          </cell>
          <cell r="B2805" t="str">
            <v>VP7545RH</v>
          </cell>
          <cell r="J2805" t="str">
            <v>Паровой пылесос CLEAN &amp; STEAM 2 в 1 : пылесос и пароочиститель, мощность 1700 Вт, объем контейнера для пыли - 0,8 л., контейнера для воды - 0,7 л  , вес 5,4 кг., время  работы  пара до 40 мин., уровень шума 84 дБ,  в комплекте 4 тряпки: 2 мягкие , 2 жесткие , цвет - черный</v>
          </cell>
        </row>
        <row r="2806">
          <cell r="A2806">
            <v>3110601340</v>
          </cell>
          <cell r="B2806" t="str">
            <v>N2022010</v>
          </cell>
          <cell r="J2806" t="str">
            <v>Термокружка Tefal Classic 0,5 л черная</v>
          </cell>
        </row>
        <row r="2807">
          <cell r="A2807">
            <v>3110601341</v>
          </cell>
          <cell r="B2807" t="str">
            <v>N2022110</v>
          </cell>
          <cell r="J2807" t="str">
            <v>Термокружка Tefal Classic 0,5 л синяя</v>
          </cell>
        </row>
        <row r="2808">
          <cell r="A2808">
            <v>3110601339</v>
          </cell>
          <cell r="B2808" t="str">
            <v>N2024510</v>
          </cell>
          <cell r="J2808" t="str">
            <v>Термокружка Tefal Classic Easy Twist 0,36 л голубая</v>
          </cell>
        </row>
        <row r="2809">
          <cell r="A2809">
            <v>3110601337</v>
          </cell>
          <cell r="B2809" t="str">
            <v>N2024310</v>
          </cell>
          <cell r="J2809" t="str">
            <v>Термокружка Tefal Classic Easy Twist 0,36 л зеленая</v>
          </cell>
        </row>
        <row r="2810">
          <cell r="A2810">
            <v>3110601338</v>
          </cell>
          <cell r="B2810" t="str">
            <v>N2024410</v>
          </cell>
          <cell r="J2810" t="str">
            <v>Термокружка Tefal Classic Easy Twist 0,36 л красная</v>
          </cell>
        </row>
        <row r="2811">
          <cell r="A2811">
            <v>1830009544</v>
          </cell>
          <cell r="B2811" t="str">
            <v>PP1904V0</v>
          </cell>
          <cell r="J2811" t="str">
            <v>PURPLE CAPRICE METAL</v>
          </cell>
        </row>
        <row r="2812">
          <cell r="A2812">
            <v>1830009546</v>
          </cell>
          <cell r="B2812" t="str">
            <v>PP1900V0</v>
          </cell>
          <cell r="J2812" t="str">
            <v>DUNE</v>
          </cell>
        </row>
        <row r="2813">
          <cell r="A2813">
            <v>1830009547</v>
          </cell>
          <cell r="B2813" t="str">
            <v>PP1901V0</v>
          </cell>
          <cell r="J2813" t="str">
            <v>WHITE</v>
          </cell>
        </row>
        <row r="2814">
          <cell r="A2814">
            <v>1830009548</v>
          </cell>
          <cell r="B2814" t="str">
            <v>PP1903V0</v>
          </cell>
          <cell r="J2814" t="str">
            <v>Eucalyptus Metal</v>
          </cell>
        </row>
        <row r="2815">
          <cell r="A2815">
            <v>1830009536</v>
          </cell>
          <cell r="B2815" t="str">
            <v>PP1905V0</v>
          </cell>
          <cell r="J2815" t="str">
            <v>LIGHT BLUE</v>
          </cell>
        </row>
        <row r="2816">
          <cell r="A2816">
            <v>1830009545</v>
          </cell>
          <cell r="B2816" t="str">
            <v>PP1906V0</v>
          </cell>
          <cell r="J2816" t="str">
            <v>DARK BLUE</v>
          </cell>
        </row>
        <row r="2817">
          <cell r="A2817">
            <v>1830008095</v>
          </cell>
          <cell r="B2817" t="str">
            <v>PP1540V0</v>
          </cell>
          <cell r="J2817" t="str">
            <v>TEFAL CLASSIC PP1540V0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Черный и медный цвет</v>
          </cell>
        </row>
        <row r="2818">
          <cell r="A2818">
            <v>1830008094</v>
          </cell>
          <cell r="B2818" t="str">
            <v>PP1539V0</v>
          </cell>
          <cell r="J2818" t="str">
            <v>TEFAL CLASSIC PP1539V0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Белый и серебряный с мозаикой цвет</v>
          </cell>
        </row>
        <row r="2819">
          <cell r="A2819">
            <v>1830008093</v>
          </cell>
          <cell r="B2819" t="str">
            <v>PP1538V0</v>
          </cell>
          <cell r="J2819" t="str">
            <v>TEFAL CLASSIC PP1538V0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Ярко красный цвет</v>
          </cell>
        </row>
        <row r="2820">
          <cell r="A2820">
            <v>1830008092</v>
          </cell>
          <cell r="B2820" t="str">
            <v>PP1537V0</v>
          </cell>
          <cell r="J2820" t="str">
            <v>TEFAL CLASSIC PP1537V0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Серебристый с цветами цвет</v>
          </cell>
        </row>
        <row r="2821">
          <cell r="A2821">
            <v>1830008091</v>
          </cell>
          <cell r="B2821" t="str">
            <v>PP1536V0</v>
          </cell>
          <cell r="J2821" t="str">
            <v>TEFAL CLASSIC PP1536V0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Белый с желто-синим скандинавским дизайном цвет</v>
          </cell>
        </row>
        <row r="2822">
          <cell r="A2822">
            <v>1830008090</v>
          </cell>
          <cell r="B2822" t="str">
            <v>PP1535V0</v>
          </cell>
          <cell r="J2822" t="str">
            <v>TEFAL CLASSIC PP1535V0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Синий с белыми треугольниками цвет</v>
          </cell>
        </row>
        <row r="2823">
          <cell r="A2823">
            <v>1830008089</v>
          </cell>
          <cell r="B2823" t="str">
            <v>PP1534V0</v>
          </cell>
          <cell r="J2823" t="str">
            <v>TEFAL CLASSIC PP1534V0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Серебряный с белыми треугольниками цвет</v>
          </cell>
        </row>
        <row r="2824">
          <cell r="A2824">
            <v>1830008088</v>
          </cell>
          <cell r="B2824" t="str">
            <v>PP1533V0</v>
          </cell>
          <cell r="J2824" t="str">
            <v>TEFAL CLASSIC PP1533V0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Синий с рисунком цветов цвет</v>
          </cell>
        </row>
        <row r="2825">
          <cell r="A2825">
            <v>1830008084</v>
          </cell>
          <cell r="B2825" t="str">
            <v>PP1531V0</v>
          </cell>
          <cell r="J2825" t="str">
            <v>TEFAL CLASSIC PP1531V0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Розовый с рисунком цветов цвет</v>
          </cell>
        </row>
        <row r="2826">
          <cell r="A2826">
            <v>1830008071</v>
          </cell>
          <cell r="B2826" t="str">
            <v>PP1530V0</v>
          </cell>
          <cell r="J2826" t="str">
            <v>TEFAL CLASSIC PP1530V0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батарейка в комплекте, размер 31 x 31 см; Белый с рисунком цветов цвет</v>
          </cell>
        </row>
        <row r="2827">
          <cell r="A2827">
            <v>1830007938</v>
          </cell>
          <cell r="B2827" t="str">
            <v>PP1503V0</v>
          </cell>
          <cell r="J2827" t="str">
            <v>TEFAL CLASSIC PP1503V0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батарейки в комплекте, размер 31 x 31 см; Бирюзовый цвет</v>
          </cell>
        </row>
        <row r="2828">
          <cell r="A2828">
            <v>1830007937</v>
          </cell>
          <cell r="B2828" t="str">
            <v>PP1501V0</v>
          </cell>
          <cell r="J2828" t="str">
            <v>TEFAL CLASSIC PP1501V0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батарейки в комплекте, размер 31 x 31 см; Белый цвет</v>
          </cell>
        </row>
        <row r="2829">
          <cell r="A2829">
            <v>1830007936</v>
          </cell>
          <cell r="B2829" t="str">
            <v>PP1500V0</v>
          </cell>
          <cell r="J2829" t="str">
            <v>TEFAL CLASSIC PP1500V0 Электронные весы, широкий дисплей с подсветкой, предел взвешивания 160 кг, шаг измерений 100 г, ультратонкий дизайн, автоматическое включение, платформа из закаленного стекла, батарейки в комплекте, размер 31 x 31 см; Серебряный цвет</v>
          </cell>
        </row>
        <row r="2830">
          <cell r="A2830">
            <v>2100110439</v>
          </cell>
          <cell r="B2830" t="str">
            <v>PP1153V0</v>
          </cell>
          <cell r="J2830" t="str">
            <v>Весы стеклянные Mozaic Glass platform 30 x 30 cm - 160 Kg</v>
          </cell>
        </row>
        <row r="2831">
          <cell r="A2831">
            <v>2100102482</v>
          </cell>
          <cell r="B2831" t="str">
            <v>PP1149V0</v>
          </cell>
          <cell r="J2831" t="str">
            <v>Весы стеклянные Red Lipstick Glass platform 30 x 30 cm - 160 Kg</v>
          </cell>
        </row>
        <row r="2832">
          <cell r="A2832">
            <v>2100101969</v>
          </cell>
          <cell r="B2832" t="str">
            <v>PP1148V0</v>
          </cell>
          <cell r="J2832" t="str">
            <v>Весы стеклянные Drawing bloom Classic: максимальный вес 160 кг, шаг измерения 100 г, тонкая платформа</v>
          </cell>
        </row>
        <row r="2833">
          <cell r="A2833">
            <v>2100101964</v>
          </cell>
          <cell r="B2833" t="str">
            <v>PP1147V0</v>
          </cell>
          <cell r="J2833" t="str">
            <v>Весы стеклянные Drawing bloom Classic: максимальный вес 160 кг, шаг измерения 100 г, тонкая платформа</v>
          </cell>
        </row>
        <row r="2834">
          <cell r="A2834">
            <v>2100101961</v>
          </cell>
          <cell r="B2834" t="str">
            <v>PP1146V0</v>
          </cell>
          <cell r="J2834" t="str">
            <v>Весы стеклянные Drawing bloom Classic: максимальный вес 160 кг, шаг измерения 100 г, тонкая платформа</v>
          </cell>
        </row>
        <row r="2835">
          <cell r="A2835">
            <v>2100101301</v>
          </cell>
          <cell r="B2835" t="str">
            <v>PP1145V0</v>
          </cell>
          <cell r="J2835" t="str">
            <v>scandinavian Style</v>
          </cell>
        </row>
        <row r="2836">
          <cell r="A2836">
            <v>2100101299</v>
          </cell>
          <cell r="B2836" t="str">
            <v>PP1144V0</v>
          </cell>
          <cell r="J2836" t="str">
            <v>Весы стеклянные Classic Triangle Silver  Glass platform 30 x 30 cm - 160 Kg</v>
          </cell>
        </row>
        <row r="2837">
          <cell r="A2837">
            <v>2100101297</v>
          </cell>
          <cell r="B2837" t="str">
            <v>PP1143V0</v>
          </cell>
          <cell r="J2837" t="str">
            <v>Весы стеклянные Classic Triangle Petroleum Blue  Glass platform 30 x 30 cm - 160 Kg</v>
          </cell>
        </row>
        <row r="2838">
          <cell r="A2838">
            <v>2100100256</v>
          </cell>
          <cell r="B2838" t="str">
            <v>PP1140V0</v>
          </cell>
          <cell r="J2838" t="str">
            <v>Весы Classic Blossom Silver (прямая замена PP1110)</v>
          </cell>
        </row>
        <row r="2839">
          <cell r="A2839">
            <v>2100098649</v>
          </cell>
          <cell r="B2839" t="str">
            <v>PP1133V0</v>
          </cell>
          <cell r="J2839" t="str">
            <v>Весы стеклянные Classic Blue, прямая замена PP1101</v>
          </cell>
        </row>
        <row r="2840">
          <cell r="A2840">
            <v>2100098647</v>
          </cell>
          <cell r="B2840" t="str">
            <v>PP1130V0</v>
          </cell>
          <cell r="J2840" t="str">
            <v>Весы стеклянные Classic Grey (прямая замена PP1006)</v>
          </cell>
        </row>
        <row r="2841">
          <cell r="A2841">
            <v>3110601333</v>
          </cell>
          <cell r="B2841" t="str">
            <v>N2020210</v>
          </cell>
          <cell r="J2841" t="str">
            <v>Термокружка Tefal Classic 0,36 л черная</v>
          </cell>
        </row>
        <row r="2842">
          <cell r="A2842">
            <v>3110601334</v>
          </cell>
          <cell r="B2842" t="str">
            <v>N2020310</v>
          </cell>
          <cell r="J2842" t="str">
            <v>Термокружка Tefal Classic 0,36 л синяя</v>
          </cell>
        </row>
        <row r="2843">
          <cell r="A2843">
            <v>3110601335</v>
          </cell>
          <cell r="B2843" t="str">
            <v>N2020410</v>
          </cell>
          <cell r="J2843" t="str">
            <v>Термокружка Tefal Classic 0,36 л красная</v>
          </cell>
        </row>
        <row r="2844">
          <cell r="A2844">
            <v>3110601336</v>
          </cell>
          <cell r="B2844" t="str">
            <v>N2020110</v>
          </cell>
          <cell r="J2844" t="str">
            <v>Термокружка Tefal Classic 0,36 л нержавеющая сталь</v>
          </cell>
        </row>
        <row r="2845">
          <cell r="A2845">
            <v>2211400072</v>
          </cell>
          <cell r="B2845" t="str">
            <v>TW2521RA</v>
          </cell>
          <cell r="J2845" t="str">
            <v>Безмешковый пылесос City space, мощность 650 W (= 2000 W), уровень шума 77 дБ, объем контейнера 1,2 л, фильтр HEPA 10, насадки: пол/ковер, щелевая</v>
          </cell>
        </row>
        <row r="2846">
          <cell r="A2846">
            <v>2211400073</v>
          </cell>
          <cell r="B2846" t="str">
            <v>TW2522RA</v>
          </cell>
          <cell r="J2846" t="str">
            <v>Безмешковый пылесос City space, мощность 650 W (= 2000 W), уровень шума 77 дБ, объем контейнера 1,2 л, фильтр HEPA 10, насадки: пол/ковер, щелевая</v>
          </cell>
        </row>
        <row r="2847">
          <cell r="A2847">
            <v>2211400360</v>
          </cell>
          <cell r="B2847" t="str">
            <v>TW2711EA</v>
          </cell>
          <cell r="J2847" t="str">
            <v>Безмешковый пылесос City space, мощность 750 Ватт, уровень шума 78  дБ, объем контейнера 1,2 л, фильтр HEPA 10, насадки: пол/ковер, щелевая, цвет синий</v>
          </cell>
        </row>
        <row r="2848">
          <cell r="A2848">
            <v>2211400362</v>
          </cell>
          <cell r="B2848" t="str">
            <v>TW2759EA</v>
          </cell>
          <cell r="J2848" t="str">
            <v>Безмешковый пылесос City space, мощность 750 Ватт, уровень шума 78  дБ, объем контейнера 1,2 л, фильтр HEPA 10, насадки: пол/ковер, щелевая, цвет - фиолетовый</v>
          </cell>
        </row>
        <row r="2849">
          <cell r="A2849">
            <v>2211400359</v>
          </cell>
          <cell r="B2849" t="str">
            <v>TW2641EA</v>
          </cell>
          <cell r="J2849" t="str">
            <v>Мешковый пылесос City space, мощность 750 W , уровень шума 77 дБ, объем мешка 2,5 л,  фильтр HEPA 10, насадки: пол/ковер, щелевая, цвет черный</v>
          </cell>
        </row>
        <row r="2850">
          <cell r="A2850">
            <v>2211400358</v>
          </cell>
          <cell r="B2850" t="str">
            <v>TW2643EA</v>
          </cell>
          <cell r="J2850" t="str">
            <v>Мешковый пылесос City space, мощность 750 W , уровень шума 77 дБ, объем мешка 2,5 л,  фильтр HEPA 10, насадки: пол/ковер, щелевая, цвет красный</v>
          </cell>
        </row>
        <row r="2851">
          <cell r="A2851">
            <v>7211419326</v>
          </cell>
          <cell r="B2851" t="str">
            <v>DJ603110</v>
          </cell>
          <cell r="J2851" t="str">
            <v>Измельчитель - CHOPPEO, GLASS BOWL 2L</v>
          </cell>
        </row>
        <row r="2852">
          <cell r="A2852">
            <v>7211419616</v>
          </cell>
          <cell r="B2852" t="str">
            <v>DJ603110</v>
          </cell>
          <cell r="J2852" t="str">
            <v>Измельчитель - CHOPPEO, GLASS BOWL 2L</v>
          </cell>
        </row>
        <row r="2853">
          <cell r="A2853">
            <v>1830008396</v>
          </cell>
          <cell r="B2853" t="str">
            <v>SO9261F0</v>
          </cell>
          <cell r="J2853" t="str">
            <v>Tefal Mini Excel керамический нагреватель,Мощность : 1000/1800 W</v>
          </cell>
        </row>
        <row r="2854">
          <cell r="A2854">
            <v>1830007247</v>
          </cell>
          <cell r="B2854" t="str">
            <v>SE9260F0</v>
          </cell>
          <cell r="J2854" t="str">
            <v>Tefal Mini Excel керамический нагреватель,Мощность : 1000/1800 W</v>
          </cell>
        </row>
        <row r="2855">
          <cell r="A2855">
            <v>1830008313</v>
          </cell>
          <cell r="B2855" t="str">
            <v>YT3040E1</v>
          </cell>
          <cell r="J2855" t="str">
            <v>ервая автоматическая паровая система Care For You от Tefal: Мощность 3100 Вт. Уровень подачи пара 65 г/мин . Съемный резервуар для воды объемом 2 л . 2 вешалки и набор из 12 утяжелителей, пульт ДУ в комплекте.</v>
          </cell>
        </row>
        <row r="2856">
          <cell r="A2856">
            <v>1830008884</v>
          </cell>
          <cell r="B2856" t="str">
            <v>YT4050E1</v>
          </cell>
          <cell r="J2856" t="str">
            <v>Паровая система CARE FOR YOU UPGRADE. Мощность: 1800 Вт. Количество настроек: 3. Объем резервуара для воды: 2 Л. Длина провода: 1.8 м. 3 вешалки. Автоотключение. 60 мин. Автономной работы. Новая i-Blue eco Technology</v>
          </cell>
        </row>
        <row r="2857">
          <cell r="A2857">
            <v>1830009106</v>
          </cell>
          <cell r="B2857" t="str">
            <v>YT2020E0</v>
          </cell>
          <cell r="J2857" t="str">
            <v xml:space="preserve">Паровая система CARE FOR YOU UPGRADE. Мощность: 1500 Вт. Количество настроек: 3. Объем резервуара для воды: 1.2Л. Длина провода: 2 м. 3 вешалки. </v>
          </cell>
        </row>
        <row r="2858">
          <cell r="A2858">
            <v>3100502474</v>
          </cell>
          <cell r="B2858">
            <v>502474</v>
          </cell>
          <cell r="J2858" t="str">
            <v>502474 Термос "КЭПТАН" 1,0л. из нержавеющей стали. EMSA.</v>
          </cell>
        </row>
        <row r="2859">
          <cell r="A2859">
            <v>3100502473</v>
          </cell>
          <cell r="B2859">
            <v>502473</v>
          </cell>
          <cell r="J2859" t="str">
            <v>502473 Термос "КЭПТАН" 0,7л. из нержавеющей стали. EMSA.</v>
          </cell>
        </row>
        <row r="2860">
          <cell r="A2860">
            <v>3100502472</v>
          </cell>
          <cell r="B2860">
            <v>502472</v>
          </cell>
          <cell r="J2860" t="str">
            <v>502472 Термос "КЭПТАН" 0,5л. из нержавеющей стали. EMSA.</v>
          </cell>
        </row>
        <row r="2861">
          <cell r="A2861">
            <v>1600005016</v>
          </cell>
          <cell r="B2861" t="str">
            <v xml:space="preserve">	ZR200940</v>
          </cell>
          <cell r="J2861" t="str">
            <v>Фильтрация 99.99% частиц обеспечивает безупречную гигиеничность Пылесборник автоматически закрывается при открытии крышки пылесоса. Никакого контакта с пылью</v>
          </cell>
        </row>
        <row r="2862">
          <cell r="A2862">
            <v>3100516527</v>
          </cell>
          <cell r="B2862">
            <v>516527</v>
          </cell>
          <cell r="J2862" t="str">
            <v>Термос-чайник CAMPO 1 л антрацит</v>
          </cell>
        </row>
        <row r="2863">
          <cell r="A2863">
            <v>3100516526</v>
          </cell>
          <cell r="B2863">
            <v>516526</v>
          </cell>
          <cell r="J2863" t="str">
            <v>Термос-чайник CAMPO 1 л белый</v>
          </cell>
        </row>
        <row r="2864">
          <cell r="A2864">
            <v>3100516525</v>
          </cell>
          <cell r="B2864">
            <v>516525</v>
          </cell>
          <cell r="J2864" t="str">
            <v>Термос-чайник CAMPO 1 л красный</v>
          </cell>
        </row>
        <row r="2865">
          <cell r="A2865">
            <v>3100516524</v>
          </cell>
          <cell r="B2865">
            <v>516524</v>
          </cell>
          <cell r="J2865" t="str">
            <v>Термос-чайник CAMPO 1 л хром</v>
          </cell>
        </row>
        <row r="2866">
          <cell r="A2866">
            <v>8000035224</v>
          </cell>
          <cell r="B2866" t="str">
            <v>XP344010</v>
          </cell>
          <cell r="J2866" t="str">
            <v>Полностью автоматическая кофемашина EVIDENCE от KRUPS. 15 встроенных рецептов различных напитков. Интуитивно понятный интерфейс сочетающий сенсорные кнопки и OLED дисплей. Возможность приготовления двух чашек кофе одновременно, включая молочные напитки (капучино, латте, латте макиато). Приготовление кофе с помощью одной кнопки. Возможность установки 3 степеней помола кофе, 3 крепости кофе, 3 режима температуры. Функция Extra shot для добавления в напиток дополнительной порции эспрессо. Технология KRUPS Quattro Force. Металлическая кофемельница с новым типоп жерновов. Запатентованный Компактный Термоблок. Объем  контейнера для кофе 260 гр. Объем резервуара для воды – 2,5 литра, давление 15 бар, мощность 1450 Вт. Съемный поддон для капель. Материал корпуса -  белый пластик +черный пластик. В комплекте: фильтр для воды, таблетки для чистки варочного механизма.</v>
          </cell>
        </row>
        <row r="2867">
          <cell r="A2867">
            <v>2820802112</v>
          </cell>
          <cell r="B2867" t="str">
            <v>KD802112</v>
          </cell>
          <cell r="J2867" t="str">
            <v>ПРИБОР ДЛЯ ВЫПЕЧКИ; 5 АВТОМАТИЧЕСКИХ ПРОГРАММ: БОЛЬШОЙ БИСКВИТ, ПОРЦИОННЫЕ БИСКВИТЫ, ВЫПЕЧКА С ЖИДКИМ ЦЕНТРОМ, МЕРЕНГИ, РАСТАПЛИВАНИЕ ШОКОЛАДА; HУЧНОЙ РЕЖИМ С НАСТОРОЙКАМИ ТЕМПЕРАТУРЫ И ВРЕМЕНИ, МОЩНОСТЬ 1200 ВТ, D КОМПЛЕКТЕ ПРОТИВЕНЬ ИЗ АЛЮМИНИЯ, РЕШЕТКА И 3 ФОРМЫ PROFLEX: НА 6 МАФФИНОВ, НА 6 МИНИ КЕЙКОВ, ДЛЯ РАСТАПЛИВАНИЯ ШОКОЛАДА; МАТЕРИАЛ КОРПУСА – ПЛАСТИК, ЦВЕТ: БРОНЗОВЫЙ С БЕЛЫМ.</v>
          </cell>
        </row>
        <row r="2868">
          <cell r="A2868">
            <v>2100098322</v>
          </cell>
          <cell r="B2868" t="str">
            <v>J1602002</v>
          </cell>
          <cell r="J2868" t="str">
            <v>Противень 39x27 SUCCESS</v>
          </cell>
        </row>
        <row r="2869">
          <cell r="A2869">
            <v>2100098321</v>
          </cell>
          <cell r="B2869" t="str">
            <v>J1601502</v>
          </cell>
          <cell r="J2869" t="str">
            <v>Противень 36x24 SUCCESS</v>
          </cell>
        </row>
        <row r="2870">
          <cell r="A2870">
            <v>2100098324</v>
          </cell>
          <cell r="B2870" t="str">
            <v>J1600502</v>
          </cell>
          <cell r="J2870" t="str">
            <v>Форма для запекания 20х26  SUCCESS</v>
          </cell>
        </row>
        <row r="2871">
          <cell r="A2871">
            <v>2100102477</v>
          </cell>
          <cell r="B2871" t="str">
            <v>J4090514</v>
          </cell>
          <cell r="J2871" t="str">
            <v>Силиконовая форма квадратная 23 PROFLEX</v>
          </cell>
        </row>
        <row r="2872">
          <cell r="A2872">
            <v>2100111151</v>
          </cell>
          <cell r="B2872" t="str">
            <v>J5549702</v>
          </cell>
          <cell r="J2872" t="str">
            <v>Форма для круглого пирога 26 PERFECTBAKE</v>
          </cell>
        </row>
        <row r="2873">
          <cell r="A2873">
            <v>2100111146</v>
          </cell>
          <cell r="B2873" t="str">
            <v>J5547202</v>
          </cell>
          <cell r="J2873" t="str">
            <v>Форма для кекса 26 (прямоугольная высокая) PERFECTBAKE</v>
          </cell>
        </row>
        <row r="2874">
          <cell r="A2874">
            <v>2100111150</v>
          </cell>
          <cell r="B2874" t="str">
            <v>J5549602</v>
          </cell>
          <cell r="J2874" t="str">
            <v>Форма для круглого пирога 24 PERFECTBAKE</v>
          </cell>
        </row>
        <row r="2875">
          <cell r="A2875">
            <v>2100099011</v>
          </cell>
          <cell r="B2875" t="str">
            <v>J1627414</v>
          </cell>
          <cell r="J2875" t="str">
            <v>Форма для запекания 25х42  EASY GRIP RABBIT BROWN</v>
          </cell>
        </row>
        <row r="2876">
          <cell r="A2876">
            <v>2100099001</v>
          </cell>
          <cell r="B2876" t="str">
            <v>J1627314</v>
          </cell>
          <cell r="J2876" t="str">
            <v>Форма для запекания 24х35  EASY GRIP RABBIT BROWN</v>
          </cell>
        </row>
        <row r="2877">
          <cell r="A2877">
            <v>2100104676</v>
          </cell>
          <cell r="B2877" t="str">
            <v>J1626215</v>
          </cell>
          <cell r="J2877" t="str">
            <v>Форма с разъемным дном 25 EasyGrip</v>
          </cell>
        </row>
        <row r="2878">
          <cell r="A2878">
            <v>2100104675</v>
          </cell>
          <cell r="B2878" t="str">
            <v>J1626115</v>
          </cell>
          <cell r="J2878" t="str">
            <v>Форма разъемная 23  EASY GRIP RABBIT BROWN</v>
          </cell>
        </row>
        <row r="2879">
          <cell r="A2879">
            <v>2100099000</v>
          </cell>
          <cell r="B2879" t="str">
            <v>J1627114</v>
          </cell>
          <cell r="J2879" t="str">
            <v>Противень 26х36  EASY GRIP RABBIT BROWN</v>
          </cell>
        </row>
        <row r="2880">
          <cell r="A2880">
            <v>2100098996</v>
          </cell>
          <cell r="B2880" t="str">
            <v>J1629614</v>
          </cell>
          <cell r="J2880" t="str">
            <v>Форма для круглого пирога 23 EasyGrip</v>
          </cell>
        </row>
        <row r="2881">
          <cell r="A2881">
            <v>2100098995</v>
          </cell>
          <cell r="B2881" t="str">
            <v>J1625314</v>
          </cell>
          <cell r="J2881" t="str">
            <v>Форма для кекса 25 EasyGrip</v>
          </cell>
        </row>
        <row r="2882">
          <cell r="A2882">
            <v>2100098994</v>
          </cell>
          <cell r="B2882" t="str">
            <v>J1625214</v>
          </cell>
          <cell r="J2882" t="str">
            <v>Форма для пирога 20х20 EasyGrip</v>
          </cell>
        </row>
        <row r="2883">
          <cell r="A2883">
            <v>2100105379</v>
          </cell>
          <cell r="B2883" t="str">
            <v>J1640574</v>
          </cell>
          <cell r="J2883" t="str">
            <v>Прямоугольная спрингформа 36*24</v>
          </cell>
        </row>
        <row r="2884">
          <cell r="A2884">
            <v>2100105382</v>
          </cell>
          <cell r="B2884" t="str">
            <v>J1641474</v>
          </cell>
          <cell r="J2884" t="str">
            <v>Спрингформа 28 см Delibake</v>
          </cell>
        </row>
        <row r="2885">
          <cell r="A2885">
            <v>2100105381</v>
          </cell>
          <cell r="B2885" t="str">
            <v>J1641274</v>
          </cell>
          <cell r="J2885" t="str">
            <v>Спрингформа 23 см Delibake</v>
          </cell>
        </row>
        <row r="2886">
          <cell r="A2886">
            <v>2100105380</v>
          </cell>
          <cell r="B2886" t="str">
            <v>J1641174</v>
          </cell>
          <cell r="J2886" t="str">
            <v>Спрингформа 19 см Delibake</v>
          </cell>
        </row>
        <row r="2887">
          <cell r="A2887">
            <v>2100105376</v>
          </cell>
          <cell r="B2887" t="str">
            <v>J1640174</v>
          </cell>
          <cell r="J2887" t="str">
            <v>Форма для кекса 30 см Delibake</v>
          </cell>
        </row>
        <row r="2888">
          <cell r="A2888">
            <v>1830007299</v>
          </cell>
          <cell r="B2888" t="str">
            <v>CF9620F0</v>
          </cell>
          <cell r="J2888" t="str">
            <v>Rowenta Ultimate Experience – новую фен-щетку 2 в 1 с автоматическим вращением,
выполненную в уникальном эргономичном корпусе для профессионального ухода за волосами у вас
дома.</v>
          </cell>
        </row>
        <row r="2889">
          <cell r="A2889">
            <v>1830008526</v>
          </cell>
          <cell r="B2889" t="str">
            <v>CF961LF0</v>
          </cell>
          <cell r="J2889" t="str">
            <v xml:space="preserve">Вращающаяся щетка-фен Rowenta x KARL LAGERFELD K/Pro Stylist позволяет легко применять
профессиональные техники укладки в домашних условиях. Технология Pro Dual Motion делает всю работу
за вас: автоматическая вращающаяся щетка укладывает волосы во время сушки, а ионизирующая
система в сочетании с покрытием Keratin &amp; Glow придает сияющий блеск. </v>
          </cell>
        </row>
        <row r="2890">
          <cell r="A2890">
            <v>1830009251</v>
          </cell>
          <cell r="B2890" t="str">
            <v>UB9540F0</v>
          </cell>
          <cell r="J2890" t="str">
            <v>Вращающаяся фен-щетка Rowenta Brush Activ' RENEWAL (6 насадок)</v>
          </cell>
        </row>
        <row r="2891">
          <cell r="A2891">
            <v>1830009250</v>
          </cell>
          <cell r="B2891" t="str">
            <v>UB9530F0</v>
          </cell>
          <cell r="J2891" t="str">
            <v>Вращающаяся фен-щетка Rowenta Brush Activ' RENEWAL (4 насадки)</v>
          </cell>
        </row>
        <row r="2892">
          <cell r="A2892">
            <v>1830009233</v>
          </cell>
          <cell r="B2892" t="str">
            <v>UB9520F0</v>
          </cell>
          <cell r="J2892" t="str">
            <v>Вращающаяся фен-щетка Rowenta Brush Activ' RENEWAL (5 насадок)</v>
          </cell>
        </row>
        <row r="2893">
          <cell r="A2893">
            <v>1830009383</v>
          </cell>
          <cell r="B2893" t="str">
            <v xml:space="preserve">UB9535E0 </v>
          </cell>
          <cell r="J2893" t="str">
            <v>30 мм щетка + 40 мм вращающаяся щетка + 50 мм вращающаяся щетка + концентратор + мешочек</v>
          </cell>
        </row>
        <row r="2894">
          <cell r="A2894">
            <v>1830008973</v>
          </cell>
          <cell r="B2894" t="str">
            <v>CF9528F0</v>
          </cell>
          <cell r="J2894" t="str">
            <v>Вращающаяся фен-щетка Rowenta Brush Activ Dunes</v>
          </cell>
        </row>
        <row r="2895">
          <cell r="A2895">
            <v>1830007070</v>
          </cell>
          <cell r="B2895" t="str">
            <v>CF9112F0</v>
          </cell>
          <cell r="J2895" t="str">
            <v xml:space="preserve">Фен-щетка BRUSH ACTIV' COMPACT ELITE, Мощность 800 Вт, 1 насадка 40 мм с защитным чехлом, Коллекция Rowenta for Elite Model Look 
</v>
          </cell>
        </row>
        <row r="2896">
          <cell r="A2896">
            <v>1830006299</v>
          </cell>
          <cell r="B2896" t="str">
            <v>CF9110F0</v>
          </cell>
          <cell r="J2896" t="str">
            <v>Brush Activ</v>
          </cell>
        </row>
        <row r="2897">
          <cell r="A2897">
            <v>1830006273</v>
          </cell>
          <cell r="B2897" t="str">
            <v>CF9540F0</v>
          </cell>
          <cell r="J2897" t="str">
            <v>Фен-щетка Brush Activ' Premium Care выполнена из натуральной щетины, которая ухаживает за волосами,
раскрывая их необыкновенный блеск. Вращающаяся фен-щетка имеет 2 режима работы, что позволяет
создавать безупречные укладки. Фен мощностью 1000 Вт легко и быстро сушит волосы, обеспечивая
профессиональное качество, а насадки двух размеров подходят для волос разной длины. Специальное
покрытие Cashmere Keratin с кератином и аргановым маслом в сочетании с двойной ионизацией придает
вашим волосам сияющий блеск и позволяет создать укладку как в салоне</v>
          </cell>
        </row>
        <row r="2898">
          <cell r="A2898">
            <v>1830008944</v>
          </cell>
          <cell r="B2898" t="str">
            <v>CF9527F0</v>
          </cell>
          <cell r="J2898" t="str">
            <v>Вращающаяся фен-щетка: мощность 1000 Вт, 2 режима, 2 направления вращения, холодный воздух, 2 насадки (круглая щетка большого диаметра 50 мм и щетка 40 мм), встроенный ионизатор</v>
          </cell>
        </row>
        <row r="2899">
          <cell r="A2899">
            <v>1830006275</v>
          </cell>
          <cell r="B2899" t="str">
            <v>CF9530F0</v>
          </cell>
          <cell r="J2899" t="str">
            <v>Вращающаяся фен-щетка: мощность 1000 Вт, 2 режима, 2 направления вращения, холодный воздух, 2 насадки (круглая щетка большого диаметра 50 мм и щетка 40 мм), встроенный ионизатор</v>
          </cell>
        </row>
        <row r="2900">
          <cell r="A2900">
            <v>1830008521</v>
          </cell>
          <cell r="B2900" t="str">
            <v>CF952LF0</v>
          </cell>
          <cell r="J2900" t="str">
            <v>Вращающаяся фен-щетка Rowenta x KARL LAGERFELD Brush Activ', покрытие Keratin &amp; Glow, Щетки 50 и 40 мм, Несколько скоростей, Обдув холодным воздухом, Результат салонного уровня, CF952LF0</v>
          </cell>
        </row>
        <row r="2901">
          <cell r="A2901">
            <v>1830008503</v>
          </cell>
          <cell r="B2901" t="str">
            <v>CF9525F0</v>
          </cell>
          <cell r="J2901" t="str">
            <v>Вращающаяся фен-щетка: мощность 1000 Вт, 2 режима, 2 направления вращения, холодный воздух, 2 насадки (круглая щетка большого диаметра 50 мм и щетка 40 мм), встроенный ионизатор</v>
          </cell>
        </row>
        <row r="2902">
          <cell r="A2902">
            <v>1830006274</v>
          </cell>
          <cell r="B2902" t="str">
            <v>CF9522F0</v>
          </cell>
          <cell r="J2902" t="str">
            <v>Вращающаяся фен-щетка: мощность 1000 Вт, 2 режима, 2 направления вращения, холодный воздух, 2 насадки (круглая щетка большого диаметра 50 мм и щетка 40 мм), встроенный ионизатор, турмалиновое покрытие щетинок</v>
          </cell>
        </row>
        <row r="2903">
          <cell r="A2903">
            <v>1830006272</v>
          </cell>
          <cell r="B2903" t="str">
            <v>CF9520F0</v>
          </cell>
          <cell r="J2903" t="str">
            <v>Вращающаяся фен-щетка: мощность 1000 Вт, 2 режима, 2 направления вращения, холодный воздух, 2 насадки (круглая щетка большого диаметра 50 мм и щетка 40 мм), встроенный ионизатор</v>
          </cell>
        </row>
        <row r="2904">
          <cell r="A2904">
            <v>1510002345</v>
          </cell>
          <cell r="B2904" t="str">
            <v>KI513D10</v>
          </cell>
          <cell r="J2904" t="str">
            <v>Электрический чайник, 2200 Вт, объем 1.7Л, скрытый нагревательный элемент, съемный фильтр от накипи, корпус из наржавеющей стали</v>
          </cell>
        </row>
        <row r="2905">
          <cell r="A2905">
            <v>7211002980</v>
          </cell>
          <cell r="B2905" t="str">
            <v>KO200830</v>
          </cell>
          <cell r="J2905" t="str">
            <v>Электрический чайник Element, объем 1,7 л, мощность 2400 Вт обсепечивает быстрое кипячение воды, цвет черный</v>
          </cell>
        </row>
        <row r="2906">
          <cell r="A2906">
            <v>7211002988</v>
          </cell>
          <cell r="B2906" t="str">
            <v>KO200130</v>
          </cell>
          <cell r="J2906" t="str">
            <v>Электрический чайник Element, объем 1,7 л, мощность 2400 Вт обсепечивает быстрое кипячение воды, цвет белый</v>
          </cell>
        </row>
        <row r="2907">
          <cell r="A2907">
            <v>3201112503</v>
          </cell>
          <cell r="B2907" t="str">
            <v>1120009002</v>
          </cell>
          <cell r="J2907" t="str">
            <v>Набор столовых приборов 60 пр.  BOSTON</v>
          </cell>
        </row>
        <row r="2908">
          <cell r="A2908">
            <v>1830007136</v>
          </cell>
          <cell r="B2908" t="str">
            <v>DG9222F0</v>
          </cell>
          <cell r="J2908" t="str">
            <v>ПАРОГЕНЕРАТОР SILENT STEAM: 3 НАСТРОЕК ДЛЯ РАЗНЫХ ТИПОВ ТКАНИ, НИЗКИЙ УРОВЕНЬ ШУМА, ДАВЛЕНИЕ ПАРА 7,6 БАР, ПОСТОЯННЫЙ ПАР 140 Г/МИН, ПАРОВОЙ УДАР 460 Г/МИН, ПОДОШВА MICROSTEAM 400 LASER 3DE, ЭКО ФУНКЦИЯ, АВТООТКЛЮЧЕНИЕ, СТЕРЖЕНЬ-КОЛЛЕКТОР ДЛЯ СБОРА НАКИПИ, СПЕЦИАЛЬНЫЙ ОТСЕК ДЛЯ ХРАНЕНИЯ ШНУРА, УНИКАЛЬНАЯ СИСТЕМА ЗАЩЕЛКИВАНИЯ УТЮГА, СЪЕМНЫЙ РЕЗЕРВУАР ДЛЯ ВОДЫ 1,3Л, МОЩНОСТЬ 2800 ВТ</v>
          </cell>
        </row>
        <row r="2909">
          <cell r="A2909">
            <v>1830007137</v>
          </cell>
          <cell r="B2909" t="str">
            <v>DG9226F0</v>
          </cell>
          <cell r="J2909" t="str">
            <v>ПАРОГЕНЕРАТОР SILENT STEAM 3 НАСТРОЕК ДЛЯ РАЗНЫХ ТИПОВ ТКАНИ, НИЗКИЙ УРОВЕНЬ ШУМА, ДАВЛЕНИЕ ПАРА 7,5 БАР, ПОСТОЯННЫЙ ПАР 140 Г/МИН, ПАРОВОЙ УДАР 480 Г/МИН. ПОДОШВА MICROSTEAM 400 LASER 3DE, ЭКО ФУНКЦИЯ, АВТООТКЛЮЧЕНИЕ, СТЕРЖЕНЬ-КОЛЛЕКТОР ДЛЯ СБОРА НАКИПИ, СПЕЦИАЛЬНЫЙ ОТСЕК ДЛЯ ХРАНЕНИЯ ШНУРА, УНИКАЛЬНАЯ СИСТЕМА ЗАЩЕЛКИВАНИЯ УТЮГА, СЪЕМНЫЙ РЕЗЕРВУАР ДЛЯ ВОДЫ 1,3Л, МОЩНОСТЬ 2800 ВТ</v>
          </cell>
        </row>
        <row r="2910">
          <cell r="A2910">
            <v>1830007301</v>
          </cell>
          <cell r="B2910" t="str">
            <v>DG9266F0</v>
          </cell>
          <cell r="J2910" t="str">
            <v>ПАРОГЕНЕРАТОР SILENT STEAM ECO INTELLIGENCE, ЭЛЕКТРОННАЯ ПАНЕЛЬ УПРАВЛЕНИЯ: 5 НАСТРОЕК ДЛЯ РАЗНЫХ ТИПОВ ТКАНИ, НИЗКИЙ УРОВЕНЬ ШУМА, ДАВЛЕНИЕ ПАРА 8 БАР, ПОСТОЯННЫЙ ПАР 150 Г/МИН, ПАРОВОЙ УДАР 600 Г/МИН, ПОДОШВА MICROSTEAM 400 LASER 3DE, ЭКО ФУНКЦИЯ, АВТООТКЛЮЧЕНИЕ, АВТОМАТИЧЕСКОЕ СМАТЫВАНИЕ ШНУРА, СИСТЕМА FAST HEAT UP, СТЕРЖЕНЬ-КОЛЛЕКТОР ДЛЯ СБОРА НАКИПИ, СПЕЦИАЛЬНЫЙ ОТСЕК ДЛЯ ХРАНЕНИЯ ШНУРА ДЛЯ ПОДАЧИ ПАРА, УНИКАЛЬНАЯ СИСТЕМА ЗАЩЕЛКИВАНИЯ УТЮГА, СЪЕМНЫЙ РЕЗЕРВУАР ДЛЯ ВОДЫ 1,4 Л, МОЩНОСТЬ 2400 ВТ, ДЛИНА ЭЛЕКТРОПРОВОДА 1,98 М, ПРОИЗВОДСТВО ФРАНЦИЯ</v>
          </cell>
        </row>
        <row r="2911">
          <cell r="A2911">
            <v>2100086689</v>
          </cell>
          <cell r="B2911" t="str">
            <v>BM7100S6</v>
          </cell>
          <cell r="J2911" t="str">
            <v>Точные измерения в кг распределения общего веса  между мышечной и жировой массами
 Память на 4-х пользователей с системой интуитивного распознавания
 4х-сенсорная технология Tefal
 Автоматическое включение при вставании на весы/ автоотключение
 Материал платформы – закаленное стекло
 Широкий ЖК дисплей с подсветкой
 Максимальный вес 160 кг
 Шаг измерений 100 г
 Питание: 4 батарейки LR03 (не в комплекте)</v>
          </cell>
        </row>
        <row r="2912">
          <cell r="A2912">
            <v>2100099842</v>
          </cell>
          <cell r="B2912" t="str">
            <v>BM6010V0</v>
          </cell>
          <cell r="J2912" t="str">
            <v>BodyMaster</v>
          </cell>
        </row>
        <row r="2913">
          <cell r="A2913">
            <v>1830007671</v>
          </cell>
          <cell r="B2913" t="str">
            <v>BM2523V0</v>
          </cell>
          <cell r="J2913" t="str">
            <v xml:space="preserve">Весы BodyMaster с функцией измерения жировой / мышечной массы, BMI, LCD, 8 пользователей, до 150кг. </v>
          </cell>
        </row>
        <row r="2914">
          <cell r="A2914">
            <v>1830007670</v>
          </cell>
          <cell r="B2914" t="str">
            <v>BM2521V0</v>
          </cell>
          <cell r="J2914" t="str">
            <v xml:space="preserve">Весы BodyMaster с функцией измерения жировой / мышечной массы, BMI, LCD, 8 пользователей, до 150кг. </v>
          </cell>
        </row>
        <row r="2915">
          <cell r="A2915">
            <v>2100111795</v>
          </cell>
          <cell r="B2915" t="str">
            <v>BM2520V0</v>
          </cell>
          <cell r="J2915" t="str">
            <v xml:space="preserve">Весы BodyMaster с функцией измерения жировой / мышечной массы, BMI, LCD, 8 пользователей, до 150кг. </v>
          </cell>
        </row>
        <row r="2916">
          <cell r="A2916">
            <v>1830008219</v>
          </cell>
          <cell r="B2916" t="str">
            <v>LY4000F0</v>
          </cell>
          <cell r="J2916" t="str">
            <v>BODY MASSAGER</v>
          </cell>
        </row>
        <row r="2917">
          <cell r="A2917">
            <v>7211004971</v>
          </cell>
          <cell r="B2917" t="str">
            <v>LM458810</v>
          </cell>
          <cell r="J2917" t="str">
            <v>Стационарный блендер Blendforce XXL. Мощность 600 Вт, запатентованная пластиковая чаша 2,8 л, 2 скорости и импульсный режим, 4 съемных лезвия из нержавеющей стали Powelix, измельчитель и кофемолка в комплекте.</v>
          </cell>
        </row>
        <row r="2918">
          <cell r="A2918">
            <v>7211004072</v>
          </cell>
          <cell r="B2918" t="str">
            <v>LM439D10</v>
          </cell>
          <cell r="J2918" t="str">
            <v>БЛЕНДЕР BLENDFORCE II С КОРПУСОМ ИЗ НЕРЖАВЕЮЩЕЙ СТАЛИ, БОЛЬШАЯ СТЕКЛЯННАЯ ЧАША НА 1,75 Л, КОТОРАЯ ВЫДЕРЖИВАЕТ НАГРЕВ ДО 80 °C, СЪЁМНЫЕ НОЖИ POWELIX, ФУНКЦИЯ КОЛКИ ЛЬДА, ИННОВАЦИОННАЯ ТЕХНОЛОГИЯ ОХЛАЖДЕНИЯ МОТОРА, ПОДХОДИТ ДЛЯ ГОРЯЧИХ И ХОЛОДНЫХ РЕЦЕПТОВ, 5 СКОРОСТЕЙ, ИМПУЛЬСНЫЙ РЕЖИМ, МОЩНОСТЬ 800 ВТ, НЕСКОЛЬЗЯЩЕЕ ОСНОВАНИЕ</v>
          </cell>
        </row>
        <row r="2919">
          <cell r="A2919">
            <v>7211003234</v>
          </cell>
          <cell r="B2919" t="str">
            <v>LM435810</v>
          </cell>
          <cell r="J2919" t="str">
            <v>СТАЦИОНАРНЫЙ БЛЕНДЕР MOULINEX. МОЩНОСТЬ - 800ВТ, СЪЕМНЫЕ ЛЕЗВИЯ,  2 СКОРОСТИ И ИМПУЛЬСНЫЙ РЕЖИМ, СТЕКЛЯННАЯ ЧАША ОБЪЕМОМ 1,5 Л.</v>
          </cell>
        </row>
        <row r="2920">
          <cell r="A2920">
            <v>7211004366</v>
          </cell>
          <cell r="B2920" t="str">
            <v>LM42Q110</v>
          </cell>
          <cell r="J2920" t="str">
            <v>СТАЦИОНАРНЫЙ БЛЕНДЕР</v>
          </cell>
        </row>
        <row r="2921">
          <cell r="A2921">
            <v>7211003001</v>
          </cell>
          <cell r="B2921" t="str">
            <v>LM420110</v>
          </cell>
          <cell r="J2921" t="str">
            <v>СТАЦИОНАРНЫЙ БЛЕНДЕР MOULINEX. МОЩНОСТЬ - 600ВТ, СЪЕМНЫЕ ЛЕЗВИЯ,  2 СКОРОСТИ И ИМПУЛЬСНЫЙ РЕЖИМ, ЧАША ОБЪЕМОМ 2Л, РАЗБОРНЫЙ БЛОК НОЖЕЙ ДЛЯ ЛЕГКОЙ ОЧИСТКИ.</v>
          </cell>
        </row>
        <row r="2922">
          <cell r="A2922">
            <v>7211004974</v>
          </cell>
          <cell r="B2922" t="str">
            <v>BL439G10</v>
          </cell>
          <cell r="J2922" t="str">
            <v>Блендер Tefal Blendforce 2 Coppertinto имеет удобные кнопки управления, инновационную конструкцию и высокую производительность благодаря 6 лезвиям Powelix
• Блендер из качественный нержавеющий стали идеально подходит для любой кухни</v>
          </cell>
        </row>
        <row r="2923">
          <cell r="A2923">
            <v>8010000739</v>
          </cell>
          <cell r="B2923" t="str">
            <v>LM2A0832</v>
          </cell>
          <cell r="J2923" t="str">
            <v>СТАЦИОНАРНЫЙ БЛЕНДЕР MOULINEX. МОЩНОСТЬ - 400ВТ,  4 СЪЕМНЫХ НОЖА,  2 СКОРОСТИ И ИМПУЛЬСНЫЙ РЕЖИМ,  ВОЗМОЖНОСТЬ КОЛКИ ЛЬДА В ЧАШЕ БЛЕНДЕРАЧАША ОБЪЕМОМ 1,5 Л (ПОЛЕЗНЫЙ ОБЪЕМ 1,25 Л), МЕРНЫЙ КОЛПАЧОК,  ЧАШУ И КРЫШКУ МОЖНО МЫТЬ В ПОСУДОМОЕЧНОЙ МАШИНЕ.</v>
          </cell>
        </row>
        <row r="2924">
          <cell r="A2924">
            <v>7211004352</v>
          </cell>
          <cell r="B2924" t="str">
            <v>LM2C0110</v>
          </cell>
          <cell r="J2924" t="str">
            <v>СТАЦ. БЛЕНДЕР BLENDEO+</v>
          </cell>
        </row>
        <row r="2925">
          <cell r="A2925">
            <v>7211419402</v>
          </cell>
          <cell r="B2925" t="str">
            <v>LM190AF0</v>
          </cell>
          <cell r="J2925" t="str">
            <v xml:space="preserve">Портативный блендер BlendUp </v>
          </cell>
        </row>
        <row r="2926">
          <cell r="A2926">
            <v>7211419846</v>
          </cell>
          <cell r="B2926" t="str">
            <v>LM190AF0</v>
          </cell>
          <cell r="J2926" t="str">
            <v xml:space="preserve">Портативный блендер BlendUp </v>
          </cell>
        </row>
        <row r="2927">
          <cell r="A2927">
            <v>7211004612</v>
          </cell>
          <cell r="B2927" t="str">
            <v>LM488410</v>
          </cell>
          <cell r="J2927" t="str">
            <v>Стационарный блендер Blendforce 2 Piano. Мощность 800 Вт, стеклянная чаша объемом 1,75 л, 5 скоростей (соус, смузи, суп, пюре, лед), импульсный режим, режим автоочистки, 6 съемных лезвий из нержавеющей стали по технологии Powelix, кофемолка и измельчитель в комплекте.</v>
          </cell>
        </row>
        <row r="2928">
          <cell r="A2928">
            <v>3200001153</v>
          </cell>
          <cell r="B2928">
            <v>416630711</v>
          </cell>
          <cell r="J2928" t="str">
            <v xml:space="preserve">ВЫСОКОСКОРОСТНОЙ БЛЕНДЕР KULTT PRO </v>
          </cell>
        </row>
        <row r="2929">
          <cell r="A2929">
            <v>9100052239</v>
          </cell>
          <cell r="B2929">
            <v>4230810</v>
          </cell>
          <cell r="J2929" t="str">
            <v xml:space="preserve">Лопатка </v>
          </cell>
        </row>
        <row r="2930">
          <cell r="A2930">
            <v>9100052240</v>
          </cell>
          <cell r="B2930">
            <v>4230820</v>
          </cell>
          <cell r="J2930" t="str">
            <v>Венчик</v>
          </cell>
        </row>
        <row r="2931">
          <cell r="A2931">
            <v>9100052241</v>
          </cell>
          <cell r="B2931">
            <v>4230830</v>
          </cell>
          <cell r="J2931" t="str">
            <v xml:space="preserve">Толкушка </v>
          </cell>
        </row>
        <row r="2932">
          <cell r="A2932">
            <v>9100052242</v>
          </cell>
          <cell r="B2932">
            <v>4230840</v>
          </cell>
          <cell r="J2932" t="str">
            <v>Лопатка длинная</v>
          </cell>
        </row>
        <row r="2933">
          <cell r="A2933">
            <v>2100089647</v>
          </cell>
          <cell r="B2933" t="str">
            <v>K001A504</v>
          </cell>
          <cell r="J2933" t="str">
            <v>Набор Bienvenue 5 предметов (Лопатка, длинная лопатка, блинная лопатка, ложка, половник)</v>
          </cell>
        </row>
        <row r="2934">
          <cell r="A2934">
            <v>2027455120</v>
          </cell>
          <cell r="B2934">
            <v>2745512</v>
          </cell>
          <cell r="J2934" t="str">
            <v>Bienvenue венчик</v>
          </cell>
        </row>
        <row r="2935">
          <cell r="A2935">
            <v>2027453120</v>
          </cell>
          <cell r="B2935">
            <v>2745312</v>
          </cell>
          <cell r="J2935" t="str">
            <v>Bienvenue щипцы</v>
          </cell>
        </row>
        <row r="2936">
          <cell r="A2936">
            <v>2027451120</v>
          </cell>
          <cell r="B2936">
            <v>2745112</v>
          </cell>
          <cell r="J2936" t="str">
            <v>Bienvenue  лопатка</v>
          </cell>
        </row>
        <row r="2937">
          <cell r="A2937">
            <v>2027449120</v>
          </cell>
          <cell r="B2937">
            <v>2744912</v>
          </cell>
          <cell r="J2937" t="str">
            <v>Bienvenue блинная лопатка</v>
          </cell>
        </row>
        <row r="2938">
          <cell r="A2938">
            <v>2027447120</v>
          </cell>
          <cell r="B2938">
            <v>2744712</v>
          </cell>
          <cell r="J2938" t="str">
            <v>Bienvenue толкушка</v>
          </cell>
        </row>
        <row r="2939">
          <cell r="A2939">
            <v>2027445120</v>
          </cell>
          <cell r="B2939">
            <v>2744512</v>
          </cell>
          <cell r="J2939" t="str">
            <v>Bienvenue шумовка</v>
          </cell>
        </row>
        <row r="2940">
          <cell r="A2940">
            <v>2027443120</v>
          </cell>
          <cell r="B2940">
            <v>2744312</v>
          </cell>
          <cell r="J2940" t="str">
            <v>Bienvenue половник</v>
          </cell>
        </row>
        <row r="2941">
          <cell r="A2941">
            <v>2027441120</v>
          </cell>
          <cell r="B2941">
            <v>2744112</v>
          </cell>
          <cell r="J2941" t="str">
            <v>Bienvenue длинная лопатка</v>
          </cell>
        </row>
        <row r="2942">
          <cell r="A2942">
            <v>2027439120</v>
          </cell>
          <cell r="B2942">
            <v>2743912</v>
          </cell>
          <cell r="J2942" t="str">
            <v>Ложка  BIENVENUE пластик</v>
          </cell>
        </row>
        <row r="2943">
          <cell r="A2943">
            <v>2027437120</v>
          </cell>
          <cell r="B2943">
            <v>2743712</v>
          </cell>
          <cell r="J2943" t="str">
            <v>Bienvenue угловая лопатка</v>
          </cell>
        </row>
        <row r="2944">
          <cell r="A2944">
            <v>2100109778</v>
          </cell>
          <cell r="B2944">
            <v>2745174</v>
          </cell>
          <cell r="J2944" t="str">
            <v>Маленькая лопатка TEFAL Inicia</v>
          </cell>
        </row>
        <row r="2945">
          <cell r="A2945">
            <v>2100109834</v>
          </cell>
          <cell r="B2945">
            <v>2744974</v>
          </cell>
          <cell r="J2945" t="str">
            <v>Лопатка для блинов TEFAL Inicia</v>
          </cell>
        </row>
        <row r="2946">
          <cell r="A2946">
            <v>2100109774</v>
          </cell>
          <cell r="B2946">
            <v>2744774</v>
          </cell>
          <cell r="J2946" t="str">
            <v>Картофелемялка Tefal Inicia</v>
          </cell>
        </row>
        <row r="2947">
          <cell r="A2947">
            <v>2100109770</v>
          </cell>
          <cell r="B2947">
            <v>2744574</v>
          </cell>
          <cell r="J2947" t="str">
            <v>Шумовка Tefal Inicia</v>
          </cell>
        </row>
        <row r="2948">
          <cell r="A2948">
            <v>2100109833</v>
          </cell>
          <cell r="B2948">
            <v>2744374</v>
          </cell>
          <cell r="J2948" t="str">
            <v>Половник Tefal Inicia</v>
          </cell>
        </row>
        <row r="2949">
          <cell r="A2949">
            <v>2100109835</v>
          </cell>
          <cell r="B2949">
            <v>2744174</v>
          </cell>
          <cell r="J2949" t="str">
            <v>Длинная лопатка Tefal Inicia</v>
          </cell>
        </row>
        <row r="2950">
          <cell r="A2950">
            <v>2100109769</v>
          </cell>
          <cell r="B2950">
            <v>2743974</v>
          </cell>
          <cell r="J2950" t="str">
            <v>Большая ложка Tefal Inicia</v>
          </cell>
        </row>
        <row r="2951">
          <cell r="A2951">
            <v>2100109775</v>
          </cell>
          <cell r="B2951">
            <v>2743774</v>
          </cell>
          <cell r="J2951" t="str">
            <v>Угловая лопатка TEFAL Inicia</v>
          </cell>
        </row>
        <row r="2952">
          <cell r="A2952">
            <v>2100124408</v>
          </cell>
          <cell r="B2952" t="str">
            <v>27455120</v>
          </cell>
          <cell r="J2952" t="str">
            <v>Венчик "Бенвеню" пластик</v>
          </cell>
        </row>
        <row r="2953">
          <cell r="A2953">
            <v>2100129326</v>
          </cell>
          <cell r="B2953" t="str">
            <v>K001S925</v>
          </cell>
          <cell r="J2953" t="str">
            <v>Набор Bienvenue 9 предметов (Лопатка, длинная лопатка, блинная лопатка, ложка, половник, шумовка, щипцы, толкушка, венчик)</v>
          </cell>
        </row>
        <row r="2954">
          <cell r="A2954">
            <v>2100107627</v>
          </cell>
          <cell r="B2954" t="str">
            <v>K001S314</v>
          </cell>
          <cell r="J2954" t="str">
            <v>Набор из 3-х предметов (лопатка для блинов, половник и венчик)</v>
          </cell>
        </row>
        <row r="2955">
          <cell r="A2955">
            <v>3100513960</v>
          </cell>
          <cell r="B2955">
            <v>513960</v>
          </cell>
          <cell r="J2955" t="str">
            <v>Ланч-бокс BENTO BOX 0.9л со вставкой бел/зелен</v>
          </cell>
        </row>
        <row r="2956">
          <cell r="A2956">
            <v>3100513817</v>
          </cell>
          <cell r="B2956">
            <v>513817</v>
          </cell>
          <cell r="J2956" t="str">
            <v>Термос-чайник BELL 1,5 л шоколадный</v>
          </cell>
        </row>
        <row r="2957">
          <cell r="A2957">
            <v>3100512992</v>
          </cell>
          <cell r="B2957">
            <v>512992</v>
          </cell>
          <cell r="J2957" t="str">
            <v>Аксесс.кухонные BASIC Сушилка для салата складная 4л зеленая</v>
          </cell>
        </row>
        <row r="2958">
          <cell r="A2958">
            <v>3100514567</v>
          </cell>
          <cell r="B2958">
            <v>514567</v>
          </cell>
          <cell r="J2958" t="str">
            <v>Контейнер для торта myBAKERY 33 см</v>
          </cell>
        </row>
        <row r="2959">
          <cell r="A2959">
            <v>1830009387</v>
          </cell>
          <cell r="B2959" t="str">
            <v>TN1551E0</v>
          </cell>
          <cell r="J2959" t="str">
            <v>Вдохновленное барбершопом широкое лезвие XL, самозатачивающиеся лезвия с алмазоподобным покрытием и профессиональный мотор с легкостью справляются с густыми волосами в одно движение, а фиксированные насадки и наборы для фейда обеспечивают аккуратную стрижку и укладку без лишних усилий. Емкий аккумулятор машинки гарантирует до 2 часов 30 минут автономной работы — хватит на несколько стрижек без подзарядки.</v>
          </cell>
        </row>
        <row r="2960">
          <cell r="A2960">
            <v>1830009388</v>
          </cell>
          <cell r="B2960" t="str">
            <v>TN1851E0</v>
          </cell>
          <cell r="J2960" t="str">
            <v>Создайте четкие линии и безупречную детализацию с триммером Barber Experience. Его Т-образное лезвие в стиле барбершопа и насадки от 1 до 5 мм позволяют точно проработать каждый штрих. Лезвия с алмазоподобным покрытием самозатачиваются, профессиональный мотор гарантирует надежную работу, а аккумулятор обеспечивает до 90 минут автономной работы для нескольких сеансов подряд без подзарядки.</v>
          </cell>
        </row>
        <row r="2961">
          <cell r="A2961">
            <v>7211419215</v>
          </cell>
          <cell r="B2961" t="str">
            <v>QB525838</v>
          </cell>
          <cell r="J2961" t="str">
            <v>Кухонная машина</v>
          </cell>
        </row>
        <row r="2962">
          <cell r="A2962">
            <v>7211419245</v>
          </cell>
          <cell r="B2962" t="str">
            <v>QB522838</v>
          </cell>
          <cell r="J2962" t="str">
            <v>Кухонная машина</v>
          </cell>
        </row>
        <row r="2963">
          <cell r="A2963">
            <v>7211419210</v>
          </cell>
          <cell r="B2963" t="str">
            <v>QB521B38</v>
          </cell>
          <cell r="J2963" t="str">
            <v>Кухонная машина</v>
          </cell>
        </row>
        <row r="2964">
          <cell r="A2964">
            <v>7211419209</v>
          </cell>
          <cell r="B2964" t="str">
            <v>QB520B38</v>
          </cell>
          <cell r="J2964" t="str">
            <v>Кухонная машина</v>
          </cell>
        </row>
        <row r="2965">
          <cell r="A2965">
            <v>8010001279</v>
          </cell>
          <cell r="B2965" t="str">
            <v>QB161H38</v>
          </cell>
          <cell r="J2965" t="str">
            <v>Кухонная машина</v>
          </cell>
        </row>
        <row r="2966">
          <cell r="A2966">
            <v>8010001276</v>
          </cell>
          <cell r="B2966" t="str">
            <v>QB160138</v>
          </cell>
          <cell r="J2966" t="str">
            <v>Кухонная машина</v>
          </cell>
        </row>
        <row r="2967">
          <cell r="A2967">
            <v>1830008502</v>
          </cell>
          <cell r="B2967" t="str">
            <v>CF371LF0</v>
          </cell>
          <cell r="J2967" t="str">
            <v>AUTO CURLER SO CURLS KL</v>
          </cell>
        </row>
        <row r="2968">
          <cell r="A2968">
            <v>8010001298</v>
          </cell>
          <cell r="B2968" t="str">
            <v>XP384G10</v>
          </cell>
          <cell r="J2968" t="str">
            <v>Рожковая кофеварка Authentic+ C80, Полная экстракция вкуса, Интуитивно понятный интерфейс, наклонная панель управления, давление 15 Бар, съемный резервуар воды 2 л</v>
          </cell>
        </row>
        <row r="2969">
          <cell r="A2969">
            <v>2100086098</v>
          </cell>
          <cell r="B2969" t="str">
            <v>PP3020V1</v>
          </cell>
          <cell r="J2969" t="str">
            <v>Память на 4 пользователей  4х-сенсорная технология Tefal  Автоматическое включение при вставании на весы/ автоотключение  Материал платформы – закаленное стекло  Широкий ЖК дисплей  Максимальный вес 160 кг  Шаг измерений 100 г Питание: 4 батарейки LR03 (не в комплекте) Сделано во Китае.</v>
          </cell>
        </row>
        <row r="2970">
          <cell r="A2970">
            <v>7211004030</v>
          </cell>
          <cell r="B2970" t="str">
            <v>LM91HD32</v>
          </cell>
          <cell r="J2970" t="str">
            <v>СТАЦИОНАРНЫЙ БЛЕНДЕР MOULINEX. МОЩНОСТЬ - 1600 ВТ,  6 СЪЕМНЫХ НОЖЕЙ, РЕГУЛИРОВКА СКОРОСТИ ОТ 1 ДО 10, ИМПУЛЬСНЫЙ РЕЖИМ, ЧАША ОБЪЕМОМ 1,75 Л + СЪЕМНАЯ ЧАША 0,6 Л ON-THE-GO, СИСТЕМА ЗАЩИТЫ SECURE LOCK, МЕРНЫЙ КОЛПАЧОК. 5 АВТОМАТИЧЕСКИХ ПРОГРАММ</v>
          </cell>
        </row>
        <row r="2971">
          <cell r="A2971">
            <v>2100112830</v>
          </cell>
          <cell r="B2971" t="str">
            <v>E2241974</v>
          </cell>
          <cell r="J2971" t="str">
            <v>ВОК 28CM INSPIRATION (AROMA non-induction)</v>
          </cell>
        </row>
        <row r="2972">
          <cell r="A2972">
            <v>2100112829</v>
          </cell>
          <cell r="B2972" t="str">
            <v>E2244074</v>
          </cell>
          <cell r="J2972" t="str">
            <v>Сковорода гриль  INSPIRATION 26 (AROMA non-induction)</v>
          </cell>
        </row>
        <row r="2973">
          <cell r="A2973">
            <v>2100112833</v>
          </cell>
          <cell r="B2973" t="str">
            <v>E2240674</v>
          </cell>
          <cell r="J2973" t="str">
            <v>Сковорода 28 CM INSPIRATION (AROMA non-induction)</v>
          </cell>
        </row>
        <row r="2974">
          <cell r="A2974">
            <v>2100112832</v>
          </cell>
          <cell r="B2974" t="str">
            <v>E2240574</v>
          </cell>
          <cell r="J2974" t="str">
            <v>Cковорода 26 CM INSPIRATION (AROMA non-induction)</v>
          </cell>
        </row>
        <row r="2975">
          <cell r="A2975">
            <v>2100112831</v>
          </cell>
          <cell r="B2975" t="str">
            <v>E2240474</v>
          </cell>
          <cell r="J2975" t="str">
            <v>Сковорода 24 CM INSPIRATION ( AROMA non-induction)</v>
          </cell>
        </row>
        <row r="2976">
          <cell r="A2976">
            <v>1830005071</v>
          </cell>
          <cell r="B2976" t="str">
            <v>EP9330D0</v>
          </cell>
          <cell r="J2976" t="str">
            <v>Эпилятор AquaSoft: технология «Soft Sensation» (подвижная массажная пластина, 1400 импульсов за секунду), возможность эпиляции в воде, технология «Микро-контакт», работа от аккумулятора (40 мин), 24 высокоточных пинцета запатентованной формы, плавающая головка, подсветка Vision, 2 скорости, съемная моющаяся головка, сумочка для хранения и переноски, 4 аксессуара: отшелушивающая насадка, бритвенная насадка 2 в 1 с бикини-триммером, насадка для эпиляции деликатных зон</v>
          </cell>
        </row>
        <row r="2977">
          <cell r="A2977">
            <v>1830008173</v>
          </cell>
          <cell r="B2977" t="str">
            <v>HD5236F0</v>
          </cell>
          <cell r="J2977" t="str">
            <v>Увлажнитель воздуха ультразвуковой, пар холодный/ горячий, 3 режима (автоматический, детский и ночной), автономная работа 30 часов, съемный резервуар для воды: 5,9 л, подача пара 400 мл.ч,  мощность 90 Вт, пульт ДУ , картридж от накипи</v>
          </cell>
        </row>
        <row r="2978">
          <cell r="A2978">
            <v>1830007699</v>
          </cell>
          <cell r="B2978" t="str">
            <v>HD5235F0</v>
          </cell>
          <cell r="J2978" t="str">
            <v>Увлажнитель воздуха ультразвуковой, пар холодный/ горячий, 3 режима (автоматический, детский и ночной), автономная работа 30 часов, съемный резервуар для воды: 5,9 л, подача пара 400 мл.ч,  мощность 90 Вт, пульт ДУ , картридж от накипи</v>
          </cell>
        </row>
        <row r="2979">
          <cell r="A2979">
            <v>1830006629</v>
          </cell>
          <cell r="B2979" t="str">
            <v>HD5230F0</v>
          </cell>
          <cell r="J2979" t="str">
            <v>Увлажнитель воздуха ультразвуковой, пар холодный/ горячий, 3 режима (автоматический, детский и ночной), автономная работа 30 часов, съемный резервуар для воды: 5,9 л, пульт ДУ</v>
          </cell>
        </row>
        <row r="2980">
          <cell r="A2980">
            <v>1830006786</v>
          </cell>
          <cell r="B2980" t="str">
            <v>HD5222F0</v>
          </cell>
          <cell r="J2980" t="str">
            <v>Увлажнитель воздуха ультразвуковой, пар холодный/ горячий, 3 режима (автоматический, детский и ночной), автономная работа 30 часов, съемный резервуар для воды: 5,9 л, мощность 90 Вт</v>
          </cell>
        </row>
        <row r="2981">
          <cell r="A2981">
            <v>1830008344</v>
          </cell>
          <cell r="B2981" t="str">
            <v>HD4045F0</v>
          </cell>
          <cell r="J2981" t="str">
            <v>Ультразвуковой увлажнитель, объем 4л, площадь до 50 кв. М, электронное управление</v>
          </cell>
        </row>
        <row r="2982">
          <cell r="A2982">
            <v>1830008333</v>
          </cell>
          <cell r="B2982" t="str">
            <v>HD4040F0</v>
          </cell>
          <cell r="J2982" t="str">
            <v>Ультразвуковой увлажнитель, объем 4л, площадь до 50 кв. М, электронное управление</v>
          </cell>
        </row>
        <row r="2983">
          <cell r="A2983">
            <v>1830008334</v>
          </cell>
          <cell r="B2983" t="str">
            <v>HD4020F0</v>
          </cell>
          <cell r="J2983" t="str">
            <v>Ультразвуковой увлажнитель, объем 2л, площадь до 50 кв. М, электронное управление</v>
          </cell>
        </row>
        <row r="2984">
          <cell r="A2984">
            <v>7211001078</v>
          </cell>
          <cell r="B2984" t="str">
            <v>KO270130</v>
          </cell>
          <cell r="J2984" t="str">
            <v xml:space="preserve">Чайник Aqua II, объем 1,7 литра, мощность 2400 Вт, скрытый нагревательный элемент, вращение на подставке на 360 градусов, съемный фильтр от накипи, 2 индикатора уровня воды,световая индикация работа, автоматическое открывание крышки, автоотключение, хранение шнура в подставе, материал корпуса – пластик. Цвет – белый. </v>
          </cell>
        </row>
        <row r="2985">
          <cell r="A2985">
            <v>3200000472</v>
          </cell>
          <cell r="B2985">
            <v>419010711</v>
          </cell>
          <cell r="J2985" t="str">
            <v>ГОРШОК С СИСТЕМОЙ АВТОПОЛИВА  AMBIENT HERBS @HOME</v>
          </cell>
        </row>
        <row r="2986">
          <cell r="A2986">
            <v>3200001453</v>
          </cell>
          <cell r="B2986">
            <v>419080711</v>
          </cell>
          <cell r="J2986" t="str">
            <v>АРОМА-ДИФФЬЮЗОР AMBIENT</v>
          </cell>
        </row>
        <row r="2987">
          <cell r="A2987">
            <v>2100095168</v>
          </cell>
          <cell r="B2987" t="str">
            <v>PP2100V0</v>
          </cell>
          <cell r="J2987" t="str">
            <v xml:space="preserve">Весы стеклянные </v>
          </cell>
        </row>
        <row r="2988">
          <cell r="A2988">
            <v>2820101010</v>
          </cell>
          <cell r="B2988" t="str">
            <v>QT1010E0</v>
          </cell>
          <cell r="J2988" t="str">
            <v>ГЛАДИЛЬНАЯ СИСТЕМА IXEO С КОМПАКТНОЙ ДИНАМИЧЕСКОЙ ДОСКОЙ, ГЛАДЬТЕ ИЛИ ОТПАРИВАЙТЕ В ЛЮБОЙ ИЗ 3Х ПОЗИЦИЯХ, 1 НАСТРОЙКА ТЕМПЕРАТУРЫ - ДЛЯ ЛЮБЫХ ТИПОВ ТКАНИ, СЕМНАЯ БАЗА ДЛЯ УДОБСТВА, КОЛЕСИКИ ДЛЯ ТРАНСПОРТИРОВКИ, ПОДАЧА ПАРА ПО ЗАПРОСУ, 1600 ВАТ, ДАВЛЕНИЕ 5 БАР, ПАРОВОЙ УДАР ДО 60Г\МИН, ГОТОВНОСТЬ К РАБОТЕ ЧЕРЕЗ 45 СЕК, ЛЕГКИЙ УТЮГ, СЪЕМНЫЙ РЕЗЕРВУАР ДЛЯ ВОДЫ 1 Л, ДОПОЛНИТЕЛЬНЫЙ КАРТРИДЖ ПРОТИВ НАКИПИ</v>
          </cell>
        </row>
        <row r="2989">
          <cell r="A2989">
            <v>2820102010</v>
          </cell>
          <cell r="B2989" t="str">
            <v>QT1020E0</v>
          </cell>
          <cell r="J2989" t="str">
            <v>ГЛАДИЛЬНАЯ СИСТЕМА IXEO С КОМПАКТНОЙ ДИНАМИЧЕСКОЙ ДОСКОЙ, ГЛАДЬТЕ ИЛИ ОТПАРИВАЙТЕ В ЛЮБОЙ ИЗ 3Х ПОЗИЦИЯХ, 1 НАСТРОЙКА ТЕМПЕРАТУРЫ - ДЛЯ ЛЮБЫХ ТИПОВ ТКАНИ, СЕМНАЯ БАЗА ДЛЯ УДОБСТВА, КОЛЕСИКИ ДЛЯ ТРАНСПОРТИРОВКИ, ПОДАЧА ПАРА ПО ЗАПРОСУ, 1600 ВАТ, ДАВЛЕНИЕ 5 БАР, ПАРОВОЙ УДАР ДО 60Г\МИН, ГОТОВНОСТЬ К РАБОТЕ ЧЕРЕЗ 45 СЕК, ЛЕГКИЙ УТЮГ, СЪЕМНЫЙ РЕЗЕРВУАР ДЛЯ ВОДЫ 1 Л, АКСЕССУАРЫ 3 ШТ: ЩЕТКА ДЛЯ ПЛОТНОЙ ТКАНИ, ЗАЖИМЫ ДЛЯ БРЮК, ЩЕТКА ПРОТИВ КАТЫШКОВ</v>
          </cell>
        </row>
        <row r="2990">
          <cell r="A2990">
            <v>1830009449</v>
          </cell>
          <cell r="B2990" t="str">
            <v xml:space="preserve">CF8C20E0 </v>
          </cell>
        </row>
        <row r="2991">
          <cell r="A2991">
            <v>2100136945</v>
          </cell>
          <cell r="B2991" t="str">
            <v>J176S204</v>
          </cell>
          <cell r="J2991" t="str">
            <v>Набор форм для аэрогриля: спрингформа 18 см, форма для австрийского кекса 16 см</v>
          </cell>
        </row>
        <row r="2992">
          <cell r="A2992">
            <v>1830008266</v>
          </cell>
          <cell r="B2992" t="str">
            <v>TN9320F0</v>
          </cell>
          <cell r="J2992" t="str">
            <v>AIRFORCE</v>
          </cell>
        </row>
        <row r="2993">
          <cell r="A2993">
            <v>1830007997</v>
          </cell>
          <cell r="B2993" t="str">
            <v>TN9300F6</v>
          </cell>
          <cell r="J2993" t="str">
            <v>AIRFORCE ULTIMATE
VACUUM HAIR CLIPPER
   TN9300F5</v>
          </cell>
        </row>
        <row r="2994">
          <cell r="A2994">
            <v>1830006702</v>
          </cell>
          <cell r="B2994" t="str">
            <v>TN9300F5</v>
          </cell>
          <cell r="J2994" t="str">
            <v>AIRFORCE ULTIMATE
VACUUM HAIR CLIPPER
   TN9300F5</v>
          </cell>
        </row>
        <row r="2995">
          <cell r="A2995">
            <v>2100109539</v>
          </cell>
          <cell r="B2995" t="str">
            <v>J2555014</v>
          </cell>
          <cell r="J2995" t="str">
            <v>Форма 12 маффинов 29x41</v>
          </cell>
        </row>
        <row r="2996">
          <cell r="A2996">
            <v>2100109544</v>
          </cell>
          <cell r="B2996" t="str">
            <v>J2559614</v>
          </cell>
          <cell r="J2996" t="str">
            <v>Форма для круглого торта 23см</v>
          </cell>
        </row>
        <row r="2997">
          <cell r="A2997">
            <v>2100109545</v>
          </cell>
          <cell r="B2997" t="str">
            <v>J2558314</v>
          </cell>
          <cell r="J2997" t="str">
            <v>Форма для пирога с низкими волнистыми краями 27см</v>
          </cell>
        </row>
        <row r="2998">
          <cell r="A2998">
            <v>2100109540</v>
          </cell>
          <cell r="B2998" t="str">
            <v>J2555214</v>
          </cell>
          <cell r="J2998" t="str">
            <v>Квадратная форма 23x23</v>
          </cell>
        </row>
        <row r="2999">
          <cell r="A2999">
            <v>7211003574</v>
          </cell>
          <cell r="B2999" t="str">
            <v>XD6230F0</v>
          </cell>
          <cell r="J2999" t="str">
            <v>2IN1 ACTIVE CARBON &amp; ALLERGY+ H13 FILTER  PT30</v>
          </cell>
        </row>
        <row r="3000">
          <cell r="A3000">
            <v>7211001964</v>
          </cell>
          <cell r="B3000" t="str">
            <v>XD6080F0</v>
          </cell>
          <cell r="J3000" t="str">
            <v>NANOCAPTURE FILTER</v>
          </cell>
        </row>
        <row r="3001">
          <cell r="A3001">
            <v>7211003681</v>
          </cell>
          <cell r="B3001" t="str">
            <v>XD6082F0</v>
          </cell>
          <cell r="J3001" t="str">
            <v>NANOCAPTUR+ FILTER INTENSE PURE AIR &amp; PURE AIR  PT30/40 (replaces XD6080)</v>
          </cell>
        </row>
        <row r="3002">
          <cell r="A3002">
            <v>7211003203</v>
          </cell>
          <cell r="B3002" t="str">
            <v>XD6074F0</v>
          </cell>
          <cell r="J3002" t="str">
            <v>HEPA фильтр для очистителя PU40</v>
          </cell>
        </row>
        <row r="3003">
          <cell r="A3003">
            <v>7211001963</v>
          </cell>
          <cell r="B3003" t="str">
            <v>XD6060F0</v>
          </cell>
          <cell r="J3003" t="str">
            <v>Очиститель воздуха с активированным угольным фильтром PU40xx</v>
          </cell>
        </row>
        <row r="3004">
          <cell r="A3004">
            <v>1830004517</v>
          </cell>
          <cell r="B3004" t="str">
            <v>XD6050F0</v>
          </cell>
          <cell r="J3004" t="str">
            <v xml:space="preserve">Cменный картридж против накипи, подходит для увлажнителей HU5115 и HU5120. </v>
          </cell>
        </row>
        <row r="3005">
          <cell r="A3005">
            <v>1830008257</v>
          </cell>
          <cell r="B3005" t="str">
            <v>XD6520F0</v>
          </cell>
          <cell r="J3005" t="str">
            <v>ECLIPSE 2IN1 BLADELESS PURIFYING-FAN</v>
          </cell>
        </row>
        <row r="3006">
          <cell r="A3006">
            <v>1830008453</v>
          </cell>
          <cell r="B3006" t="str">
            <v>XD6400F0</v>
          </cell>
          <cell r="J3006" t="str">
            <v>AQUA BOOST HD40** XD6400</v>
          </cell>
        </row>
        <row r="3007">
          <cell r="A3007">
            <v>1830009467</v>
          </cell>
          <cell r="B3007" t="str">
            <v>UB9820E0</v>
          </cell>
          <cell r="J3007" t="str">
            <v>Фен-щетка Rowenta Air Shape, Многофункциональное устройство для укладки, Мощный
цифровой мотор, Легкая и безопасная укладка</v>
          </cell>
        </row>
        <row r="3008">
          <cell r="A3008">
            <v>1830009575</v>
          </cell>
          <cell r="B3008" t="str">
            <v>UB9920E0</v>
          </cell>
          <cell r="J3008" t="str">
            <v>BLDC Вращающиеся фен-щетка с насадкой концентратор</v>
          </cell>
        </row>
        <row r="3009">
          <cell r="A3009">
            <v>1830007687</v>
          </cell>
          <cell r="B3009" t="str">
            <v>VF3910F0</v>
          </cell>
          <cell r="J3009" t="str">
            <v>New essential (replaces VF3640F0)</v>
          </cell>
        </row>
        <row r="3010">
          <cell r="A3010">
            <v>2211400773</v>
          </cell>
          <cell r="B3010" t="str">
            <v>TY9133WH</v>
          </cell>
          <cell r="J3010" t="str">
            <v>Вертикальный пылесос AIR FORCE SERENITY 18V, автономная работа в течение 50 мин, уровень шума 72 дБ, время зарядки 6 ч, объем контейнера 0,5 л, поролоновый фильтр</v>
          </cell>
        </row>
        <row r="3011">
          <cell r="A3011">
            <v>2211400774</v>
          </cell>
          <cell r="B3011" t="str">
            <v>TY9152WO</v>
          </cell>
          <cell r="J3011" t="str">
            <v>Вертикальный пылесос AIR FORCE SERENITY 25.2V TOY BOY, автономная работа в течение 60 мин, уровень шума 72 дБ, время зарядки 6 ч, объем контейнера 0,5 л, поролоновый фильтр</v>
          </cell>
        </row>
        <row r="3012">
          <cell r="A3012">
            <v>2211400778</v>
          </cell>
          <cell r="B3012" t="str">
            <v>TY9171WO</v>
          </cell>
          <cell r="J3012" t="str">
            <v>Вертикальный пылесос AIR FORCE SERENITY 25.2V BLUE, автономная работа в течение 70 мин, уровень шума 72 дБ, время зарядки 6 ч, объем контейнера 0,5 л, поролоновый фильтр, HEPA фильтр</v>
          </cell>
        </row>
        <row r="3013">
          <cell r="A3013">
            <v>2211400775</v>
          </cell>
          <cell r="B3013" t="str">
            <v>TY9179WO</v>
          </cell>
          <cell r="J3013" t="str">
            <v>Вертикальный пылесос AIR FORCE SERENITY 25.2V PURPLE, автономная работа в течение 70 мин, уровень шума 72 дБ, время зарядки 6 ч, объем контейнера 0,5 л, поролоновый фильтр, HEPA фильтр</v>
          </cell>
        </row>
        <row r="3014">
          <cell r="A3014">
            <v>1830006152</v>
          </cell>
          <cell r="B3014" t="str">
            <v>TN4851F0</v>
          </cell>
          <cell r="J3014" t="str">
            <v>Триммер для бороды AirForce Precision с вакуумной технологией: TN4851. 100% Вакуумная технология сбора волос во время стрижки, титановые лезвия V-образной формы, турбо-режим скорости стрижки (до 8500 оборотов), насадка для эффекта 3-хдневной щетины, 20 позиций длины от 0.5мм до 10 мм, всего 1 час зарядки для 45 мин использования (Li-ion батарея), работает от сети / аккумулятора, LCD экран, подставка для зарядки</v>
          </cell>
        </row>
        <row r="3015">
          <cell r="A3015">
            <v>2211400372</v>
          </cell>
          <cell r="B3015" t="str">
            <v>TY8913RH</v>
          </cell>
          <cell r="J3015" t="str">
            <v>Беспроводной пылесос AIR FORCE EXTREME SILENCE 18V , уровень шума 77  дБ, объем контейнера 0,5 л., время автономной работы до 45 мин, время зарядки 6 ч, цвет серебро и красный</v>
          </cell>
        </row>
        <row r="3016">
          <cell r="A3016">
            <v>2211400373</v>
          </cell>
          <cell r="B3016" t="str">
            <v>TY8970RO</v>
          </cell>
          <cell r="J3016" t="str">
            <v>Беспроводной пылесос AIR FORCE EXTREME SILENCE 25,2 V , уровень шума 77  дБ, объем контейнера 0,5 л., время автономной работы до 65 мин, время зарядки 6 ч, цвет серебро и синий</v>
          </cell>
        </row>
        <row r="3017">
          <cell r="A3017">
            <v>2211400374</v>
          </cell>
          <cell r="B3017" t="str">
            <v>TY8971RO</v>
          </cell>
          <cell r="J3017" t="str">
            <v>Беспроводной пылесос AIR FORCE EXTREME SILENCE 25,2 V , уровень шума 77  дБ, объем контейнера 0,5 л., время автономной работы до 65 мин, время зарядки 6 ч, цвет серебро и голубой</v>
          </cell>
        </row>
        <row r="3018">
          <cell r="A3018">
            <v>2211400273</v>
          </cell>
          <cell r="B3018" t="str">
            <v>TY8813RH</v>
          </cell>
          <cell r="J3018" t="str">
            <v>Беспроводной пылесос AIR FORCE EXTREME Lithium 18V , уровень шума 80 дБ, объем контейнера 0,5 л., вес 3,2 кг. , время автономной работы до 35 мин, дельта-щетка, цвет - красный</v>
          </cell>
        </row>
        <row r="3019">
          <cell r="A3019">
            <v>2211400265</v>
          </cell>
          <cell r="B3019" t="str">
            <v>TY8818RH</v>
          </cell>
          <cell r="J3019" t="str">
            <v>Беспроводной пылесос AIR FORCE EXTREME Lithium 18V , уровень шума 82 дБ, объем контейнера 0,5 л., вес 3,2 кг., время автономной работы 35 мин, Цвет - серебро</v>
          </cell>
        </row>
        <row r="3020">
          <cell r="A3020">
            <v>2211400269</v>
          </cell>
          <cell r="B3020" t="str">
            <v>TY8871RO</v>
          </cell>
          <cell r="J3020" t="str">
            <v>Беспроводной пылесос AIR FORCE EXTREME Lithium 25.2 V , уровень шума 80 дБ, объем контейнера 0,5 л., вес 3,4 кг., время автономной работы до 55 мин., дельта-щетка с LED подсветкой, цвет - голубой</v>
          </cell>
        </row>
        <row r="3021">
          <cell r="A3021">
            <v>2211400270</v>
          </cell>
          <cell r="B3021" t="str">
            <v>TY8875RO</v>
          </cell>
          <cell r="J3021" t="str">
            <v>Беспроводной пылесос AIR FORCE EXTREME Lithium 25.2 V , уровень шума 80 дБ, объем контейнера 0,5 л., вес 3,4 кг., время автономной работы до 55 мин., дельта-щетка с LED подсветкой, цвет - черный</v>
          </cell>
        </row>
        <row r="3022">
          <cell r="A3022">
            <v>2211400690</v>
          </cell>
          <cell r="B3022" t="str">
            <v>TY9571WO</v>
          </cell>
          <cell r="J3022" t="str">
            <v>Беспроводнoй пылесос AIR FORCE FLEX , уровень шума 84 дБ, объем контейнера 0,4 л., время работы до 75 мин , насадки: электрощетка, щелевая щетка, для мягкой мебели, мини турбощетка, литий-ионная батарея 21.9 В</v>
          </cell>
        </row>
        <row r="3023">
          <cell r="A3023">
            <v>2211400535</v>
          </cell>
          <cell r="B3023" t="str">
            <v>TY9471WO</v>
          </cell>
          <cell r="J3023" t="str">
            <v>Беспроводнoй пылесос AIR FORCE FLEX , уровень шума 81 дБ, объем контейнера 0,4 л., время работы до 35 мин , насадки: электрощетка, щелевая XXL, для мягкой мебели, мини турбощетка, литий-ионная батарея 21.9 В</v>
          </cell>
        </row>
        <row r="3024">
          <cell r="A3024">
            <v>2211400615</v>
          </cell>
          <cell r="B3024" t="str">
            <v>TY9472WO</v>
          </cell>
          <cell r="J3024" t="str">
            <v>Беспроводнoй пылесос AIR FORCE FLEX , уровень шума 81 дБ, объем контейнера 0,4 л., время работы до 35 мин , насадки: электрощетка, щелевая щетка, для мягкой мебели, мини турбощетка, литий-ионная батарея 21.9 В</v>
          </cell>
        </row>
        <row r="3025">
          <cell r="A3025">
            <v>2211400825</v>
          </cell>
          <cell r="B3025" t="str">
            <v>TY9479WO</v>
          </cell>
          <cell r="J3025" t="str">
            <v>Вертикальный пылесос AIR FLEX 560, уровень шума 82 дБ, фиолетовый, насадки: электрощетка, щелевая XXL, для мягкой мебели,  литий-ионная батарея 21.9 В, объем контейнера 0,65 л, LED-подсветка, циклонная технология, 2 скорости, автономная работа до 35 мин</v>
          </cell>
        </row>
        <row r="3026">
          <cell r="A3026">
            <v>2211400824</v>
          </cell>
          <cell r="B3026" t="str">
            <v>TY9490WO</v>
          </cell>
          <cell r="J3026" t="str">
            <v>Вертикальный пылесос с гибким корпусом, циклонная технология, уровень шума 82 дБ, время работы до 35 мин, объем контейнера для пыли 0,65 л, Mini турбощетка, щелевая насадка XL, насадка для мягкой мебели, насадка для мытья пола AQUA head, LED-подсветка, удобно для владельцев домашних животных и ухода за салоном автомобиля</v>
          </cell>
        </row>
        <row r="3027">
          <cell r="A3027">
            <v>2211400433</v>
          </cell>
          <cell r="B3027" t="str">
            <v>TY9256WO</v>
          </cell>
          <cell r="J3027" t="str">
            <v>Беспроводнoй пылесос AIR FORCE 360 ALL-IN-ONE , уровень шума 85 дБ, объем контейнера 0,4 л., время работы 30 мин , насадки: электрощетка, щелевая, для мягкой мебели, набор насадок -щеток; литий-ионная батарея 21.9 В</v>
          </cell>
        </row>
        <row r="3028">
          <cell r="A3028">
            <v>2211400495</v>
          </cell>
          <cell r="B3028" t="str">
            <v>TY9266WO</v>
          </cell>
          <cell r="J3028" t="str">
            <v>Беспроводнoй пылесос AIR FORCE 360 ALL-IN-ONE , уровень шума 85 дБ, объем контейнера 0,4 л., время работы 30 мин , насадки: электрощетка, щелевая, для мягкой мебели, набор насадок -щеток; литий-ионная батарея 21.9 В</v>
          </cell>
        </row>
        <row r="3029">
          <cell r="A3029">
            <v>2211400223</v>
          </cell>
          <cell r="B3029" t="str">
            <v>TY9079RO</v>
          </cell>
          <cell r="J3029" t="str">
            <v>Беспроводный пылесос AIR FORCE 360 , уровень шума 85 дБ, объем контейнера 0,4 л., вес 2,8 кг., насадки: электрощетка, щелевая, для мягкой мебели, миниэлектрощетка</v>
          </cell>
        </row>
        <row r="3030">
          <cell r="A3030">
            <v>1830005369</v>
          </cell>
          <cell r="B3030" t="str">
            <v>CF8361D0</v>
          </cell>
          <cell r="J3030" t="str">
            <v>Фен-щетка: мощность 1200Вт, 2 режима, встроенный ионизатор, холодный воздух, 5 насадок (круглая щетка большого диаметра 38 мм, малая круглая щетка 20 мм, концентратор, насадка для выпрямления - расческа, насадка для подъема прядей у корней), сумочка для хранения и переноски, подарочная упаковка с блистерным окном</v>
          </cell>
        </row>
        <row r="3031">
          <cell r="A3031">
            <v>1830009443</v>
          </cell>
          <cell r="B3031" t="str">
            <v xml:space="preserve">UB9720E0 </v>
          </cell>
          <cell r="J3031" t="str">
            <v>Фен-щетка Rowenta Air Brush 3D 3 в 1, Простое переключение между режимами, Функция
переключения, 3 настройки скорости/3 настройки температуры</v>
          </cell>
        </row>
        <row r="3032">
          <cell r="A3032">
            <v>1830005220</v>
          </cell>
          <cell r="B3032" t="str">
            <v>CF8252F0</v>
          </cell>
          <cell r="J3032" t="str">
            <v>Фен-щетка, высокая мощность 1200 Вт, уникальное покрытие щёток с кератином и турмалином "Keratin&amp;Shine", 2 режима, холодный воздух, 5 насадкок: насадка для придания объема у корней, круглая щетка большого диаметра 38 мм, круглая насадка с убирающимися зубчиками, плоская щетка для брашинга, концентратор, сумочка для хранения и перевозки, световой индикатор включения, термоизолированный наконечник, петля для подвешивания, вращающийся шнур, коллекиция Rowenta for Elite Model Look</v>
          </cell>
        </row>
        <row r="3033">
          <cell r="A3033">
            <v>1830005290</v>
          </cell>
          <cell r="B3033" t="str">
            <v>CF8242F0</v>
          </cell>
          <cell r="J3033" t="str">
            <v xml:space="preserve">Фен-щетка, высокая мощность 1200 Вт, уникальное покрытие щёток с кератином и турмалином "Keratin&amp;Shine", 2 режима, холодный воздух, 3 насадки: круглая щетка большого диаметра 38 мм с керамическим покрытием, щетка малого диаметра 20 мм, концентратор, световой индикатор включения, термоизолированный наконечник, ушко для подвешивания, вращающийся шнур, коллекция Rowenta for Elite Model Look </v>
          </cell>
        </row>
        <row r="3034">
          <cell r="A3034">
            <v>1830009266</v>
          </cell>
          <cell r="B3034" t="str">
            <v>DT9810F0</v>
          </cell>
          <cell r="J3034" t="str">
            <v>Ручной отпариватель Tefal Aerosteam с мощностью 1600W , время нагрева 40s , подача пара 30 g/min</v>
          </cell>
        </row>
        <row r="3035">
          <cell r="A3035">
            <v>1500578361</v>
          </cell>
          <cell r="B3035" t="str">
            <v>OX485832</v>
          </cell>
          <cell r="J3035" t="str">
            <v>МИНИ ПЕЧЬ: ОБЪЕМ 39Л, МОЩНОСТЬ 1380 ВТ, МАКСИМАЛЬНАЯ ТЕМПЕРАТУРА 240С, ТАЙМЕР: 120 МИН С АВТОВЫКЛЮЧЕНИЕМ, ИНДИКАТОР ГОТОВНОСТИ К РАБОТЕ, ВНУТРЕННЯЯ ПОДСВЕТКА,  6 РЕЖИМОВ: ТРАДИЦИОННАЯ ДУХОВКА, КОНВЕКЦИЯ, ГРИЛЬ , НИЖНИЙ НАГРЕВ, ВЫПЕЧКА, РАЗМОРОЗКА, АКСЕССУАРЫ: ПРОТИВЕНЬ,  РЕШЕТКА,  ВЕРТЕЛ. МАТЕРИАЛ - МЕТАЛЛ, ЦВЕТ ЧЕРНЫЙ.</v>
          </cell>
        </row>
        <row r="3036">
          <cell r="A3036">
            <v>2211400347</v>
          </cell>
          <cell r="B3036" t="str">
            <v>ZR009001</v>
          </cell>
          <cell r="J3036" t="str">
            <v>Фильтр Tefal ZR009001 для вертикальных пылесосов AF360* TY90**,TY73** для TY90***, TY73**</v>
          </cell>
        </row>
        <row r="3037">
          <cell r="A3037">
            <v>2211400350</v>
          </cell>
          <cell r="B3037" t="str">
            <v>ZR009002</v>
          </cell>
          <cell r="J3037" t="str">
            <v>Фильтр Tefal ZR009002 для вертикальных пылесосов TY92**/TY94** для TY92**/TY94**</v>
          </cell>
        </row>
        <row r="3038">
          <cell r="A3038">
            <v>2211400743</v>
          </cell>
          <cell r="B3038" t="str">
            <v>ZR009003</v>
          </cell>
          <cell r="J3038" t="str">
            <v>Фильтр Tefal ZR009003 для пылесосов Air Force 760 Flex для TY95**</v>
          </cell>
        </row>
        <row r="3039">
          <cell r="A3039">
            <v>2211400744</v>
          </cell>
          <cell r="B3039" t="str">
            <v>ZR009004</v>
          </cell>
          <cell r="J3039" t="str">
            <v>HEPA Фильтр Tefal ZR009003 для вертикальных пылесосов TY95** для TY95**</v>
          </cell>
        </row>
        <row r="3040">
          <cell r="A3040">
            <v>2211400925</v>
          </cell>
          <cell r="B3040" t="str">
            <v>ZR009005</v>
          </cell>
          <cell r="J3040" t="str">
            <v>Фильтр Tefal ZR009005 для пылесосов Xforce Flex 8.60  для TY96**</v>
          </cell>
        </row>
        <row r="3041">
          <cell r="A3041">
            <v>2211400926</v>
          </cell>
          <cell r="B3041" t="str">
            <v>ZR009006</v>
          </cell>
          <cell r="J3041" t="str">
            <v>Фильтр Tefal ZR009006 для пылесосов Xforce Flex 8.60 и  X-PERT 6.60 для TY96** TY68**</v>
          </cell>
        </row>
        <row r="3042">
          <cell r="A3042">
            <v>2211400927</v>
          </cell>
          <cell r="B3042" t="str">
            <v>ZR009007</v>
          </cell>
          <cell r="J3042" t="str">
            <v>Фильтр Tefal ZR009007 для пылесосов XFORCE 11.60 / 14.60 / 14.60 PRO  для TY98**, TY99**</v>
          </cell>
        </row>
        <row r="3043">
          <cell r="A3043">
            <v>2211400928</v>
          </cell>
          <cell r="B3043" t="str">
            <v>ZR009008</v>
          </cell>
          <cell r="J3043" t="str">
            <v>Моторный фильтр Tefal ZR009008 для пылесосов  XFORCE 11.60/ 14.60 / 14.60 PRO для TY98**, TY99**</v>
          </cell>
        </row>
        <row r="3044">
          <cell r="A3044">
            <v>2211400929</v>
          </cell>
          <cell r="B3044" t="str">
            <v>ZR009009</v>
          </cell>
          <cell r="J3044" t="str">
            <v>Моторный фильтр Tefal ZR009009 для пылесосов X-Touch для TX97**</v>
          </cell>
        </row>
        <row r="3045">
          <cell r="A3045">
            <v>2211400752</v>
          </cell>
          <cell r="B3045" t="str">
            <v>ZR009500</v>
          </cell>
          <cell r="J3045" t="str">
            <v>Насадка на вертикальный пылесос AIR FOCRCE X60 AQUA TY95 для влажной уборки ZR009500 для TY95** TY94**</v>
          </cell>
        </row>
        <row r="3046">
          <cell r="A3046">
            <v>2211400813</v>
          </cell>
          <cell r="B3046" t="str">
            <v>ZR009501</v>
          </cell>
          <cell r="J3046" t="str">
            <v>Аксессуары на вертикальный пылесос AIR FOCRCE X60 AQUA для влажной уборки: 2 тряпки-накладки и насадка для выхода воды для TY94**/ TY96** TY98**</v>
          </cell>
        </row>
        <row r="3047">
          <cell r="A3047">
            <v>2211400878</v>
          </cell>
          <cell r="B3047" t="str">
            <v>ZR009600</v>
          </cell>
          <cell r="J3047" t="str">
            <v>Насадка AQUA на вертикальный пылесос AIR FORCE TY96, TY98 для влажной уборки+2 тряпки-накладки, объем емкости для воды 350 мл  для TY96** TY98**</v>
          </cell>
        </row>
        <row r="3048">
          <cell r="A3048">
            <v>2211400893</v>
          </cell>
          <cell r="B3048" t="str">
            <v>ZR009700</v>
          </cell>
          <cell r="J3048" t="str">
            <v>Литий-ионный аккумулятор Tefal Xforce 22V ZR009700 для пылесосов Xforce Flex 8.60 для TY96**</v>
          </cell>
        </row>
        <row r="3049">
          <cell r="A3049">
            <v>2211400891</v>
          </cell>
          <cell r="B3049" t="str">
            <v>ZR009701</v>
          </cell>
          <cell r="J3049" t="str">
            <v>Литий-ионный аккумулятор Tefal Xforce 25.2V ZR009700 для пылесосов Xforce Flex 11.60 для TY98**</v>
          </cell>
        </row>
        <row r="3050">
          <cell r="A3050">
            <v>2211400985</v>
          </cell>
          <cell r="B3050" t="str">
            <v>ZR009702</v>
          </cell>
          <cell r="J3050" t="str">
            <v>Съемный литий-ионный аккумулятор 32,4 В для пылесосов X-FORCE FLEX 14.60 для TY99**</v>
          </cell>
        </row>
        <row r="3051">
          <cell r="A3051">
            <v>7235005031</v>
          </cell>
          <cell r="B3051" t="str">
            <v>ZR009703</v>
          </cell>
          <cell r="J3051" t="str">
            <v>Литий-ионный аккумулятор Tefal X-Pert 18V ZR009703 для пылесосов TY68* для TY68**</v>
          </cell>
        </row>
        <row r="3052">
          <cell r="A3052">
            <v>2211401012</v>
          </cell>
          <cell r="B3052" t="str">
            <v>ZR780000</v>
          </cell>
          <cell r="J3052" t="str">
            <v>Набор фильтров для пылесоса TW48*. В комплекте 2 фильтра:  Моющийся входной фильтр (предмоторный),  EPA-фильтр  (пост-моторный).</v>
          </cell>
        </row>
        <row r="3053">
          <cell r="A3053">
            <v>2211400987</v>
          </cell>
          <cell r="B3053" t="str">
            <v>ZR905001</v>
          </cell>
          <cell r="J3053" t="str">
            <v xml:space="preserve">Гибкая насадка для пылесосов XForce и X-Pert 6.60 для очистки труднодоступных мест, таких как автомобиль и мебель для TY68** TY98** TY99** </v>
          </cell>
        </row>
        <row r="3054">
          <cell r="A3054">
            <v>2211400988</v>
          </cell>
          <cell r="B3054" t="str">
            <v>ZR905002</v>
          </cell>
          <cell r="J3054" t="str">
            <v>Держатель-подставка для пылесоса X-FORCE 11.60 для TY98**</v>
          </cell>
        </row>
        <row r="3055">
          <cell r="A3055">
            <v>2211400989</v>
          </cell>
          <cell r="B3055" t="str">
            <v>ZR905003</v>
          </cell>
          <cell r="J3055" t="str">
            <v>Держатель-подставка для пылесосов X-FORCE FLEX 14.60 для TY99**</v>
          </cell>
        </row>
        <row r="3056">
          <cell r="A3056">
            <v>2211400849</v>
          </cell>
          <cell r="B3056" t="str">
            <v>ZR177002</v>
          </cell>
          <cell r="J3056" t="str">
            <v xml:space="preserve">2 фильтра и 2 боковые щётки Tefal для роботов-пылесосов Explorer Serie 80  для RG77**  </v>
          </cell>
        </row>
        <row r="3057">
          <cell r="A3057">
            <v>2211400852</v>
          </cell>
          <cell r="B3057" t="str">
            <v>ZR177005</v>
          </cell>
          <cell r="J3057" t="str">
            <v xml:space="preserve">Тряпочки 2 шт. Tefal из микрофибры для роботов-пылесосов Explorer Serie 80   для RG77**  </v>
          </cell>
        </row>
        <row r="3058">
          <cell r="A3058">
            <v>2211400386</v>
          </cell>
          <cell r="B3058" t="str">
            <v>ZR690001</v>
          </cell>
          <cell r="J3058" t="str">
            <v>Магнитная лента Tefal ZR690001 для роботов-пылесосов для все роботы-пылесосы</v>
          </cell>
        </row>
        <row r="3059">
          <cell r="A3059">
            <v>2211400481</v>
          </cell>
          <cell r="B3059" t="str">
            <v>ZR690002</v>
          </cell>
          <cell r="J3059" t="str">
            <v xml:space="preserve">Набор из насадки для влажной уборки Tefal и четырех тряпочек из микрофибры для роботов-пылесосов Explorer Serie 20  Explorer Serie 40   Explorer Serie 50 </v>
          </cell>
        </row>
        <row r="3060">
          <cell r="A3060">
            <v>2211400482</v>
          </cell>
          <cell r="B3060" t="str">
            <v>ZR690202</v>
          </cell>
          <cell r="J3060" t="str">
            <v>Набор из 2 тряпок из микроволокна ZR690202 для роботов-пылесосов RG72**, RG68**, RG73** для RG72**, RG68**, RG73**</v>
          </cell>
        </row>
        <row r="3061">
          <cell r="A3061">
            <v>2211400757</v>
          </cell>
          <cell r="B3061" t="str">
            <v>ZR720002</v>
          </cell>
          <cell r="J3061" t="str">
            <v>Набор из высокоэффективного фильтра и двух боковых щеток Tefal ZR720002 для роботов-пылесосов RG72** для RG72**</v>
          </cell>
        </row>
        <row r="3062">
          <cell r="A3062">
            <v>2211400758</v>
          </cell>
          <cell r="B3062" t="str">
            <v>ZR720003</v>
          </cell>
          <cell r="J3062" t="str">
            <v>Турборщётка Tefal для роботов-пылесосов S40 / S50 для RG72**, RG73**</v>
          </cell>
        </row>
        <row r="3063">
          <cell r="A3063">
            <v>2211400761</v>
          </cell>
          <cell r="B3063" t="str">
            <v>ZR720004</v>
          </cell>
          <cell r="J3063" t="str">
            <v>Турборщётка Tefal для роботов-пылесосов S20/S40/S50 для RG72**, RG68**, RG73**</v>
          </cell>
        </row>
        <row r="3064">
          <cell r="A3064">
            <v>2211400762</v>
          </cell>
          <cell r="B3064" t="str">
            <v>ZR740001</v>
          </cell>
          <cell r="J3064" t="str">
            <v>2 тряпки-накладки из микрофибры Tefal ZR740001 для роботов-пылесосов RG74** для  RG74**</v>
          </cell>
        </row>
        <row r="3065">
          <cell r="A3065">
            <v>2211400764</v>
          </cell>
          <cell r="B3065" t="str">
            <v>ZR740003</v>
          </cell>
          <cell r="J3065" t="str">
            <v>Набор из HEPA Фильтра и двух боковых щеток Tefal ZR740003 для робота-пылесоса RG74** для  RG74**</v>
          </cell>
        </row>
        <row r="3066">
          <cell r="A3066">
            <v>2211400969</v>
          </cell>
          <cell r="B3066" t="str">
            <v>ZR762000</v>
          </cell>
          <cell r="J3066" t="str">
            <v xml:space="preserve">Набор из 2 боковых щёточек, 2 тряпочек и 2 фильтров ANIMAL KIT S75 для RG77**  </v>
          </cell>
        </row>
        <row r="3067">
          <cell r="A3067">
            <v>2211400970</v>
          </cell>
          <cell r="B3067" t="str">
            <v>ZR763000</v>
          </cell>
          <cell r="J3067" t="str">
            <v xml:space="preserve">Набор из 2 боковых щёточек, 3 тряпочек и 2 фильров TOTAL CARE KIT S75 для RG77**  </v>
          </cell>
        </row>
        <row r="3068">
          <cell r="A3068">
            <v>2211400971</v>
          </cell>
          <cell r="B3068" t="str">
            <v xml:space="preserve">ZR791000 </v>
          </cell>
          <cell r="J3068" t="str">
            <v xml:space="preserve">Набор из 3 щёток для роботов-пылесосов Сentral brushes kit S95 для RG79**  </v>
          </cell>
        </row>
        <row r="3069">
          <cell r="A3069">
            <v>2211400972</v>
          </cell>
          <cell r="B3069" t="str">
            <v>ZR792000</v>
          </cell>
          <cell r="J3069" t="str">
            <v xml:space="preserve">Набор из 2 боковых щёточек, 2 тряпочек и 2 фильтров ANIMAL KIT S95 для RG79**  </v>
          </cell>
        </row>
        <row r="3070">
          <cell r="A3070">
            <v>2211400973</v>
          </cell>
          <cell r="B3070" t="str">
            <v>ZR793000</v>
          </cell>
          <cell r="J3070" t="str">
            <v xml:space="preserve">Набор из 2 боковых щёточек, 3 тряпочек и 2 фильров TOTAL CARE KIT S95 для RG79**  </v>
          </cell>
        </row>
        <row r="3071">
          <cell r="A3071">
            <v>2210014973</v>
          </cell>
          <cell r="B3071" t="str">
            <v>ZR003901</v>
          </cell>
          <cell r="J3071" t="str">
            <v>Набор из 6 бумажных пылесборников Tefal ZR003901 для пылесосов City space TW24**, TW26** для TW24**, TW26**</v>
          </cell>
        </row>
        <row r="3072">
          <cell r="A3072">
            <v>2210014988</v>
          </cell>
          <cell r="B3072" t="str">
            <v>ZR004201</v>
          </cell>
          <cell r="J3072" t="str">
            <v>Фильтр Tefal ZR004201 HEPA12 для пылесосов City space TW26**, TW24** для TW26**, TW24**</v>
          </cell>
        </row>
        <row r="3073">
          <cell r="A3073">
            <v>2211400344</v>
          </cell>
          <cell r="B3073" t="str">
            <v>ZR005201</v>
          </cell>
          <cell r="J3073" t="str">
            <v>Фильтр Tefal ZR005201 для вертикальных пылесосов TY65** для TY65***</v>
          </cell>
        </row>
        <row r="3074">
          <cell r="A3074">
            <v>2211400546</v>
          </cell>
          <cell r="B3074" t="str">
            <v>ZR005202</v>
          </cell>
          <cell r="J3074" t="str">
            <v>Фильтр Tefal ZR005201 для вертикальных пылесосов TY72** для TY72***</v>
          </cell>
        </row>
        <row r="3075">
          <cell r="A3075">
            <v>2211400685</v>
          </cell>
          <cell r="B3075" t="str">
            <v>ZR005203</v>
          </cell>
          <cell r="J3075" t="str">
            <v xml:space="preserve">Фильтр для беспроводных пылесосов TY67 Dual Force 2in1 моющийся для TY67** </v>
          </cell>
        </row>
        <row r="3076">
          <cell r="A3076">
            <v>2210018825</v>
          </cell>
          <cell r="B3076" t="str">
            <v>ZR005701</v>
          </cell>
          <cell r="J3076" t="str">
            <v>Фильтр Tefal ZR005701 HEPA10 для пылесосов City space TW25**, TW27** для TW25**, TW27**</v>
          </cell>
        </row>
        <row r="3077">
          <cell r="A3077">
            <v>2210019195</v>
          </cell>
          <cell r="B3077" t="str">
            <v>ZR005801</v>
          </cell>
          <cell r="J3077" t="str">
            <v>Набор из 2 тряпок, картриджа от накипи и поролонового фильтра для CLEAN&amp;&amp;STEAM VP75** для VP75**</v>
          </cell>
        </row>
        <row r="3078">
          <cell r="A3078">
            <v>2211400487</v>
          </cell>
          <cell r="B3078" t="str">
            <v>ZR005802</v>
          </cell>
          <cell r="J3078" t="str">
            <v>Насадка для очистки ковров Tefal ZR005802 для паровых швабр Clean&amp;Steam VP75**, VP85** для VP75**</v>
          </cell>
        </row>
        <row r="3079">
          <cell r="A3079">
            <v>2211400821</v>
          </cell>
          <cell r="B3079" t="str">
            <v>ZR005804</v>
          </cell>
          <cell r="J3079" t="str">
            <v xml:space="preserve">Набор из двух тряпок-накладок и поролонового фильтра для Clean &amp; Steam VP75**/VP85**/VP7**  для VP75**/VP85**/VP7** </v>
          </cell>
        </row>
        <row r="3080">
          <cell r="A3080">
            <v>2210019385</v>
          </cell>
          <cell r="B3080" t="str">
            <v>ZR005901</v>
          </cell>
          <cell r="J3080" t="str">
            <v>Фильтр Tefal ZR005901 HEPA для пылесосов Сompact Power TW37** для  TW37**</v>
          </cell>
        </row>
        <row r="3081">
          <cell r="A3081">
            <v>2211400056</v>
          </cell>
          <cell r="B3081" t="str">
            <v>ZR006001</v>
          </cell>
          <cell r="J3081" t="str">
            <v>Фильтр Tefal HEPA ZR006001 для пылесосов X-trem power TW69**/TW72*** для  TW69**,72**</v>
          </cell>
        </row>
        <row r="3082">
          <cell r="A3082">
            <v>2211400258</v>
          </cell>
          <cell r="B3082" t="str">
            <v>ZR006501</v>
          </cell>
          <cell r="J3082" t="str">
            <v>Набор из 2 тряпок Tefal ZR006501 для STEAM POWER VP65** для VP65**</v>
          </cell>
        </row>
        <row r="3083">
          <cell r="A3083">
            <v>2211400486</v>
          </cell>
          <cell r="B3083" t="str">
            <v>ZR006502</v>
          </cell>
          <cell r="J3083" t="str">
            <v>Насадка для очистки ковров Tefal ZR006502 для паровых швабр Steam Power VP65** для VP65**</v>
          </cell>
        </row>
        <row r="3084">
          <cell r="A3084">
            <v>1600005693</v>
          </cell>
          <cell r="B3084" t="str">
            <v>ZR007700</v>
          </cell>
          <cell r="J3084" t="str">
            <v>Набор из двух фильтров ZR007700 для IQ77**</v>
          </cell>
        </row>
        <row r="3085">
          <cell r="A3085">
            <v>2211401013</v>
          </cell>
          <cell r="B3085" t="str">
            <v>ZR010770</v>
          </cell>
          <cell r="J3085" t="str">
            <v>X-Ô Аккумулятор ZR010770, аккумулятор обеспечивает автономную работу до 1 часа 10 минут. Время зарядки — 4 часа. для IQ77**</v>
          </cell>
        </row>
        <row r="3086">
          <cell r="A3086">
            <v>2210019196</v>
          </cell>
          <cell r="B3086" t="str">
            <v>ZR200540</v>
          </cell>
          <cell r="J3086" t="str">
            <v>Набор из 4 пылесборников Tefal HYGIENE+ ZR200540 для пылесосов TW64**, TW68**, TW39**, TW77**, TW74** для TW64**, TW68**, TW39**, TW77**, TW74**</v>
          </cell>
        </row>
        <row r="3087">
          <cell r="A3087">
            <v>2211400512</v>
          </cell>
          <cell r="B3087" t="str">
            <v>ZR690102</v>
          </cell>
          <cell r="J3087" t="str">
            <v>Набор аксессуаров и щеток Tefal ZR690102 для робота-пылесоса RG68** для RG68**</v>
          </cell>
        </row>
        <row r="3088">
          <cell r="A3088">
            <v>2211400756</v>
          </cell>
          <cell r="B3088" t="str">
            <v>ZR720001</v>
          </cell>
          <cell r="J3088" t="str">
            <v>Набор из двух боковых щёточек и фильтров Tefal для роботов-пылесосов S20 / S40 / S50 для RG72**, RG68**, RG73**</v>
          </cell>
        </row>
        <row r="3089">
          <cell r="A3089">
            <v>1600004056</v>
          </cell>
          <cell r="B3089" t="str">
            <v>ZR901701</v>
          </cell>
          <cell r="J3089" t="str">
            <v>Турбощетка Tefal ZR901701 Mini Turbobrush для пылесосов TW64**, TW68**, TW69**, TW76**, TW83** для  TW69, 68  ,64 ,83,76</v>
          </cell>
        </row>
        <row r="3090">
          <cell r="A3090">
            <v>1600005133</v>
          </cell>
          <cell r="B3090" t="str">
            <v>ZR902201</v>
          </cell>
          <cell r="J3090" t="str">
            <v>Турбощетка Tefal Maxi Turbobrush для пылесосов TW64**, 68**, 69**, 76**, 83** для  TW69, 68  ,64 ,83,76</v>
          </cell>
        </row>
        <row r="3091">
          <cell r="A3091">
            <v>1600004831</v>
          </cell>
          <cell r="B3091" t="str">
            <v>ZR902501</v>
          </cell>
          <cell r="J3091" t="str">
            <v>Фильтр Tefal ZR902501 HEPA13 для пылесосов Silence Force TW83** для TW83**</v>
          </cell>
        </row>
        <row r="3092">
          <cell r="A3092">
            <v>1600004946</v>
          </cell>
          <cell r="B3092" t="str">
            <v>ZR903401</v>
          </cell>
          <cell r="J3092" t="str">
            <v>Набор из 3 аксессуаров для пылесосов Tefal ZR903401 для все проводные пылесосы</v>
          </cell>
        </row>
        <row r="3093">
          <cell r="A3093">
            <v>1600005408</v>
          </cell>
          <cell r="B3093" t="str">
            <v>ZR903501</v>
          </cell>
          <cell r="J3093" t="str">
            <v>Фильтр выходящего воздуха Tefal ZR903501 для пылесосов Compact Power, Cyclonic Powerline Extreme, Cyclonic для TW37*, TW39*</v>
          </cell>
        </row>
        <row r="3094">
          <cell r="A3094">
            <v>1600005409</v>
          </cell>
          <cell r="B3094" t="str">
            <v>ZR903701</v>
          </cell>
          <cell r="J3094" t="str">
            <v>Фильтр Tefal ZR903701 HEPA для пылесосов  Silence Force TW76**</v>
          </cell>
        </row>
        <row r="3095">
          <cell r="A3095">
            <v>1600004980</v>
          </cell>
          <cell r="B3095" t="str">
            <v>ZR903701</v>
          </cell>
          <cell r="J3095" t="str">
            <v>Фильтр Tefal ZR903701 HEPA для пылесосов  Silence Force TW76** для TW76**</v>
          </cell>
        </row>
        <row r="3096">
          <cell r="A3096">
            <v>1600005050</v>
          </cell>
          <cell r="B3096" t="str">
            <v>ZR903901</v>
          </cell>
          <cell r="J3096" t="str">
            <v>Фильтр Tefal ZR903901 для вертикальных пылесосов TY89** для TY89**</v>
          </cell>
        </row>
        <row r="3097">
          <cell r="A3097">
            <v>1600005144</v>
          </cell>
          <cell r="B3097" t="str">
            <v>ZR904301</v>
          </cell>
          <cell r="J3097" t="str">
            <v>Фильтр Tefal ZR904301  для пылесосов City space TW29** для TW29*</v>
          </cell>
        </row>
        <row r="3098">
          <cell r="A3098">
            <v>1600005385</v>
          </cell>
          <cell r="B3098" t="str">
            <v>ZR904401</v>
          </cell>
          <cell r="J3098" t="str">
            <v>Фильтр из пенного микроволокна для вертикальных пылесосов Air Force Serenity TY91** для  TY91**</v>
          </cell>
        </row>
        <row r="3099">
          <cell r="A3099">
            <v>1600005384</v>
          </cell>
          <cell r="B3099" t="str">
            <v>ZR904501</v>
          </cell>
          <cell r="J3099" t="str">
            <v>Фильтр Tefal ZR904501 для пылесосов Air Force Serenity TY91** для  TY91**</v>
          </cell>
        </row>
        <row r="3100">
          <cell r="A3100">
            <v>1830006307</v>
          </cell>
          <cell r="B3100" t="str">
            <v>FV1526E2</v>
          </cell>
          <cell r="J3100" t="str">
            <v>УТЮГ ACCESS, 2000 ВТ, АНТИПРИГАРНАЯ ПОДОШВА, ПАРОВОЙ УДАР 90 Г/МИН, РЕГУЛИРУЕМЫЙ ПАР 25 Г/МИН, ПРОТИВОКАПЕЛЬНАЯ СИСТЕМА, ВЕРТИКАЛЬНЫЙ ПАР, РЕЗЕРВУАР ДЛЯ ВОДЫ 250 МЛ, ЭРГОНОМИЧНЫЙ ТРИГЕР ПОДАЧИ ПАРА, СПРЕЙ, УСТОЙЧИВАЯ ОТКРЫТАЯ ПЯТКА УТЮГА, ИНТГЕРИРОВАННАЯ СИСТЕМА ЗАЩИТЫ ОТ НАКИПИ, ДЛИНА ЭЛЕКТРОШНУРА 1,9 М</v>
          </cell>
        </row>
        <row r="3101">
          <cell r="A3101">
            <v>1830006318</v>
          </cell>
          <cell r="B3101" t="str">
            <v>FV1542E2</v>
          </cell>
          <cell r="J3101" t="str">
            <v>УТЮГ ACCESS, 2100 ВТ, КЕРАМИЧЕСКАЯ ПОДОШВА EASY GLIDING, ПАРОВОЙ УДАР 100 Г/МИН, РЕГУЛИРУЕМЫЙ ПАР 25 Г/МИН, ПРОТИВОКАПЕЛЬНАЯ СИСТЕМА, ВЕРТИКАЛЬНЫЙ ПАР, РЕЗЕРВУАР ДЛЯ ВОДЫ 250 МЛ, ЭРГОНОМИЧНЫЙ ТРИГЕР ПОДАЧИ ПАРА, СПРЕЙ, УСТОЙЧИВАЯ ОТКРЫТАЯ ПЯТКА УТЮГА, ИНТГЕРИРОВАННАЯ СИСТЕМА ЗАЩИТЫ ОТ НАКИПИ, ДЛИНА ЭЛЕКТРОШНУРА 1,9 М</v>
          </cell>
        </row>
        <row r="3102">
          <cell r="A3102">
            <v>1830006329</v>
          </cell>
          <cell r="B3102" t="str">
            <v>FV1543E0</v>
          </cell>
          <cell r="J3102" t="str">
            <v>УТЮГ ACCESS, 2100 ВТ, КЕРАМИЧЕСКАЯ ПОДОШВА EASY GLIDING, ПАРОВОЙ УДАР 100 Г/МИН, РЕГУЛИРУЕМЫЙ ПАР 25 Г/МИН, ПРОТИВОКАПЕЛЬНАЯ СИСТЕМА, АВТООТКЛЮЧЕНИЕ, ВЕРТИКАЛЬНЫЙ ПАР, РЕЗЕРВУАР ДЛЯ ВОДЫ 250 МЛ, ЭРГОНОМИЧНЫЙ ТРИГЕР ПОДАЧИ ПАРА, СПРЕЙ, УСТОЙЧИВАЯ ОТКРЫТАЯ ПЯТКА УТЮГА, ИНТГЕРИРОВАННАЯ СИСТЕМА ЗАЩИТЫ ОТ НАКИПИ, ДЛИНА ЭЛЕКТРОШНУРА 1,9 М</v>
          </cell>
        </row>
        <row r="3103">
          <cell r="A3103">
            <v>1830007594</v>
          </cell>
          <cell r="B3103" t="str">
            <v>FV1548E0</v>
          </cell>
          <cell r="J3103" t="str">
            <v>УТЮГ ACCESS EASY FV1548E0</v>
          </cell>
        </row>
        <row r="3104">
          <cell r="A3104">
            <v>3100515648</v>
          </cell>
          <cell r="B3104">
            <v>515648</v>
          </cell>
          <cell r="J3104" t="str">
            <v>Миска для салата ACCENTA 26 см</v>
          </cell>
        </row>
        <row r="3105">
          <cell r="A3105">
            <v>3100507641</v>
          </cell>
          <cell r="B3105">
            <v>507641</v>
          </cell>
          <cell r="J3105" t="str">
            <v>Аксесс.кухонные ACCENTA набор для стола 3 предмета нерж.сталь</v>
          </cell>
        </row>
        <row r="3106">
          <cell r="A3106">
            <v>7211005133</v>
          </cell>
          <cell r="B3106" t="str">
            <v>XA734810</v>
          </cell>
          <cell r="J3106" t="str">
            <v>Waffle accessory. Fits GC782</v>
          </cell>
        </row>
        <row r="3107">
          <cell r="A3107">
            <v>7211005134</v>
          </cell>
          <cell r="B3107" t="str">
            <v>XA735810</v>
          </cell>
          <cell r="J3107" t="str">
            <v>Baking accessory. Fits GC782</v>
          </cell>
        </row>
        <row r="3108">
          <cell r="A3108">
            <v>7211005053</v>
          </cell>
          <cell r="B3108" t="str">
            <v>XA730810</v>
          </cell>
          <cell r="J3108" t="str">
            <v>Waffle accessory. Fits GC772, GC774</v>
          </cell>
        </row>
        <row r="3109">
          <cell r="A3109">
            <v>7211004980</v>
          </cell>
          <cell r="B3109" t="str">
            <v>XA724810</v>
          </cell>
          <cell r="J3109" t="str">
            <v>Waffle accessory. Fits GC706, GC712, GC750</v>
          </cell>
        </row>
        <row r="3110">
          <cell r="A3110">
            <v>7211003308</v>
          </cell>
          <cell r="B3110" t="str">
            <v>XA723812</v>
          </cell>
          <cell r="J3110" t="str">
            <v>Waffle accessory. Fits GC706, GC712, GC750</v>
          </cell>
        </row>
        <row r="3111">
          <cell r="A3111">
            <v>7211005152</v>
          </cell>
          <cell r="B3111" t="str">
            <v>XA727810</v>
          </cell>
          <cell r="J3111" t="str">
            <v>Snacking &amp; baking accessory XL. Fits GC722, GC724, GC760</v>
          </cell>
        </row>
        <row r="3112">
          <cell r="A3112">
            <v>7211004586</v>
          </cell>
          <cell r="B3112" t="str">
            <v>XA727810</v>
          </cell>
          <cell r="J3112" t="str">
            <v>Snacking &amp; baking accessory XL. Fits GC722, GC724, GC760</v>
          </cell>
        </row>
        <row r="3113">
          <cell r="A3113">
            <v>7211003835</v>
          </cell>
          <cell r="B3113" t="str">
            <v>XA726870</v>
          </cell>
          <cell r="J3113" t="str">
            <v>Snacking &amp; baking accessory XL. Fits GC722, GC724, GC760</v>
          </cell>
        </row>
        <row r="3114">
          <cell r="A3114">
            <v>7211003840</v>
          </cell>
          <cell r="B3114" t="str">
            <v>XA725870</v>
          </cell>
          <cell r="J3114" t="str">
            <v>Snacking &amp; baking accessory. Fits GC706, GC712, GC750</v>
          </cell>
        </row>
        <row r="3115">
          <cell r="A3115">
            <v>7211005132</v>
          </cell>
          <cell r="B3115" t="str">
            <v>XA732810</v>
          </cell>
          <cell r="J3115" t="str">
            <v>Snacking &amp; baking accessory. Fits GC772, GC774</v>
          </cell>
        </row>
        <row r="3116">
          <cell r="A3116">
            <v>1600004924</v>
          </cell>
          <cell r="B3116" t="str">
            <v>XF980301</v>
          </cell>
          <cell r="J3116" t="str">
            <v xml:space="preserve">АДАПТЕР ДЛЯ НАСАДОК MOULINEX К КУХОННОЙ МАШИНЕ </v>
          </cell>
        </row>
        <row r="3117">
          <cell r="A3117">
            <v>8000035447</v>
          </cell>
          <cell r="B3117" t="str">
            <v>XF6320B1</v>
          </cell>
          <cell r="J3117" t="str">
            <v>НАСАДКА-ОВОЩЕРЕЗКА 4 КОНУСА (2 ТЕРКИ, ШИНКОВКА, ДРАНИКИ)</v>
          </cell>
        </row>
        <row r="3118">
          <cell r="A3118">
            <v>8000035604</v>
          </cell>
          <cell r="B3118" t="str">
            <v>XF631BB1</v>
          </cell>
          <cell r="J3118" t="str">
            <v>НАСАДКА-МЯСОРУБКА С 2 РЕШЕТКАМИ ДЛЯ КУХОННОЙ МАШИНЫ</v>
          </cell>
        </row>
        <row r="3119">
          <cell r="A3119">
            <v>8000035605</v>
          </cell>
          <cell r="B3119" t="str">
            <v>XF630BB1</v>
          </cell>
          <cell r="J3119" t="str">
            <v>СОКОВЫЖИМАЛКА MOULINEX К КУХОННОЙ МАШИНЕ СЕРИИ MASTERCHEFF GOURMET, MASTERCHEFF GOURMET + (QA500, QA50A, QA509, QA601). СДЕЛАНО В КНР.</v>
          </cell>
        </row>
        <row r="3120">
          <cell r="A3120">
            <v>8000035596</v>
          </cell>
          <cell r="B3120" t="str">
            <v>XF634BB1</v>
          </cell>
          <cell r="J3120" t="str">
            <v>СТАЦИОНАРНЫЙ БЛЕНДЕР MOULINEX К КУХОННОЙ МАШИНЕ СЕРИИ MASTERCHEFF GOURMET, MASTERCHEFF GOURMET + (QA500, QA50A, QA509, QA601). МАТЕРИАЛ - ПЛАСТИК. ОБЪЕМ - 1,5Л. СДЕЛАНО В КНР.</v>
          </cell>
        </row>
        <row r="3121">
          <cell r="A3121">
            <v>8000034655</v>
          </cell>
          <cell r="B3121" t="str">
            <v>XS801000</v>
          </cell>
          <cell r="J3121" t="str">
            <v>Стеклянные  чашки для приготовления латте/капуччино. В комплекте 2 штуки. Производство Франция.</v>
          </cell>
        </row>
        <row r="3122">
          <cell r="A3122">
            <v>8000035499</v>
          </cell>
          <cell r="B3122" t="str">
            <v>XS900031</v>
          </cell>
          <cell r="J3122" t="str">
            <v>Очищающая жидкость для KRUPS ACC CLEANSING LIQUIDE ESP BARISTA XS900031</v>
          </cell>
        </row>
        <row r="3123">
          <cell r="A3123">
            <v>8000034736</v>
          </cell>
          <cell r="B3123" t="str">
            <v>XS900010</v>
          </cell>
          <cell r="J3123" t="str">
            <v>Жидкость для очистки автокапуччинатора автоматической кофемашины BARISTA (EA9000)</v>
          </cell>
        </row>
        <row r="3124">
          <cell r="A3124">
            <v>8000035583</v>
          </cell>
          <cell r="B3124" t="str">
            <v>XF383110</v>
          </cell>
          <cell r="J3124" t="str">
            <v>НАСАДКА-ОВОЩЕРЕЗКА ДЛЯ COMPANION XL</v>
          </cell>
        </row>
        <row r="3125">
          <cell r="A3125">
            <v>8000035584</v>
          </cell>
          <cell r="B3125" t="str">
            <v>XF384B10</v>
          </cell>
          <cell r="J3125" t="str">
            <v>НАСАДКА ПАРОВАЯ КОРЗИНА ДЛЯ COMPANION XL</v>
          </cell>
        </row>
        <row r="3126">
          <cell r="A3126">
            <v>1830008861</v>
          </cell>
          <cell r="B3126" t="str">
            <v>CV7220F0</v>
          </cell>
          <cell r="J3126" t="str">
            <v>Фен с мотором профессионального уровня мощностью 2200 Вт Надежный и долговечный мотор, способный работать в два раза дольше* 6 мм концентратор для детального моделирования укладки, концентратор 9 мм для упругих локонов и диффузор для придания объема Ионизация снижает статическое электричество, делая волосы мягкими, послушными и блестящими</v>
          </cell>
        </row>
        <row r="3127">
          <cell r="A3127">
            <v>1830008860</v>
          </cell>
          <cell r="B3127" t="str">
            <v>CV7210F0</v>
          </cell>
          <cell r="J3127" t="str">
            <v>Фен с мотором профессионального уровня мощностью 2200 Вт Надежный и долговечный мотор, способный работать в два раза дольше* Концентратор 6 мм и диффузор для выбора укладки под любой стиль и настроение</v>
          </cell>
        </row>
        <row r="3128">
          <cell r="A3128">
            <v>1830007125</v>
          </cell>
          <cell r="B3128" t="str">
            <v>CV8250F0</v>
          </cell>
          <cell r="J3128" t="str">
            <v>Фен Pro AC создан для высококачественной и профессиональной сушки. Долговечный АС мотор
гарантирует долгую службу. Высокая мощность 2300 Вт сделает каждое использование эффективным, 2
скорости и 3 температуры предоставят абсолютный контроль за процессом. Функция холодного воздуха
поможет закрепить полученную укладку надолго.</v>
          </cell>
        </row>
        <row r="3129">
          <cell r="A3129">
            <v>2211400943</v>
          </cell>
          <cell r="B3129" t="str">
            <v>TX9736WO</v>
          </cell>
          <cell r="J3129" t="str">
            <v>Портативный ручной пылесос с Digital-мотором 80W, воздушный поток 480 л/мин, 7,4 В, 0,6 кг, автономная работа до 10 мин, время зарядки до 3 часов, контейнер для пыли 0,2 л, уровень шума до 83 дБ(А); насадки: щелевая, маленькая щетка для деликатных поверхностей. Док-станция в комплекте.</v>
          </cell>
        </row>
        <row r="3130">
          <cell r="A3130">
            <v>2211401336</v>
          </cell>
          <cell r="B3130" t="str">
            <v>TY9BC1WO</v>
          </cell>
          <cell r="J3130" t="str">
            <v xml:space="preserve"> XFORCE FLEX  14.80 ALLERGY AQUA , 240 аэроватт, время работы 120 мин, гибкий корпус, фильтрация 99,9 % насадки: Щетка для мягкой мебели, Щелевая насадка,  Насадка Aqua Spin, 2 комплекта тряпок из микрофибры, вес без аксессуаров 1,8кг.</v>
          </cell>
        </row>
        <row r="3131">
          <cell r="A3131">
            <v>1830009053</v>
          </cell>
          <cell r="B3131" t="str">
            <v>CF4211F0</v>
          </cell>
          <cell r="J3131" t="str">
            <v xml:space="preserve"> Мультистайлер Rowenta Infinite Curls Stellar 3-в-1 обеспечивает
невероятную свободу вашего самовыражения. Соблазнительные гламурные пряди, чарующие
естественные локоны или объемная игривая укладка - все это возможно благодаря конусной плойке,
эллиптической плойке и щетке. А керамическое покрытие добавит любой прическе притягательное
сияние и здоровый блеск</v>
          </cell>
        </row>
        <row r="3132">
          <cell r="A3132">
            <v>1830008482</v>
          </cell>
          <cell r="B3132" t="str">
            <v>FV2846E0</v>
          </cell>
          <cell r="J3132" t="str">
            <v>Утюг EXPRESS STEAM Tefal создан для быстрого и комфортного глажения и показывает долгую и надежную службу. Мощность - 2400Вт, постоянный пар - 40г/мин, паровой удар - 180г/мин  (без функции автоматического отключения).</v>
          </cell>
        </row>
        <row r="3133">
          <cell r="A3133">
            <v>1830008784</v>
          </cell>
          <cell r="B3133" t="str">
            <v>FV5781E1</v>
          </cell>
          <cell r="J3133" t="str">
            <v xml:space="preserve">Утюг EASYGLISS PLUS ECO. Мощность 2800 Вт. Постоянный пар до 50 г/мин. Паровой удар 260 г/мин. Защита от накипи. Лучшая подошва от Tefal Durilium Airglide. Возможность вертикального отпаривания. Сделано во Франции. Объем резервуара для воды 270 мл. Eco режим. Противокапельная система. Длина сетевого шнура 2 м. </v>
          </cell>
        </row>
        <row r="3134">
          <cell r="A3134">
            <v>1830008646</v>
          </cell>
          <cell r="B3134" t="str">
            <v>FV8042E0</v>
          </cell>
          <cell r="J3134" t="str">
            <v xml:space="preserve">Утюг PUREGLISS FILTER 2900W WHT/COPPERTINTO. Мощность 2900 Вт. Постоянный пар до 50 г/мин. Паровой удар 270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35">
          <cell r="A3135">
            <v>1830008887</v>
          </cell>
          <cell r="B3135" t="str">
            <v>FV8043E0</v>
          </cell>
          <cell r="J3135" t="str">
            <v xml:space="preserve">Утюг PUREGLISS FILTER 2900W WHT/SILVER. Мощность 2900 Вт. Постоянный пар до 50 г/мин. Паровой удар 270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36">
          <cell r="A3136">
            <v>1830008937</v>
          </cell>
          <cell r="B3136" t="str">
            <v>FV8044E0</v>
          </cell>
          <cell r="J3136" t="str">
            <v xml:space="preserve">Утюг PUREGLISS FILTER 2900W Puregliss Maldives &amp; White. Мощность 2900 Вт. Постоянный пар до 50 г/мин. Паровой удар 270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37">
          <cell r="A3137">
            <v>1830008647</v>
          </cell>
          <cell r="B3137" t="str">
            <v>FV8062E0</v>
          </cell>
          <cell r="J3137" t="str">
            <v xml:space="preserve">Утюг PUREGLISS FILTER 3000W BLK/SILVER. Мощность Мощность 3000 Вт. Постоянный пар до 50 г/мин. Паровой удар 280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38">
          <cell r="A3138">
            <v>1830008648</v>
          </cell>
          <cell r="B3138" t="str">
            <v>FV8064E0</v>
          </cell>
          <cell r="J3138" t="str">
            <v xml:space="preserve">Утюг PUREGLISS FILTER 3000W BLK/COPPERTINTO. Мощность Мощность 3000 Вт. Постоянный пар до 50 г/мин. Паровой удар 280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39">
          <cell r="A3139">
            <v>1830008649</v>
          </cell>
          <cell r="B3139" t="str">
            <v>FV8066E0</v>
          </cell>
          <cell r="J3139" t="str">
            <v xml:space="preserve">Утюг PUREGLISS FILTER 3000W BLK/BLUE. Мощность Мощность 3000 Вт. Постоянный пар до 50 г/мин. Паровой удар 280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v>
          </cell>
        </row>
        <row r="3140">
          <cell r="A3140">
            <v>1830008652</v>
          </cell>
          <cell r="B3140" t="str">
            <v>FV8082E0</v>
          </cell>
          <cell r="J3140" t="str">
            <v>Утюг PUREGLISS FILTER 3000W PROTECSTYLE BLK/SILVER. Мощность Мощность 3000 Вт. Постоянный пар до 50 г/мин. Паровой удар 280 г/мин. Защита от накипи: фильтр очистки от накипи Micro Calc. Лучшая подошва от Tefal Durilium Airglide Autoclean с самоочисткой. Автоотключение. Возможность вертикального отпаривания. Сделано во Франции. Объем резервуара для воды 270 мл. Противокапельная система. Длина сетевого шнура 2 м. Насадка для деликатных тканей в комплекте.</v>
          </cell>
        </row>
        <row r="3141">
          <cell r="A3141">
            <v>4100000839</v>
          </cell>
          <cell r="B3141" t="str">
            <v>VF3110F0</v>
          </cell>
          <cell r="J3141" t="str">
            <v>Turbo Essential, Stand Fan, Powerful, Energy-Saving</v>
          </cell>
        </row>
        <row r="3142">
          <cell r="A3142">
            <v>1830009442</v>
          </cell>
          <cell r="B3142" t="str">
            <v>VF5890F0</v>
          </cell>
          <cell r="J3142" t="str">
            <v>Turbo Silence Extreme + Stand Fan, Powerful, Silent, Energy-Saving</v>
          </cell>
        </row>
        <row r="3143">
          <cell r="A3143">
            <v>1830009088</v>
          </cell>
          <cell r="B3143" t="str">
            <v>VF6871F0</v>
          </cell>
          <cell r="J3143" t="str">
            <v>VF6871F0 Колонный вентилятор</v>
          </cell>
        </row>
        <row r="3144">
          <cell r="A3144">
            <v>1830008924</v>
          </cell>
          <cell r="B3144" t="str">
            <v>QT2022E1</v>
          </cell>
          <cell r="J3144" t="str">
            <v xml:space="preserve">Гладильная система IXEO POWER BLUE с компактной динамической доской, гладьте или отпаривайте в любой из 3х позиций, семная база для удобства, колесики для транспортировки, подача пара по запросу, мощность 2170 Вт, давление 5,8 бар, паровой удар до 200 г/мин, постоянный пар 90 г/мин, готовность к работе через за 70 сек, легкий утюг, съемный резервуар для воды 1,1 л, аксессуары 2 шт: щетка для плотной ткани, крючок для отпаривания </v>
          </cell>
        </row>
        <row r="3145">
          <cell r="A3145">
            <v>1830009190</v>
          </cell>
          <cell r="B3145" t="str">
            <v>QT2022E1</v>
          </cell>
          <cell r="J3145" t="str">
            <v xml:space="preserve">Гладильная система IXEO POWER BLUE с компактной динамической доской, гладьте или отпаривайте в любой из 3х позиций, семная база для удобства, колесики для транспортировки, подача пара по запросу, мощность 2170 Вт, давление 5,8 бар, паровой удар до 200 г/мин, постоянный пар 90 г/мин, готовность к работе через за 70 сек, легкий утюг, съемный резервуар для воды 1,1 л, аксессуары 2 шт: щетка для плотной ткани, крючок для отпаривания </v>
          </cell>
        </row>
        <row r="3146">
          <cell r="A3146">
            <v>1510002138</v>
          </cell>
          <cell r="B3146" t="str">
            <v>BY600130</v>
          </cell>
          <cell r="J3146" t="str">
            <v>Стеклянный чайник объемом 1,7 л с элементами из нержавеющей стали от Moulinex</v>
          </cell>
        </row>
        <row r="3147">
          <cell r="A3147">
            <v>1830008849</v>
          </cell>
          <cell r="B3147" t="str">
            <v>DT2020E1</v>
          </cell>
          <cell r="J3147" t="str">
            <v xml:space="preserve">Ручной отпариватель PURE POP BLUE. Мощность 1300 Вт. Постоянный пар до 20 г/мин. Быстрый нагрев за 15 с. Время автономной работы до 4 мин. Резервуар для воды 70 мл. Длина сетевого шнура 2 м. Аксессуары: двусторонняя насадка, мешочек для поездок. </v>
          </cell>
        </row>
        <row r="3148">
          <cell r="A3148">
            <v>1830008851</v>
          </cell>
          <cell r="B3148" t="str">
            <v>DT2022E1</v>
          </cell>
          <cell r="J3148" t="str">
            <v xml:space="preserve">Ручной отпариватель PURE POP CORAL. Мощность 1300 Вт. Постоянный пар до 20 г/мин. Быстрый нагрев за 15 с. Время автономной работы до 4 мин. Резервуар для воды 70 мл. Длина сетевого шнура 2 м. Аксессуары: двусторонняя насадка, мешочек для поездок. </v>
          </cell>
        </row>
        <row r="3149">
          <cell r="A3149">
            <v>1830008850</v>
          </cell>
          <cell r="B3149" t="str">
            <v>DT2024E1</v>
          </cell>
          <cell r="J3149" t="str">
            <v xml:space="preserve">Ручной отпариватель PURE POP GREEN. Мощность 1300 Вт. Постоянный пар до 20 г/мин. Быстрый нагрев за 15 с. Время автономной работы до 4 мин. Резервуар для воды 70 мл. Длина сетевого шнура 2 м. Аксессуары: двусторонняя насадка, мешочек для поездок. </v>
          </cell>
        </row>
        <row r="3150">
          <cell r="A3150">
            <v>1830008852</v>
          </cell>
          <cell r="B3150" t="str">
            <v>DT2026E1</v>
          </cell>
          <cell r="J3150" t="str">
            <v xml:space="preserve">Ручной отпариватель PURE POP YELLOW. Мощность 1300 Вт. Постоянный пар до 20 г/мин. Быстрый нагрев за 15 с. Время автономной работы до 4 мин. Резервуар для воды 70 мл. Длина сетевого шнура 2 м. Аксессуары: двусторонняя насадка, мешочек для поездок. </v>
          </cell>
        </row>
        <row r="3151">
          <cell r="A3151">
            <v>1830008776</v>
          </cell>
          <cell r="B3151" t="str">
            <v>DT3041E1</v>
          </cell>
          <cell r="J3151" t="str">
            <v xml:space="preserve">Ручной отпариватель ACCESS STEAM POCKET BLUE. Мощность 1300 Вт. Постоянный пар до 20 г/мин. Быстрый нагрев за 15 с. Длина сетевого шнура 2.6 м. Складная головка. Аксессуары: дополнительная насадка-щетка, мешочек для хранения. </v>
          </cell>
        </row>
        <row r="3152">
          <cell r="A3152">
            <v>1830008814</v>
          </cell>
          <cell r="B3152" t="str">
            <v>DT3050E1</v>
          </cell>
          <cell r="J3152" t="str">
            <v xml:space="preserve">Ручной отпариватель ACCESS STEAM POCKET PINK. Мощность 1300 Вт. Постоянный пар до 20 г/мин. Быстрый нагрев за 15 с. Длина сетевого шнура 2.6 м. Складная головка. Аксессуары: дополнительная насадка-щетка, мешочек для хранения, мерный стакан. </v>
          </cell>
        </row>
        <row r="3153">
          <cell r="A3153">
            <v>1830008775</v>
          </cell>
          <cell r="B3153" t="str">
            <v>DT3053E1</v>
          </cell>
          <cell r="J3153" t="str">
            <v xml:space="preserve">Ручной отпариватель ACCESS STEAM POCKET GREEN. Мощность 1300 Вт. Постоянный пар до 20 г/мин. Быстрый нагрев за 15 с. Длина сетевого шнура 2.6 м. Складная головка. Аксессуары: дополнительная насадка-щетка, мешочек для хранения, мерный стакан. </v>
          </cell>
        </row>
        <row r="3154">
          <cell r="A3154">
            <v>1830008180</v>
          </cell>
          <cell r="B3154" t="str">
            <v>DT6132E0</v>
          </cell>
          <cell r="J3154" t="str">
            <v>Ручной отпариватель Access Steam First, мощность 1300 Вт, мощность подачи пара до 20 г/мин., пластиковая подошва, 1 режима подачи пара, время нагрева 15 сек., съемный резервуар для воды 70 мл, 1 аксессуар: щётка для ткани</v>
          </cell>
        </row>
        <row r="3155">
          <cell r="A3155">
            <v>1830008693</v>
          </cell>
          <cell r="B3155" t="str">
            <v>DT7130E1</v>
          </cell>
          <cell r="J3155" t="str">
            <v xml:space="preserve">Ручной отпариватель Access Steam Easy. Мощность 1300 Вт. Постоянный пар до 20 г/мин. Быстрый нагрев за 15 с. Время автономной работы до 7 мин. Резервуар для воды 150 мл. Длина сетевого шнура 2,6 м. Аксессуары: крючок для вертикального отпаривания, насадка-микрофибра. </v>
          </cell>
        </row>
        <row r="3156">
          <cell r="A3156">
            <v>1830008694</v>
          </cell>
          <cell r="B3156" t="str">
            <v>DT7151E1</v>
          </cell>
          <cell r="J3156" t="str">
            <v xml:space="preserve">Ручной отпариватель Access Steam Easy. Мощность 1300 Вт. Постоянный пар до 20 г/мин. Быстрый нагрев за 15 с. Время автономной работы до 7 мин. Резервуар для воды 150 мл. Длина сетевого шнура 2,6 м. Аксессуары: крючок для вертикального отпаривания, насадка-микрофибра. </v>
          </cell>
        </row>
        <row r="3157">
          <cell r="A3157">
            <v>1830008692</v>
          </cell>
          <cell r="B3157" t="str">
            <v>DT7170E1</v>
          </cell>
          <cell r="J3157" t="str">
            <v xml:space="preserve">Ручной отпариватель Access Steam Easy. Мощность 1300 Вт. Постоянный пар до 20 г/мин. Быстрый нагрев за 15 с. Время автономной работы до 7 мин. Резервуар для воды 150 мл. Длина сетевого шнура 2,6 м. Аксессуары: крючок для вертикального отпаривания, насадка для плотных тканей, насадка для деликатных тканей, насадка-микрофибра. </v>
          </cell>
        </row>
        <row r="3158">
          <cell r="A3158">
            <v>1830009285</v>
          </cell>
          <cell r="B3158" t="str">
            <v>TN9444E0</v>
          </cell>
          <cell r="J3158" t="str">
            <v>Wet&amp;dry 15 in 1 trimmer, 120 min</v>
          </cell>
        </row>
        <row r="3159">
          <cell r="A3159">
            <v>1830009284</v>
          </cell>
          <cell r="B3159" t="str">
            <v>TN9464E0</v>
          </cell>
          <cell r="J3159" t="str">
            <v>Wet&amp;dry 17 in 1 trimmer, 120 min</v>
          </cell>
        </row>
        <row r="3160">
          <cell r="A3160">
            <v>2211401288</v>
          </cell>
          <cell r="B3160" t="str">
            <v>ZR294A</v>
          </cell>
          <cell r="J3160" t="str">
            <v>KIT MOPS X-PLORER SERIE 220/240AI</v>
          </cell>
        </row>
        <row r="3161">
          <cell r="A3161">
            <v>2211401289</v>
          </cell>
          <cell r="B3161" t="str">
            <v>ZR294B</v>
          </cell>
          <cell r="J3161" t="str">
            <v>KIT FILTER &amp; SIDE BRUSH S220-S240 AI</v>
          </cell>
        </row>
        <row r="3162">
          <cell r="A3162">
            <v>2211401290</v>
          </cell>
          <cell r="B3162" t="str">
            <v>ZR294C</v>
          </cell>
          <cell r="J3162" t="str">
            <v>KIT CENTRAL BRUSH X-PLORER S220-S240 AI</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83676-7790-43E0-BA32-CAB2DD851A25}">
  <dimension ref="A1:AC245"/>
  <sheetViews>
    <sheetView tabSelected="1" zoomScale="90" zoomScaleNormal="90" zoomScaleSheetLayoutView="222" workbookViewId="0">
      <pane xSplit="1" ySplit="2" topLeftCell="B222" activePane="bottomRight" state="frozen"/>
      <selection pane="topRight" activeCell="B1" sqref="B1"/>
      <selection pane="bottomLeft" activeCell="A3" sqref="A3"/>
      <selection pane="bottomRight" activeCell="P228" sqref="P228"/>
    </sheetView>
  </sheetViews>
  <sheetFormatPr defaultColWidth="12" defaultRowHeight="13.8" outlineLevelRow="1" x14ac:dyDescent="0.3"/>
  <cols>
    <col min="1" max="1" width="15.33203125" style="60" customWidth="1"/>
    <col min="2" max="2" width="15.44140625" style="9" customWidth="1"/>
    <col min="3" max="3" width="19.44140625" style="9" customWidth="1"/>
    <col min="4" max="5" width="12" style="9"/>
    <col min="6" max="6" width="9" style="9" customWidth="1"/>
    <col min="7" max="7" width="9.6640625" style="9" customWidth="1"/>
    <col min="8" max="8" width="11.6640625" style="9" customWidth="1"/>
    <col min="9" max="15" width="12" style="9" hidden="1" customWidth="1"/>
    <col min="16" max="16" width="12" style="45" customWidth="1"/>
    <col min="17" max="17" width="18.109375" style="45" customWidth="1"/>
    <col min="18" max="18" width="19.44140625" style="45" customWidth="1"/>
    <col min="19" max="25" width="12" style="9" hidden="1" customWidth="1"/>
    <col min="26" max="26" width="9.109375" style="9" hidden="1" customWidth="1"/>
    <col min="27" max="27" width="34.44140625" style="9" hidden="1" customWidth="1"/>
    <col min="28" max="28" width="18.44140625" style="12" customWidth="1"/>
    <col min="29" max="29" width="32.6640625" style="9" customWidth="1"/>
    <col min="30" max="16384" width="12" style="9"/>
  </cols>
  <sheetData>
    <row r="1" spans="1:28" ht="12" customHeight="1" thickBot="1" x14ac:dyDescent="0.35">
      <c r="A1" s="233" t="s">
        <v>5910</v>
      </c>
      <c r="B1" s="81" t="s">
        <v>74</v>
      </c>
      <c r="C1" s="82"/>
      <c r="D1" s="82"/>
      <c r="E1" s="82"/>
      <c r="F1" s="82"/>
      <c r="G1" s="82"/>
      <c r="H1" s="83"/>
      <c r="I1" s="70"/>
      <c r="J1" s="70"/>
      <c r="K1" s="70"/>
      <c r="L1" s="70"/>
      <c r="M1" s="70"/>
      <c r="N1" s="70"/>
      <c r="O1" s="70"/>
      <c r="P1" s="71"/>
      <c r="Q1" s="71"/>
      <c r="R1" s="72"/>
    </row>
    <row r="2" spans="1:28" s="11" customFormat="1" ht="27" customHeight="1" thickBot="1" x14ac:dyDescent="0.35">
      <c r="A2" s="234"/>
      <c r="B2" s="162" t="s">
        <v>0</v>
      </c>
      <c r="C2" s="163" t="s">
        <v>1</v>
      </c>
      <c r="D2" s="164" t="s">
        <v>2</v>
      </c>
      <c r="E2" s="58" t="s">
        <v>5934</v>
      </c>
      <c r="F2" s="58" t="s">
        <v>5935</v>
      </c>
      <c r="G2" s="58" t="s">
        <v>129</v>
      </c>
      <c r="H2" s="95" t="s">
        <v>122</v>
      </c>
      <c r="I2" s="73"/>
      <c r="J2" s="74"/>
      <c r="K2" s="74"/>
      <c r="L2" s="74"/>
      <c r="M2" s="74"/>
      <c r="N2" s="74"/>
      <c r="O2" s="74"/>
      <c r="P2" s="75" t="s">
        <v>405</v>
      </c>
      <c r="Q2" s="76" t="s">
        <v>406</v>
      </c>
      <c r="R2" s="77" t="s">
        <v>407</v>
      </c>
      <c r="S2" s="10"/>
      <c r="T2" s="10"/>
      <c r="U2" s="10"/>
      <c r="V2" s="10"/>
      <c r="W2" s="10"/>
      <c r="X2" s="10"/>
      <c r="Y2" s="10"/>
      <c r="Z2" s="10"/>
      <c r="AA2" s="9"/>
      <c r="AB2" s="10"/>
    </row>
    <row r="3" spans="1:28" s="11" customFormat="1" ht="27" customHeight="1" x14ac:dyDescent="0.3">
      <c r="A3" s="234"/>
      <c r="B3" s="204">
        <v>8010001419</v>
      </c>
      <c r="C3" s="205" t="s">
        <v>6008</v>
      </c>
      <c r="D3" s="213">
        <v>749990</v>
      </c>
      <c r="E3" s="206">
        <v>3.5999999999999997E-2</v>
      </c>
      <c r="F3" s="206">
        <v>0.06</v>
      </c>
      <c r="G3" s="207">
        <v>26999.64</v>
      </c>
      <c r="H3" s="208">
        <v>44999.4</v>
      </c>
      <c r="I3" s="209"/>
      <c r="J3" s="210"/>
      <c r="K3" s="210"/>
      <c r="L3" s="210"/>
      <c r="M3" s="210"/>
      <c r="N3" s="210"/>
      <c r="O3" s="210"/>
      <c r="P3" s="211"/>
      <c r="Q3" s="211">
        <f t="shared" ref="Q3:Q5" si="0">P3*G3</f>
        <v>0</v>
      </c>
      <c r="R3" s="212">
        <f t="shared" ref="R3:R91" si="1">P3*H3</f>
        <v>0</v>
      </c>
      <c r="S3" s="174"/>
      <c r="T3" s="174"/>
      <c r="U3" s="174"/>
      <c r="V3" s="174"/>
      <c r="W3" s="174"/>
      <c r="X3" s="174"/>
      <c r="Y3" s="174"/>
      <c r="Z3" s="174"/>
      <c r="AA3" s="175"/>
      <c r="AB3" s="174" t="s">
        <v>5879</v>
      </c>
    </row>
    <row r="4" spans="1:28" s="11" customFormat="1" ht="27" customHeight="1" x14ac:dyDescent="0.3">
      <c r="A4" s="234"/>
      <c r="B4" s="204">
        <v>8010001480</v>
      </c>
      <c r="C4" s="205" t="s">
        <v>6009</v>
      </c>
      <c r="D4" s="213">
        <v>219990</v>
      </c>
      <c r="E4" s="206">
        <v>3.5999999999999997E-2</v>
      </c>
      <c r="F4" s="206">
        <v>0.06</v>
      </c>
      <c r="G4" s="207">
        <v>7919.6399999999994</v>
      </c>
      <c r="H4" s="208">
        <v>13199.4</v>
      </c>
      <c r="I4" s="209"/>
      <c r="J4" s="210"/>
      <c r="K4" s="210"/>
      <c r="L4" s="210"/>
      <c r="M4" s="210"/>
      <c r="N4" s="210"/>
      <c r="O4" s="210"/>
      <c r="P4" s="211"/>
      <c r="Q4" s="211">
        <f t="shared" si="0"/>
        <v>0</v>
      </c>
      <c r="R4" s="212">
        <f t="shared" si="1"/>
        <v>0</v>
      </c>
      <c r="S4" s="174"/>
      <c r="T4" s="174"/>
      <c r="U4" s="174"/>
      <c r="V4" s="174"/>
      <c r="W4" s="174"/>
      <c r="X4" s="174"/>
      <c r="Y4" s="174"/>
      <c r="Z4" s="174"/>
      <c r="AA4" s="175"/>
      <c r="AB4" s="174" t="s">
        <v>5879</v>
      </c>
    </row>
    <row r="5" spans="1:28" s="11" customFormat="1" ht="27" customHeight="1" x14ac:dyDescent="0.3">
      <c r="A5" s="234"/>
      <c r="B5" s="218">
        <v>8010001439</v>
      </c>
      <c r="C5" s="219" t="s">
        <v>5917</v>
      </c>
      <c r="D5" s="220">
        <v>389990</v>
      </c>
      <c r="E5" s="197">
        <v>1.7999999999999999E-2</v>
      </c>
      <c r="F5" s="197">
        <v>0.03</v>
      </c>
      <c r="G5" s="198">
        <v>7019.82</v>
      </c>
      <c r="H5" s="199">
        <v>11699.699999999999</v>
      </c>
      <c r="I5" s="200"/>
      <c r="J5" s="201"/>
      <c r="K5" s="201"/>
      <c r="L5" s="201"/>
      <c r="M5" s="201"/>
      <c r="N5" s="201"/>
      <c r="O5" s="201"/>
      <c r="P5" s="202"/>
      <c r="Q5" s="202">
        <f t="shared" si="0"/>
        <v>0</v>
      </c>
      <c r="R5" s="203">
        <f t="shared" si="1"/>
        <v>0</v>
      </c>
      <c r="S5" s="10"/>
      <c r="T5" s="10"/>
      <c r="U5" s="10"/>
      <c r="V5" s="10"/>
      <c r="W5" s="10"/>
      <c r="X5" s="10"/>
      <c r="Y5" s="10"/>
      <c r="Z5" s="10"/>
      <c r="AA5" s="9"/>
    </row>
    <row r="6" spans="1:28" s="11" customFormat="1" ht="27" customHeight="1" x14ac:dyDescent="0.3">
      <c r="A6" s="234"/>
      <c r="B6" s="221">
        <v>8010001466</v>
      </c>
      <c r="C6" s="222" t="s">
        <v>5996</v>
      </c>
      <c r="D6" s="220">
        <v>229990</v>
      </c>
      <c r="E6" s="14">
        <v>0.03</v>
      </c>
      <c r="F6" s="159">
        <v>0.03</v>
      </c>
      <c r="G6" s="16">
        <v>6899.7</v>
      </c>
      <c r="H6" s="17">
        <v>6899.7</v>
      </c>
      <c r="I6" s="51"/>
      <c r="J6" s="12"/>
      <c r="K6" s="12"/>
      <c r="L6" s="12"/>
      <c r="M6" s="12"/>
      <c r="N6" s="12"/>
      <c r="O6" s="12"/>
      <c r="P6" s="108"/>
      <c r="Q6" s="108">
        <f t="shared" ref="Q6:Q21" si="2">P6*G6</f>
        <v>0</v>
      </c>
      <c r="R6" s="109"/>
      <c r="S6" s="174"/>
      <c r="T6" s="174"/>
      <c r="U6" s="174"/>
      <c r="V6" s="174"/>
      <c r="W6" s="174"/>
      <c r="X6" s="174"/>
      <c r="Y6" s="174"/>
      <c r="Z6" s="174"/>
      <c r="AA6" s="175"/>
    </row>
    <row r="7" spans="1:28" ht="15" customHeight="1" x14ac:dyDescent="0.3">
      <c r="A7" s="234"/>
      <c r="B7" s="221">
        <v>8010000986</v>
      </c>
      <c r="C7" s="222" t="s">
        <v>75</v>
      </c>
      <c r="D7" s="220">
        <v>774990</v>
      </c>
      <c r="E7" s="14">
        <v>0.03</v>
      </c>
      <c r="F7" s="160">
        <v>0.05</v>
      </c>
      <c r="G7" s="16">
        <v>23249.7</v>
      </c>
      <c r="H7" s="17">
        <v>38749.5</v>
      </c>
      <c r="I7" s="51"/>
      <c r="J7" s="12" t="s">
        <v>181</v>
      </c>
      <c r="K7" s="12"/>
      <c r="L7" s="12" t="s">
        <v>264</v>
      </c>
      <c r="M7" s="12" t="s">
        <v>75</v>
      </c>
      <c r="N7" s="12"/>
      <c r="O7" s="12"/>
      <c r="P7" s="108"/>
      <c r="Q7" s="108">
        <f t="shared" si="2"/>
        <v>0</v>
      </c>
      <c r="R7" s="109">
        <f t="shared" si="1"/>
        <v>0</v>
      </c>
      <c r="S7" s="12" t="s">
        <v>181</v>
      </c>
      <c r="T7" s="12">
        <v>1</v>
      </c>
      <c r="U7" s="12" t="s">
        <v>5326</v>
      </c>
      <c r="V7" s="12">
        <v>1</v>
      </c>
      <c r="W7" s="12" t="s">
        <v>264</v>
      </c>
      <c r="X7" s="12">
        <v>1</v>
      </c>
      <c r="Y7" s="12"/>
      <c r="Z7" s="12"/>
      <c r="AB7" s="9"/>
    </row>
    <row r="8" spans="1:28" ht="15" customHeight="1" x14ac:dyDescent="0.3">
      <c r="A8" s="234"/>
      <c r="B8" s="221">
        <v>8010001245</v>
      </c>
      <c r="C8" s="222" t="s">
        <v>5650</v>
      </c>
      <c r="D8" s="220">
        <v>852990</v>
      </c>
      <c r="E8" s="14">
        <v>3.5999999999999997E-2</v>
      </c>
      <c r="F8" s="160">
        <v>0.06</v>
      </c>
      <c r="G8" s="16">
        <v>30707.64</v>
      </c>
      <c r="H8" s="17">
        <v>51179.4</v>
      </c>
      <c r="I8" s="51"/>
      <c r="J8" s="12"/>
      <c r="K8" s="12"/>
      <c r="L8" s="12"/>
      <c r="M8" s="12"/>
      <c r="N8" s="12"/>
      <c r="O8" s="12"/>
      <c r="P8" s="108"/>
      <c r="Q8" s="108">
        <f t="shared" si="2"/>
        <v>0</v>
      </c>
      <c r="R8" s="109">
        <f t="shared" si="1"/>
        <v>0</v>
      </c>
      <c r="S8" s="12"/>
      <c r="T8" s="12"/>
      <c r="U8" s="12"/>
      <c r="V8" s="12"/>
      <c r="W8" s="12"/>
      <c r="X8" s="12"/>
      <c r="Y8" s="12"/>
      <c r="Z8" s="12"/>
      <c r="AB8" s="9"/>
    </row>
    <row r="9" spans="1:28" ht="15" customHeight="1" x14ac:dyDescent="0.3">
      <c r="A9" s="234"/>
      <c r="B9" s="221">
        <v>8010000985</v>
      </c>
      <c r="C9" s="222" t="s">
        <v>76</v>
      </c>
      <c r="D9" s="220">
        <v>708990</v>
      </c>
      <c r="E9" s="14">
        <v>0.03</v>
      </c>
      <c r="F9" s="159">
        <v>0.05</v>
      </c>
      <c r="G9" s="16">
        <v>21269.7</v>
      </c>
      <c r="H9" s="17">
        <v>35449.5</v>
      </c>
      <c r="I9" s="51"/>
      <c r="J9" s="12" t="s">
        <v>379</v>
      </c>
      <c r="K9" s="12" t="s">
        <v>378</v>
      </c>
      <c r="L9" s="12"/>
      <c r="M9" s="12"/>
      <c r="N9" s="12"/>
      <c r="O9" s="12"/>
      <c r="P9" s="108"/>
      <c r="Q9" s="108">
        <f t="shared" si="2"/>
        <v>0</v>
      </c>
      <c r="R9" s="109">
        <f t="shared" si="1"/>
        <v>0</v>
      </c>
      <c r="S9" s="12" t="s">
        <v>379</v>
      </c>
      <c r="T9" s="12">
        <v>1</v>
      </c>
      <c r="U9" s="12" t="s">
        <v>378</v>
      </c>
      <c r="V9" s="12">
        <v>1</v>
      </c>
      <c r="W9" s="12"/>
      <c r="X9" s="12"/>
      <c r="Y9" s="12"/>
      <c r="Z9" s="12"/>
      <c r="AB9" s="9"/>
    </row>
    <row r="10" spans="1:28" ht="15" customHeight="1" x14ac:dyDescent="0.3">
      <c r="A10" s="234"/>
      <c r="B10" s="221">
        <v>8010001375</v>
      </c>
      <c r="C10" s="222" t="s">
        <v>5926</v>
      </c>
      <c r="D10" s="220">
        <v>571990</v>
      </c>
      <c r="E10" s="14">
        <v>0.03</v>
      </c>
      <c r="F10" s="159">
        <v>0.05</v>
      </c>
      <c r="G10" s="16">
        <v>17159.7</v>
      </c>
      <c r="H10" s="17">
        <v>28599.5</v>
      </c>
      <c r="I10" s="51"/>
      <c r="J10" s="12"/>
      <c r="K10" s="12"/>
      <c r="L10" s="12"/>
      <c r="M10" s="12"/>
      <c r="N10" s="12"/>
      <c r="O10" s="12"/>
      <c r="P10" s="108"/>
      <c r="Q10" s="108">
        <f t="shared" si="2"/>
        <v>0</v>
      </c>
      <c r="R10" s="109">
        <f t="shared" si="1"/>
        <v>0</v>
      </c>
      <c r="S10" s="12"/>
      <c r="T10" s="12"/>
      <c r="U10" s="12"/>
      <c r="V10" s="12"/>
      <c r="W10" s="12"/>
      <c r="X10" s="12"/>
      <c r="Y10" s="12"/>
      <c r="Z10" s="12"/>
      <c r="AB10" s="9"/>
    </row>
    <row r="11" spans="1:28" ht="15" customHeight="1" x14ac:dyDescent="0.3">
      <c r="A11" s="234"/>
      <c r="B11" s="221">
        <v>8010001203</v>
      </c>
      <c r="C11" s="222" t="s">
        <v>5654</v>
      </c>
      <c r="D11" s="220">
        <v>319990</v>
      </c>
      <c r="E11" s="14">
        <v>1.7999999999999999E-2</v>
      </c>
      <c r="F11" s="159">
        <v>0.03</v>
      </c>
      <c r="G11" s="16">
        <v>5759.82</v>
      </c>
      <c r="H11" s="17">
        <v>9599.6999999999989</v>
      </c>
      <c r="I11" s="51"/>
      <c r="J11" s="12"/>
      <c r="K11" s="12"/>
      <c r="L11" s="12"/>
      <c r="M11" s="12"/>
      <c r="N11" s="12"/>
      <c r="O11" s="21" t="s">
        <v>5652</v>
      </c>
      <c r="P11" s="108"/>
      <c r="Q11" s="108">
        <f t="shared" si="2"/>
        <v>0</v>
      </c>
      <c r="R11" s="109">
        <f t="shared" si="1"/>
        <v>0</v>
      </c>
      <c r="S11" s="12"/>
      <c r="T11" s="12"/>
      <c r="U11" s="12"/>
      <c r="V11" s="12"/>
      <c r="W11" s="12"/>
      <c r="X11" s="12"/>
      <c r="Y11" s="12"/>
      <c r="Z11" s="12"/>
      <c r="AB11" s="9"/>
    </row>
    <row r="12" spans="1:28" ht="15" customHeight="1" x14ac:dyDescent="0.3">
      <c r="A12" s="234"/>
      <c r="B12" s="221">
        <v>8010000429</v>
      </c>
      <c r="C12" s="222" t="s">
        <v>109</v>
      </c>
      <c r="D12" s="220">
        <v>640990</v>
      </c>
      <c r="E12" s="14">
        <v>0.03</v>
      </c>
      <c r="F12" s="159">
        <v>0.05</v>
      </c>
      <c r="G12" s="16">
        <v>19229.7</v>
      </c>
      <c r="H12" s="17">
        <v>32049.5</v>
      </c>
      <c r="I12" s="51"/>
      <c r="J12" s="12" t="s">
        <v>381</v>
      </c>
      <c r="K12" s="12"/>
      <c r="L12" s="12" t="s">
        <v>377</v>
      </c>
      <c r="M12" s="12"/>
      <c r="N12" s="12"/>
      <c r="O12" s="12"/>
      <c r="P12" s="108"/>
      <c r="Q12" s="108">
        <f t="shared" si="2"/>
        <v>0</v>
      </c>
      <c r="R12" s="109">
        <f t="shared" si="1"/>
        <v>0</v>
      </c>
      <c r="S12" s="12" t="s">
        <v>381</v>
      </c>
      <c r="T12" s="12">
        <v>1</v>
      </c>
      <c r="U12" s="12" t="s">
        <v>5636</v>
      </c>
      <c r="V12" s="12">
        <v>1</v>
      </c>
      <c r="W12" s="12" t="s">
        <v>377</v>
      </c>
      <c r="X12" s="12">
        <v>1</v>
      </c>
      <c r="Y12" s="12"/>
      <c r="Z12" s="12"/>
      <c r="AB12" s="9"/>
    </row>
    <row r="13" spans="1:28" ht="15" customHeight="1" x14ac:dyDescent="0.3">
      <c r="A13" s="234"/>
      <c r="B13" s="221">
        <v>8000035749</v>
      </c>
      <c r="C13" s="222" t="s">
        <v>2427</v>
      </c>
      <c r="D13" s="220">
        <v>376990</v>
      </c>
      <c r="E13" s="14">
        <v>1.7999999999999999E-2</v>
      </c>
      <c r="F13" s="159">
        <v>0.03</v>
      </c>
      <c r="G13" s="16">
        <v>6785.82</v>
      </c>
      <c r="H13" s="17">
        <v>11309.699999999999</v>
      </c>
      <c r="I13" s="51"/>
      <c r="J13" s="12"/>
      <c r="K13" s="12"/>
      <c r="L13" s="12"/>
      <c r="M13" s="12"/>
      <c r="N13" s="12"/>
      <c r="O13" s="12"/>
      <c r="P13" s="108"/>
      <c r="Q13" s="108">
        <f t="shared" si="2"/>
        <v>0</v>
      </c>
      <c r="R13" s="109">
        <f t="shared" si="1"/>
        <v>0</v>
      </c>
      <c r="S13" s="12"/>
      <c r="T13" s="12"/>
      <c r="U13" s="12"/>
      <c r="V13" s="12"/>
      <c r="W13" s="12"/>
      <c r="X13" s="12"/>
      <c r="Y13" s="12"/>
      <c r="Z13" s="12"/>
      <c r="AB13" s="9"/>
    </row>
    <row r="14" spans="1:28" ht="15" customHeight="1" x14ac:dyDescent="0.3">
      <c r="A14" s="234"/>
      <c r="B14" s="221">
        <v>8000036152</v>
      </c>
      <c r="C14" s="222" t="s">
        <v>3682</v>
      </c>
      <c r="D14" s="220">
        <v>274990</v>
      </c>
      <c r="E14" s="14">
        <v>1.7999999999999999E-2</v>
      </c>
      <c r="F14" s="159">
        <v>0.03</v>
      </c>
      <c r="G14" s="16">
        <v>4949.82</v>
      </c>
      <c r="H14" s="17">
        <v>8249.6999999999989</v>
      </c>
      <c r="I14" s="51"/>
      <c r="J14" s="12"/>
      <c r="K14" s="12"/>
      <c r="L14" s="12"/>
      <c r="M14" s="12"/>
      <c r="N14" s="12"/>
      <c r="O14" s="12"/>
      <c r="P14" s="108"/>
      <c r="Q14" s="108">
        <f t="shared" si="2"/>
        <v>0</v>
      </c>
      <c r="R14" s="109">
        <f t="shared" si="1"/>
        <v>0</v>
      </c>
      <c r="S14" s="12" t="s">
        <v>3683</v>
      </c>
      <c r="T14" s="12">
        <v>1</v>
      </c>
      <c r="U14" s="12"/>
      <c r="V14" s="12"/>
      <c r="W14" s="12"/>
      <c r="X14" s="12"/>
      <c r="Y14" s="12"/>
      <c r="Z14" s="12"/>
      <c r="AB14" s="9"/>
    </row>
    <row r="15" spans="1:28" ht="15" customHeight="1" x14ac:dyDescent="0.3">
      <c r="A15" s="234"/>
      <c r="B15" s="221">
        <v>8000036209</v>
      </c>
      <c r="C15" s="222" t="s">
        <v>374</v>
      </c>
      <c r="D15" s="220">
        <v>605990</v>
      </c>
      <c r="E15" s="14">
        <v>0.03</v>
      </c>
      <c r="F15" s="159">
        <v>0.05</v>
      </c>
      <c r="G15" s="16">
        <v>18179.7</v>
      </c>
      <c r="H15" s="17">
        <v>30299.5</v>
      </c>
      <c r="I15" s="51"/>
      <c r="J15" s="12" t="s">
        <v>382</v>
      </c>
      <c r="K15" s="12"/>
      <c r="L15" s="12" t="s">
        <v>376</v>
      </c>
      <c r="M15" s="12"/>
      <c r="N15" s="12"/>
      <c r="O15" s="12"/>
      <c r="P15" s="108"/>
      <c r="Q15" s="108">
        <f t="shared" si="2"/>
        <v>0</v>
      </c>
      <c r="R15" s="109">
        <f t="shared" si="1"/>
        <v>0</v>
      </c>
      <c r="S15" s="12" t="s">
        <v>382</v>
      </c>
      <c r="T15" s="12">
        <v>1</v>
      </c>
      <c r="U15" s="12"/>
      <c r="V15" s="12"/>
      <c r="W15" s="12" t="s">
        <v>376</v>
      </c>
      <c r="X15" s="12">
        <v>1</v>
      </c>
      <c r="Y15" s="12"/>
      <c r="Z15" s="12"/>
      <c r="AB15" s="9"/>
    </row>
    <row r="16" spans="1:28" ht="15" customHeight="1" x14ac:dyDescent="0.3">
      <c r="A16" s="234"/>
      <c r="B16" s="221">
        <v>8010000453</v>
      </c>
      <c r="C16" s="222" t="s">
        <v>116</v>
      </c>
      <c r="D16" s="220">
        <v>480990</v>
      </c>
      <c r="E16" s="14">
        <v>2.4E-2</v>
      </c>
      <c r="F16" s="159">
        <v>0.04</v>
      </c>
      <c r="G16" s="16">
        <v>11543.76</v>
      </c>
      <c r="H16" s="17">
        <v>19239.600000000002</v>
      </c>
      <c r="I16" s="51"/>
      <c r="J16" s="12" t="s">
        <v>182</v>
      </c>
      <c r="K16" s="12" t="s">
        <v>324</v>
      </c>
      <c r="L16" s="12"/>
      <c r="M16" s="12"/>
      <c r="N16" s="12"/>
      <c r="O16" s="12"/>
      <c r="P16" s="108"/>
      <c r="Q16" s="108">
        <f t="shared" si="2"/>
        <v>0</v>
      </c>
      <c r="R16" s="109">
        <f t="shared" si="1"/>
        <v>0</v>
      </c>
      <c r="S16" s="12"/>
      <c r="T16" s="12"/>
      <c r="U16" s="12" t="s">
        <v>1673</v>
      </c>
      <c r="V16" s="12">
        <v>1</v>
      </c>
      <c r="W16" s="12"/>
      <c r="X16" s="12"/>
      <c r="Y16" s="12"/>
      <c r="Z16" s="12"/>
      <c r="AB16" s="9"/>
    </row>
    <row r="17" spans="1:28" ht="15" customHeight="1" x14ac:dyDescent="0.3">
      <c r="A17" s="234"/>
      <c r="B17" s="221">
        <v>8010000805</v>
      </c>
      <c r="C17" s="222" t="s">
        <v>77</v>
      </c>
      <c r="D17" s="220">
        <v>548990</v>
      </c>
      <c r="E17" s="14">
        <v>0.03</v>
      </c>
      <c r="F17" s="159">
        <v>0.05</v>
      </c>
      <c r="G17" s="16">
        <v>16469.7</v>
      </c>
      <c r="H17" s="17">
        <v>27449.5</v>
      </c>
      <c r="I17" s="51"/>
      <c r="J17" s="12"/>
      <c r="K17" s="12" t="s">
        <v>325</v>
      </c>
      <c r="L17" s="12"/>
      <c r="M17" s="12"/>
      <c r="N17" s="12"/>
      <c r="O17" s="12"/>
      <c r="P17" s="108"/>
      <c r="Q17" s="108">
        <f t="shared" si="2"/>
        <v>0</v>
      </c>
      <c r="R17" s="109">
        <f t="shared" si="1"/>
        <v>0</v>
      </c>
      <c r="S17" s="12"/>
      <c r="T17" s="12"/>
      <c r="U17" s="12" t="s">
        <v>325</v>
      </c>
      <c r="V17" s="12">
        <v>1</v>
      </c>
      <c r="W17" s="12"/>
      <c r="X17" s="12"/>
      <c r="Y17" s="12"/>
      <c r="Z17" s="12"/>
      <c r="AB17" s="9"/>
    </row>
    <row r="18" spans="1:28" ht="15" customHeight="1" x14ac:dyDescent="0.3">
      <c r="A18" s="234"/>
      <c r="B18" s="223">
        <v>8000036181</v>
      </c>
      <c r="C18" s="224" t="s">
        <v>78</v>
      </c>
      <c r="D18" s="220">
        <v>605990</v>
      </c>
      <c r="E18" s="14">
        <v>0.03</v>
      </c>
      <c r="F18" s="159">
        <v>0.05</v>
      </c>
      <c r="G18" s="16">
        <v>18179.7</v>
      </c>
      <c r="H18" s="17">
        <v>30299.5</v>
      </c>
      <c r="I18" s="51"/>
      <c r="J18" s="12" t="s">
        <v>380</v>
      </c>
      <c r="K18" s="12" t="s">
        <v>326</v>
      </c>
      <c r="L18" s="12"/>
      <c r="M18" s="12"/>
      <c r="N18" s="12"/>
      <c r="O18" s="12"/>
      <c r="P18" s="108"/>
      <c r="Q18" s="108">
        <f t="shared" si="2"/>
        <v>0</v>
      </c>
      <c r="R18" s="109">
        <f t="shared" si="1"/>
        <v>0</v>
      </c>
      <c r="S18" s="12"/>
      <c r="T18" s="12"/>
      <c r="U18" s="12" t="s">
        <v>326</v>
      </c>
      <c r="V18" s="12">
        <v>1</v>
      </c>
      <c r="W18" s="12"/>
      <c r="X18" s="12"/>
      <c r="Y18" s="12"/>
      <c r="Z18" s="12"/>
      <c r="AB18" s="9"/>
    </row>
    <row r="19" spans="1:28" ht="15" customHeight="1" x14ac:dyDescent="0.3">
      <c r="A19" s="234"/>
      <c r="B19" s="221">
        <v>8010000431</v>
      </c>
      <c r="C19" s="222" t="s">
        <v>79</v>
      </c>
      <c r="D19" s="220">
        <v>640990</v>
      </c>
      <c r="E19" s="14">
        <v>0.03</v>
      </c>
      <c r="F19" s="159">
        <v>0.05</v>
      </c>
      <c r="G19" s="16">
        <v>19229.7</v>
      </c>
      <c r="H19" s="17">
        <v>32049.5</v>
      </c>
      <c r="I19" s="51"/>
      <c r="J19" s="12" t="s">
        <v>183</v>
      </c>
      <c r="K19" s="12"/>
      <c r="L19" s="12"/>
      <c r="M19" s="12"/>
      <c r="N19" s="12"/>
      <c r="O19" s="12"/>
      <c r="P19" s="108"/>
      <c r="Q19" s="108">
        <f t="shared" si="2"/>
        <v>0</v>
      </c>
      <c r="R19" s="109">
        <f t="shared" si="1"/>
        <v>0</v>
      </c>
      <c r="S19" s="12" t="s">
        <v>183</v>
      </c>
      <c r="T19" s="12">
        <v>1</v>
      </c>
      <c r="U19" s="12"/>
      <c r="V19" s="12"/>
      <c r="W19" s="12"/>
      <c r="X19" s="12"/>
      <c r="Y19" s="12"/>
      <c r="Z19" s="12"/>
      <c r="AA19" s="12"/>
      <c r="AB19" s="9"/>
    </row>
    <row r="20" spans="1:28" ht="15" customHeight="1" x14ac:dyDescent="0.3">
      <c r="A20" s="234"/>
      <c r="B20" s="221">
        <v>8000036182</v>
      </c>
      <c r="C20" s="222" t="s">
        <v>80</v>
      </c>
      <c r="D20" s="220">
        <v>560990</v>
      </c>
      <c r="E20" s="14">
        <v>0.03</v>
      </c>
      <c r="F20" s="159">
        <v>0.05</v>
      </c>
      <c r="G20" s="16">
        <v>16829.7</v>
      </c>
      <c r="H20" s="17">
        <v>28049.5</v>
      </c>
      <c r="I20" s="51"/>
      <c r="J20" s="12" t="s">
        <v>184</v>
      </c>
      <c r="K20" s="12"/>
      <c r="L20" s="12" t="s">
        <v>375</v>
      </c>
      <c r="M20" s="12"/>
      <c r="N20" s="12"/>
      <c r="O20" s="12"/>
      <c r="P20" s="108"/>
      <c r="Q20" s="108">
        <f t="shared" si="2"/>
        <v>0</v>
      </c>
      <c r="R20" s="109">
        <f t="shared" si="1"/>
        <v>0</v>
      </c>
      <c r="S20" s="12" t="s">
        <v>184</v>
      </c>
      <c r="T20" s="12">
        <v>1</v>
      </c>
      <c r="U20" s="12" t="s">
        <v>5637</v>
      </c>
      <c r="V20" s="12">
        <v>1</v>
      </c>
      <c r="W20" s="12" t="s">
        <v>375</v>
      </c>
      <c r="X20" s="12">
        <v>1</v>
      </c>
      <c r="Y20" s="12"/>
      <c r="Z20" s="12"/>
      <c r="AA20" s="12"/>
      <c r="AB20" s="9"/>
    </row>
    <row r="21" spans="1:28" ht="15.75" customHeight="1" thickBot="1" x14ac:dyDescent="0.35">
      <c r="A21" s="234"/>
      <c r="B21" s="225">
        <v>8000035344</v>
      </c>
      <c r="C21" s="226" t="s">
        <v>5624</v>
      </c>
      <c r="D21" s="220">
        <v>376990</v>
      </c>
      <c r="E21" s="14">
        <v>1.7999999999999999E-2</v>
      </c>
      <c r="F21" s="161">
        <v>0.03</v>
      </c>
      <c r="G21" s="64">
        <v>6785.82</v>
      </c>
      <c r="H21" s="65">
        <v>11309.699999999999</v>
      </c>
      <c r="I21" s="52"/>
      <c r="J21" s="53"/>
      <c r="K21" s="53"/>
      <c r="L21" s="53"/>
      <c r="M21" s="53"/>
      <c r="N21" s="53"/>
      <c r="O21" s="53"/>
      <c r="P21" s="108"/>
      <c r="Q21" s="108">
        <f t="shared" si="2"/>
        <v>0</v>
      </c>
      <c r="R21" s="109">
        <f t="shared" si="1"/>
        <v>0</v>
      </c>
      <c r="S21" s="12"/>
      <c r="T21" s="12"/>
      <c r="U21" s="12" t="s">
        <v>5638</v>
      </c>
      <c r="V21" s="12">
        <v>1</v>
      </c>
      <c r="W21" s="12"/>
      <c r="X21" s="12"/>
      <c r="Y21" s="12"/>
      <c r="Z21" s="12"/>
      <c r="AA21" s="12"/>
      <c r="AB21" s="9"/>
    </row>
    <row r="22" spans="1:28" ht="15" customHeight="1" thickBot="1" x14ac:dyDescent="0.35">
      <c r="A22" s="243" t="s">
        <v>5947</v>
      </c>
      <c r="B22" s="244"/>
      <c r="C22" s="244"/>
      <c r="D22" s="244"/>
      <c r="E22" s="244"/>
      <c r="F22" s="244"/>
      <c r="G22" s="244"/>
      <c r="H22" s="244"/>
      <c r="I22" s="105"/>
      <c r="J22" s="105"/>
      <c r="K22" s="105"/>
      <c r="L22" s="105"/>
      <c r="M22" s="105"/>
      <c r="N22" s="105"/>
      <c r="O22" s="105"/>
      <c r="P22" s="106">
        <f>SUM(P5:P21)</f>
        <v>0</v>
      </c>
      <c r="Q22" s="106">
        <f>SUM(Q3:Q21)</f>
        <v>0</v>
      </c>
      <c r="R22" s="106">
        <f>SUM(R3:R21)</f>
        <v>0</v>
      </c>
      <c r="S22" s="106" t="e">
        <f>SUM(#REF!)</f>
        <v>#REF!</v>
      </c>
      <c r="T22" s="106" t="e">
        <f>SUM(#REF!)</f>
        <v>#REF!</v>
      </c>
      <c r="U22" s="106" t="e">
        <f>SUM(#REF!)</f>
        <v>#REF!</v>
      </c>
      <c r="V22" s="106" t="e">
        <f>SUM(#REF!)</f>
        <v>#REF!</v>
      </c>
      <c r="W22" s="106" t="e">
        <f>SUM(#REF!)</f>
        <v>#REF!</v>
      </c>
      <c r="X22" s="106" t="e">
        <f>SUM(#REF!)</f>
        <v>#REF!</v>
      </c>
      <c r="Y22" s="106" t="e">
        <f>SUM(#REF!)</f>
        <v>#REF!</v>
      </c>
      <c r="Z22" s="106" t="e">
        <f>SUM(#REF!)</f>
        <v>#REF!</v>
      </c>
      <c r="AA22" s="151" t="s">
        <v>5963</v>
      </c>
      <c r="AB22" s="9"/>
    </row>
    <row r="23" spans="1:28" ht="30" customHeight="1" thickBot="1" x14ac:dyDescent="0.35">
      <c r="A23" s="59"/>
      <c r="B23" s="94" t="s">
        <v>0</v>
      </c>
      <c r="C23" s="57" t="s">
        <v>1</v>
      </c>
      <c r="D23" s="58" t="s">
        <v>2</v>
      </c>
      <c r="E23" s="58" t="s">
        <v>124</v>
      </c>
      <c r="F23" s="58" t="s">
        <v>123</v>
      </c>
      <c r="G23" s="58" t="s">
        <v>129</v>
      </c>
      <c r="H23" s="95" t="s">
        <v>122</v>
      </c>
      <c r="I23" s="68"/>
      <c r="J23" s="68" t="s">
        <v>217</v>
      </c>
      <c r="K23" s="68" t="s">
        <v>218</v>
      </c>
      <c r="L23" s="68" t="s">
        <v>219</v>
      </c>
      <c r="M23" s="68" t="s">
        <v>220</v>
      </c>
      <c r="N23" s="68"/>
      <c r="O23" s="68"/>
      <c r="P23" s="75" t="s">
        <v>405</v>
      </c>
      <c r="Q23" s="76" t="s">
        <v>406</v>
      </c>
      <c r="R23" s="77" t="s">
        <v>407</v>
      </c>
      <c r="S23" s="128"/>
      <c r="T23" s="128"/>
      <c r="U23" s="128"/>
      <c r="V23" s="128"/>
      <c r="W23" s="128"/>
      <c r="X23" s="128"/>
      <c r="Y23" s="128"/>
      <c r="Z23" s="128"/>
      <c r="AA23" s="12"/>
      <c r="AB23" s="9"/>
    </row>
    <row r="24" spans="1:28" ht="15" customHeight="1" x14ac:dyDescent="0.3">
      <c r="A24" s="241" t="s">
        <v>5922</v>
      </c>
      <c r="B24" s="84" t="s">
        <v>23</v>
      </c>
      <c r="C24" s="85"/>
      <c r="D24" s="85"/>
      <c r="E24" s="85"/>
      <c r="F24" s="85"/>
      <c r="G24" s="85"/>
      <c r="H24" s="86"/>
      <c r="I24" s="69"/>
      <c r="J24" s="48"/>
      <c r="K24" s="48"/>
      <c r="L24" s="48"/>
      <c r="M24" s="48"/>
      <c r="N24" s="48"/>
      <c r="O24" s="48"/>
      <c r="P24" s="91"/>
      <c r="Q24" s="91"/>
      <c r="R24" s="91"/>
      <c r="S24" s="12"/>
      <c r="T24" s="12"/>
      <c r="U24" s="12"/>
      <c r="V24" s="12"/>
      <c r="W24" s="12"/>
      <c r="X24" s="12"/>
      <c r="Y24" s="12"/>
      <c r="Z24" s="12"/>
      <c r="AA24" s="12"/>
      <c r="AB24" s="9"/>
    </row>
    <row r="25" spans="1:28" ht="14.4" customHeight="1" x14ac:dyDescent="0.3">
      <c r="A25" s="231"/>
      <c r="B25" s="18">
        <v>2211401325</v>
      </c>
      <c r="C25" s="18" t="s">
        <v>5896</v>
      </c>
      <c r="D25" s="13">
        <v>299990</v>
      </c>
      <c r="E25" s="14">
        <v>2.4E-2</v>
      </c>
      <c r="F25" s="15">
        <v>0.04</v>
      </c>
      <c r="G25" s="16">
        <v>7199.76</v>
      </c>
      <c r="H25" s="17">
        <v>11999.6</v>
      </c>
      <c r="I25" s="49" t="s">
        <v>5879</v>
      </c>
      <c r="J25" s="12"/>
      <c r="K25" s="12"/>
      <c r="L25" s="12"/>
      <c r="M25" s="12"/>
      <c r="N25" s="12"/>
      <c r="O25" s="12"/>
      <c r="P25" s="108"/>
      <c r="Q25" s="108">
        <f t="shared" ref="Q25:Q86" si="3">P25*G25</f>
        <v>0</v>
      </c>
      <c r="R25" s="109">
        <f t="shared" si="1"/>
        <v>0</v>
      </c>
      <c r="S25" s="12"/>
      <c r="T25" s="12"/>
      <c r="U25" s="12"/>
      <c r="V25" s="12"/>
      <c r="W25" s="12"/>
      <c r="X25" s="12"/>
      <c r="Y25" s="12"/>
      <c r="Z25" s="12"/>
      <c r="AA25" s="12"/>
      <c r="AB25" s="9"/>
    </row>
    <row r="26" spans="1:28" ht="14.4" customHeight="1" x14ac:dyDescent="0.3">
      <c r="A26" s="231"/>
      <c r="B26" s="18">
        <v>2211401326</v>
      </c>
      <c r="C26" s="18" t="s">
        <v>5897</v>
      </c>
      <c r="D26" s="13">
        <v>362990</v>
      </c>
      <c r="E26" s="14">
        <v>2.7E-2</v>
      </c>
      <c r="F26" s="15">
        <v>4.4999999999999998E-2</v>
      </c>
      <c r="G26" s="16">
        <v>9800.73</v>
      </c>
      <c r="H26" s="17">
        <v>16334.55</v>
      </c>
      <c r="I26" s="49" t="s">
        <v>5879</v>
      </c>
      <c r="J26" s="12"/>
      <c r="K26" s="12"/>
      <c r="L26" s="12"/>
      <c r="M26" s="12"/>
      <c r="N26" s="12"/>
      <c r="O26" s="12"/>
      <c r="P26" s="108"/>
      <c r="Q26" s="108">
        <f t="shared" si="3"/>
        <v>0</v>
      </c>
      <c r="R26" s="109">
        <f t="shared" si="1"/>
        <v>0</v>
      </c>
      <c r="S26" s="12"/>
      <c r="T26" s="12"/>
      <c r="U26" s="12"/>
      <c r="V26" s="12"/>
      <c r="W26" s="12"/>
      <c r="X26" s="12"/>
      <c r="Y26" s="12"/>
      <c r="Z26" s="12"/>
      <c r="AA26" s="12"/>
      <c r="AB26" s="9"/>
    </row>
    <row r="27" spans="1:28" ht="14.4" customHeight="1" x14ac:dyDescent="0.3">
      <c r="A27" s="231"/>
      <c r="B27" s="96">
        <v>2211401143</v>
      </c>
      <c r="C27" s="158" t="s">
        <v>389</v>
      </c>
      <c r="D27" s="13">
        <v>299990</v>
      </c>
      <c r="E27" s="14">
        <v>2.4E-2</v>
      </c>
      <c r="F27" s="15">
        <v>0.04</v>
      </c>
      <c r="G27" s="16">
        <v>7199.76</v>
      </c>
      <c r="H27" s="17">
        <v>11999.6</v>
      </c>
      <c r="I27" s="49"/>
      <c r="J27" s="12"/>
      <c r="K27" s="12"/>
      <c r="L27" s="12"/>
      <c r="M27" s="12"/>
      <c r="N27" s="12"/>
      <c r="O27" s="12"/>
      <c r="P27" s="108"/>
      <c r="Q27" s="108">
        <f t="shared" si="3"/>
        <v>0</v>
      </c>
      <c r="R27" s="109">
        <f t="shared" si="1"/>
        <v>0</v>
      </c>
      <c r="S27" s="12"/>
      <c r="T27" s="12"/>
      <c r="U27" s="12"/>
      <c r="V27" s="12"/>
      <c r="W27" s="12"/>
      <c r="X27" s="12"/>
      <c r="Y27" s="12"/>
      <c r="Z27" s="12"/>
      <c r="AA27" s="12"/>
      <c r="AB27" s="9"/>
    </row>
    <row r="28" spans="1:28" ht="14.4" customHeight="1" x14ac:dyDescent="0.3">
      <c r="A28" s="231"/>
      <c r="B28" s="18">
        <v>2211401142</v>
      </c>
      <c r="C28" s="18" t="s">
        <v>390</v>
      </c>
      <c r="D28" s="13">
        <v>279990</v>
      </c>
      <c r="E28" s="14">
        <v>2.4E-2</v>
      </c>
      <c r="F28" s="19">
        <v>0.04</v>
      </c>
      <c r="G28" s="16">
        <v>6719.76</v>
      </c>
      <c r="H28" s="17">
        <v>11199.6</v>
      </c>
      <c r="I28" s="51"/>
      <c r="J28" s="12"/>
      <c r="K28" s="12"/>
      <c r="L28" s="12"/>
      <c r="M28" s="12"/>
      <c r="N28" s="12"/>
      <c r="O28" s="12"/>
      <c r="P28" s="108"/>
      <c r="Q28" s="108">
        <f t="shared" si="3"/>
        <v>0</v>
      </c>
      <c r="R28" s="109">
        <f t="shared" si="1"/>
        <v>0</v>
      </c>
      <c r="S28" s="12" t="s">
        <v>5430</v>
      </c>
      <c r="T28" s="12">
        <v>1</v>
      </c>
      <c r="U28" s="12" t="s">
        <v>5312</v>
      </c>
      <c r="V28" s="12">
        <v>1</v>
      </c>
      <c r="W28" s="12" t="s">
        <v>1829</v>
      </c>
      <c r="X28" s="12">
        <v>1</v>
      </c>
      <c r="Y28" s="12" t="s">
        <v>390</v>
      </c>
      <c r="Z28" s="12"/>
      <c r="AA28" s="12"/>
      <c r="AB28" s="9"/>
    </row>
    <row r="29" spans="1:28" ht="14.4" customHeight="1" x14ac:dyDescent="0.3">
      <c r="A29" s="231"/>
      <c r="B29" s="157">
        <v>2211401480</v>
      </c>
      <c r="C29" s="18" t="s">
        <v>6004</v>
      </c>
      <c r="D29" s="13">
        <v>199990</v>
      </c>
      <c r="E29" s="14">
        <v>1.7999999999999999E-2</v>
      </c>
      <c r="F29" s="19">
        <v>0.03</v>
      </c>
      <c r="G29" s="16">
        <v>3599.8199999999997</v>
      </c>
      <c r="H29" s="17">
        <v>5999.7</v>
      </c>
      <c r="I29" s="51"/>
      <c r="J29" s="12"/>
      <c r="K29" s="12"/>
      <c r="L29" s="12"/>
      <c r="M29" s="12"/>
      <c r="N29" s="12"/>
      <c r="O29" s="12"/>
      <c r="P29" s="108"/>
      <c r="Q29" s="108">
        <f t="shared" si="3"/>
        <v>0</v>
      </c>
      <c r="R29" s="109">
        <f t="shared" si="1"/>
        <v>0</v>
      </c>
      <c r="S29" s="12"/>
      <c r="T29" s="12"/>
      <c r="U29" s="12"/>
      <c r="V29" s="12"/>
      <c r="W29" s="12"/>
      <c r="X29" s="12"/>
      <c r="Y29" s="12"/>
      <c r="Z29" s="12"/>
      <c r="AA29" s="12"/>
      <c r="AB29" s="9"/>
    </row>
    <row r="30" spans="1:28" ht="14.4" customHeight="1" x14ac:dyDescent="0.3">
      <c r="A30" s="231"/>
      <c r="B30" s="157">
        <v>7211005473</v>
      </c>
      <c r="C30" s="18" t="s">
        <v>6005</v>
      </c>
      <c r="D30" s="13">
        <v>149990</v>
      </c>
      <c r="E30" s="14">
        <v>1.7999999999999999E-2</v>
      </c>
      <c r="F30" s="19">
        <v>0.03</v>
      </c>
      <c r="G30" s="16">
        <v>2699.8199999999997</v>
      </c>
      <c r="H30" s="17">
        <v>4499.7</v>
      </c>
      <c r="I30" s="51"/>
      <c r="J30" s="12"/>
      <c r="K30" s="12"/>
      <c r="L30" s="12"/>
      <c r="M30" s="12"/>
      <c r="N30" s="12"/>
      <c r="O30" s="12"/>
      <c r="P30" s="108"/>
      <c r="Q30" s="108">
        <f t="shared" si="3"/>
        <v>0</v>
      </c>
      <c r="R30" s="109">
        <f t="shared" si="1"/>
        <v>0</v>
      </c>
      <c r="S30" s="12"/>
      <c r="T30" s="12"/>
      <c r="U30" s="12"/>
      <c r="V30" s="12"/>
      <c r="W30" s="12"/>
      <c r="X30" s="12"/>
      <c r="Y30" s="12"/>
      <c r="Z30" s="12"/>
      <c r="AA30" s="12"/>
      <c r="AB30" s="9"/>
    </row>
    <row r="31" spans="1:28" ht="14.4" customHeight="1" x14ac:dyDescent="0.3">
      <c r="A31" s="231"/>
      <c r="B31" s="157">
        <v>2211400888</v>
      </c>
      <c r="C31" s="18" t="s">
        <v>38</v>
      </c>
      <c r="D31" s="13">
        <v>189990</v>
      </c>
      <c r="E31" s="14">
        <v>1.7999999999999999E-2</v>
      </c>
      <c r="F31" s="19">
        <v>0.03</v>
      </c>
      <c r="G31" s="16">
        <v>3419.8199999999997</v>
      </c>
      <c r="H31" s="17">
        <v>5699.7</v>
      </c>
      <c r="I31" s="51"/>
      <c r="J31" s="12"/>
      <c r="K31" s="12"/>
      <c r="L31" s="12"/>
      <c r="M31" s="12"/>
      <c r="N31" s="12"/>
      <c r="O31" s="12"/>
      <c r="P31" s="108"/>
      <c r="Q31" s="108">
        <f t="shared" si="3"/>
        <v>0</v>
      </c>
      <c r="R31" s="109">
        <f t="shared" si="1"/>
        <v>0</v>
      </c>
      <c r="S31" s="12"/>
      <c r="T31" s="12"/>
      <c r="U31" s="12"/>
      <c r="V31" s="12"/>
      <c r="W31" s="12"/>
      <c r="X31" s="12"/>
      <c r="Y31" s="12"/>
      <c r="Z31" s="12"/>
      <c r="AA31" s="12"/>
      <c r="AB31" s="9"/>
    </row>
    <row r="32" spans="1:28" ht="14.4" customHeight="1" x14ac:dyDescent="0.3">
      <c r="A32" s="242"/>
      <c r="B32" s="41">
        <v>2211401265</v>
      </c>
      <c r="C32" s="18" t="s">
        <v>5653</v>
      </c>
      <c r="D32" s="13">
        <v>207990</v>
      </c>
      <c r="E32" s="14">
        <v>1.7999999999999999E-2</v>
      </c>
      <c r="F32" s="19">
        <v>0.03</v>
      </c>
      <c r="G32" s="16">
        <v>3743.8199999999997</v>
      </c>
      <c r="H32" s="17">
        <v>6239.7</v>
      </c>
      <c r="I32" s="51"/>
      <c r="J32" s="54"/>
      <c r="K32" s="54"/>
      <c r="L32" s="54"/>
      <c r="M32" s="54"/>
      <c r="N32" s="54"/>
      <c r="O32" s="20" t="s">
        <v>5652</v>
      </c>
      <c r="P32" s="108"/>
      <c r="Q32" s="108">
        <f t="shared" si="3"/>
        <v>0</v>
      </c>
      <c r="R32" s="109">
        <f t="shared" si="1"/>
        <v>0</v>
      </c>
      <c r="S32" s="12"/>
      <c r="T32" s="12"/>
      <c r="U32" s="12"/>
      <c r="V32" s="12"/>
      <c r="W32" s="12"/>
      <c r="X32" s="12"/>
      <c r="Y32" s="12"/>
      <c r="Z32" s="12"/>
      <c r="AA32" s="12"/>
      <c r="AB32" s="9"/>
    </row>
    <row r="33" spans="1:28" ht="14.4" customHeight="1" x14ac:dyDescent="0.3">
      <c r="A33" s="242"/>
      <c r="B33" s="41">
        <v>7211005529</v>
      </c>
      <c r="C33" s="18" t="s">
        <v>6003</v>
      </c>
      <c r="D33" s="13">
        <v>199990</v>
      </c>
      <c r="E33" s="14">
        <v>1.7999999999999999E-2</v>
      </c>
      <c r="F33" s="19">
        <v>0.03</v>
      </c>
      <c r="G33" s="16">
        <v>3599.8199999999997</v>
      </c>
      <c r="H33" s="17">
        <v>5999.7</v>
      </c>
      <c r="I33" s="51"/>
      <c r="J33" s="54"/>
      <c r="K33" s="54"/>
      <c r="L33" s="54"/>
      <c r="M33" s="54"/>
      <c r="N33" s="54"/>
      <c r="O33" s="22"/>
      <c r="P33" s="108"/>
      <c r="Q33" s="108">
        <f t="shared" si="3"/>
        <v>0</v>
      </c>
      <c r="R33" s="109">
        <f t="shared" si="1"/>
        <v>0</v>
      </c>
      <c r="S33" s="12"/>
      <c r="T33" s="12"/>
      <c r="U33" s="12"/>
      <c r="V33" s="12"/>
      <c r="W33" s="12"/>
      <c r="X33" s="12"/>
      <c r="Y33" s="12"/>
      <c r="Z33" s="12"/>
      <c r="AA33" s="12"/>
      <c r="AB33" s="9"/>
    </row>
    <row r="34" spans="1:28" ht="14.4" customHeight="1" x14ac:dyDescent="0.3">
      <c r="A34" s="242"/>
      <c r="B34" s="43">
        <v>2211401354</v>
      </c>
      <c r="C34" s="25" t="s">
        <v>5904</v>
      </c>
      <c r="D34" s="13">
        <v>179990</v>
      </c>
      <c r="E34" s="14">
        <v>4.1999999999999996E-2</v>
      </c>
      <c r="F34" s="14">
        <v>0.06</v>
      </c>
      <c r="G34" s="16">
        <v>7559.579999999999</v>
      </c>
      <c r="H34" s="17">
        <v>10799.4</v>
      </c>
      <c r="I34" s="22"/>
      <c r="J34" s="62"/>
      <c r="K34" s="62"/>
      <c r="L34" s="62"/>
      <c r="M34" s="62"/>
      <c r="N34" s="62"/>
      <c r="O34" s="62"/>
      <c r="P34" s="108"/>
      <c r="Q34" s="108">
        <f t="shared" si="3"/>
        <v>0</v>
      </c>
      <c r="R34" s="109">
        <f t="shared" si="1"/>
        <v>0</v>
      </c>
      <c r="S34" s="12"/>
      <c r="T34" s="12"/>
      <c r="U34" s="12"/>
      <c r="V34" s="12"/>
      <c r="W34" s="12"/>
      <c r="X34" s="12"/>
      <c r="Y34" s="12"/>
      <c r="Z34" s="12"/>
      <c r="AA34" s="12"/>
      <c r="AB34" s="9"/>
    </row>
    <row r="35" spans="1:28" ht="14.4" customHeight="1" x14ac:dyDescent="0.3">
      <c r="A35" s="242"/>
      <c r="B35" s="43">
        <v>7211005393</v>
      </c>
      <c r="C35" s="25" t="s">
        <v>5981</v>
      </c>
      <c r="D35" s="13">
        <v>219990</v>
      </c>
      <c r="E35" s="14">
        <v>4.9000000000000002E-2</v>
      </c>
      <c r="F35" s="14">
        <v>7.0000000000000007E-2</v>
      </c>
      <c r="G35" s="16">
        <v>10779.51</v>
      </c>
      <c r="H35" s="17">
        <v>15399.300000000001</v>
      </c>
      <c r="I35" s="51"/>
      <c r="J35" s="12"/>
      <c r="K35" s="12"/>
      <c r="L35" s="12"/>
      <c r="M35" s="12"/>
      <c r="N35" s="12"/>
      <c r="O35" s="12"/>
      <c r="P35" s="108"/>
      <c r="Q35" s="108">
        <f t="shared" si="3"/>
        <v>0</v>
      </c>
      <c r="R35" s="109">
        <f t="shared" si="1"/>
        <v>0</v>
      </c>
      <c r="S35" s="92"/>
      <c r="T35" s="92"/>
      <c r="U35" s="92"/>
      <c r="V35" s="92"/>
      <c r="W35" s="92"/>
      <c r="X35" s="92"/>
      <c r="Y35" s="92"/>
      <c r="Z35" s="92"/>
      <c r="AA35" s="93" t="s">
        <v>5652</v>
      </c>
      <c r="AB35" s="9"/>
    </row>
    <row r="36" spans="1:28" ht="14.4" customHeight="1" x14ac:dyDescent="0.3">
      <c r="A36" s="242"/>
      <c r="B36" s="43">
        <v>2211401445</v>
      </c>
      <c r="C36" s="25" t="s">
        <v>5964</v>
      </c>
      <c r="D36" s="13">
        <v>199990</v>
      </c>
      <c r="E36" s="14">
        <v>4.5499999999999999E-2</v>
      </c>
      <c r="F36" s="14">
        <v>6.5000000000000002E-2</v>
      </c>
      <c r="G36" s="16">
        <v>9099.5450000000001</v>
      </c>
      <c r="H36" s="17">
        <v>12999.35</v>
      </c>
      <c r="I36" s="22"/>
      <c r="J36" s="62"/>
      <c r="K36" s="62"/>
      <c r="L36" s="62"/>
      <c r="M36" s="62"/>
      <c r="N36" s="62"/>
      <c r="O36" s="62"/>
      <c r="P36" s="108"/>
      <c r="Q36" s="108">
        <f t="shared" si="3"/>
        <v>0</v>
      </c>
      <c r="R36" s="109">
        <f t="shared" si="1"/>
        <v>0</v>
      </c>
      <c r="S36" s="12"/>
      <c r="T36" s="12"/>
      <c r="U36" s="12"/>
      <c r="V36" s="12"/>
      <c r="W36" s="12"/>
      <c r="X36" s="12"/>
      <c r="Y36" s="12"/>
      <c r="Z36" s="12"/>
      <c r="AA36" s="12"/>
      <c r="AB36" s="9"/>
    </row>
    <row r="37" spans="1:28" ht="14.4" customHeight="1" x14ac:dyDescent="0.3">
      <c r="A37" s="242"/>
      <c r="B37" s="43">
        <v>2211401372</v>
      </c>
      <c r="C37" s="25" t="s">
        <v>5938</v>
      </c>
      <c r="D37" s="13">
        <v>299990</v>
      </c>
      <c r="E37" s="14">
        <v>4.9000000000000002E-2</v>
      </c>
      <c r="F37" s="14">
        <v>7.0000000000000007E-2</v>
      </c>
      <c r="G37" s="16">
        <v>14699.51</v>
      </c>
      <c r="H37" s="17">
        <v>20999.300000000003</v>
      </c>
      <c r="I37" s="22"/>
      <c r="J37" s="62"/>
      <c r="K37" s="62"/>
      <c r="L37" s="62"/>
      <c r="M37" s="62"/>
      <c r="N37" s="62"/>
      <c r="O37" s="62"/>
      <c r="P37" s="108"/>
      <c r="Q37" s="108">
        <f t="shared" si="3"/>
        <v>0</v>
      </c>
      <c r="R37" s="109">
        <f t="shared" si="1"/>
        <v>0</v>
      </c>
      <c r="S37" s="12"/>
      <c r="T37" s="12"/>
      <c r="U37" s="12"/>
      <c r="V37" s="12"/>
      <c r="W37" s="12"/>
      <c r="X37" s="12"/>
      <c r="Y37" s="12"/>
      <c r="Z37" s="12"/>
      <c r="AA37" s="12"/>
      <c r="AB37" s="9"/>
    </row>
    <row r="38" spans="1:28" ht="14.4" customHeight="1" x14ac:dyDescent="0.3">
      <c r="A38" s="242"/>
      <c r="B38" s="41">
        <v>2211401218</v>
      </c>
      <c r="C38" s="18" t="s">
        <v>439</v>
      </c>
      <c r="D38" s="13">
        <v>199990</v>
      </c>
      <c r="E38" s="14">
        <v>1.7999999999999999E-2</v>
      </c>
      <c r="F38" s="19">
        <v>0.03</v>
      </c>
      <c r="G38" s="16">
        <v>3599.8199999999997</v>
      </c>
      <c r="H38" s="17">
        <v>5999.7</v>
      </c>
      <c r="I38" s="51"/>
      <c r="J38" s="54"/>
      <c r="K38" s="54"/>
      <c r="L38" s="54"/>
      <c r="M38" s="54"/>
      <c r="N38" s="54"/>
      <c r="O38" s="12"/>
      <c r="P38" s="108"/>
      <c r="Q38" s="108">
        <f t="shared" si="3"/>
        <v>0</v>
      </c>
      <c r="R38" s="109">
        <f t="shared" si="1"/>
        <v>0</v>
      </c>
      <c r="S38" s="12" t="s">
        <v>5645</v>
      </c>
      <c r="T38" s="12">
        <v>1</v>
      </c>
      <c r="U38" s="12" t="s">
        <v>5630</v>
      </c>
      <c r="V38" s="12">
        <v>1</v>
      </c>
      <c r="W38" s="12" t="s">
        <v>5639</v>
      </c>
      <c r="X38" s="12">
        <v>1</v>
      </c>
      <c r="Y38" s="12"/>
      <c r="Z38" s="12"/>
      <c r="AA38" s="12"/>
      <c r="AB38" s="9"/>
    </row>
    <row r="39" spans="1:28" ht="14.4" customHeight="1" x14ac:dyDescent="0.3">
      <c r="A39" s="242"/>
      <c r="B39" s="41">
        <v>2211401286</v>
      </c>
      <c r="C39" s="18" t="s">
        <v>5966</v>
      </c>
      <c r="D39" s="13">
        <v>369990</v>
      </c>
      <c r="E39" s="14">
        <v>2.4E-2</v>
      </c>
      <c r="F39" s="19">
        <v>0.04</v>
      </c>
      <c r="G39" s="16">
        <v>8879.76</v>
      </c>
      <c r="H39" s="17">
        <v>14799.6</v>
      </c>
      <c r="I39" s="51"/>
      <c r="J39" s="54"/>
      <c r="K39" s="54"/>
      <c r="L39" s="54"/>
      <c r="M39" s="54"/>
      <c r="N39" s="54"/>
      <c r="O39" s="12"/>
      <c r="P39" s="108"/>
      <c r="Q39" s="108">
        <f t="shared" si="3"/>
        <v>0</v>
      </c>
      <c r="R39" s="109">
        <f t="shared" si="1"/>
        <v>0</v>
      </c>
      <c r="S39" s="12"/>
      <c r="T39" s="12"/>
      <c r="U39" s="12"/>
      <c r="V39" s="12"/>
      <c r="W39" s="12"/>
      <c r="X39" s="12"/>
      <c r="Y39" s="12"/>
      <c r="Z39" s="12"/>
      <c r="AA39" s="12"/>
      <c r="AB39" s="9"/>
    </row>
    <row r="40" spans="1:28" ht="14.4" customHeight="1" x14ac:dyDescent="0.3">
      <c r="A40" s="242"/>
      <c r="B40" s="41">
        <v>7211005165</v>
      </c>
      <c r="C40" s="18" t="s">
        <v>440</v>
      </c>
      <c r="D40" s="13">
        <v>179990</v>
      </c>
      <c r="E40" s="14">
        <v>1.7999999999999999E-2</v>
      </c>
      <c r="F40" s="19">
        <v>0.03</v>
      </c>
      <c r="G40" s="16">
        <v>3239.8199999999997</v>
      </c>
      <c r="H40" s="17">
        <v>5399.7</v>
      </c>
      <c r="I40" s="51"/>
      <c r="J40" s="54"/>
      <c r="K40" s="54"/>
      <c r="L40" s="54"/>
      <c r="M40" s="54"/>
      <c r="N40" s="54"/>
      <c r="O40" s="12"/>
      <c r="P40" s="108"/>
      <c r="Q40" s="108">
        <f t="shared" si="3"/>
        <v>0</v>
      </c>
      <c r="R40" s="109">
        <f t="shared" si="1"/>
        <v>0</v>
      </c>
      <c r="S40" s="12" t="s">
        <v>5566</v>
      </c>
      <c r="T40" s="12">
        <v>1</v>
      </c>
      <c r="U40" s="12" t="s">
        <v>5631</v>
      </c>
      <c r="V40" s="12">
        <v>1</v>
      </c>
      <c r="W40" s="12" t="s">
        <v>5544</v>
      </c>
      <c r="X40" s="12">
        <v>1</v>
      </c>
      <c r="Y40" s="12" t="s">
        <v>440</v>
      </c>
      <c r="Z40" s="12"/>
      <c r="AA40" s="12"/>
      <c r="AB40" s="9"/>
    </row>
    <row r="41" spans="1:28" ht="14.4" customHeight="1" x14ac:dyDescent="0.3">
      <c r="A41" s="242"/>
      <c r="B41" s="41">
        <v>2211401292</v>
      </c>
      <c r="C41" s="18" t="s">
        <v>5880</v>
      </c>
      <c r="D41" s="13">
        <v>124990</v>
      </c>
      <c r="E41" s="14">
        <v>1.7999999999999999E-2</v>
      </c>
      <c r="F41" s="19">
        <v>0.03</v>
      </c>
      <c r="G41" s="16">
        <v>2249.8199999999997</v>
      </c>
      <c r="H41" s="17">
        <v>3749.7</v>
      </c>
      <c r="I41" s="51"/>
      <c r="J41" s="23"/>
      <c r="K41" s="23"/>
      <c r="L41" s="23"/>
      <c r="M41" s="23"/>
      <c r="N41" s="23"/>
      <c r="O41" s="23"/>
      <c r="P41" s="108"/>
      <c r="Q41" s="108">
        <f t="shared" si="3"/>
        <v>0</v>
      </c>
      <c r="R41" s="109">
        <f t="shared" si="1"/>
        <v>0</v>
      </c>
      <c r="S41" s="23"/>
      <c r="T41" s="23"/>
      <c r="U41" s="23"/>
      <c r="V41" s="23"/>
      <c r="W41" s="23"/>
      <c r="X41" s="23"/>
      <c r="Y41" s="23"/>
      <c r="Z41" s="12"/>
      <c r="AA41" s="12"/>
      <c r="AB41" s="9"/>
    </row>
    <row r="42" spans="1:28" ht="14.4" customHeight="1" x14ac:dyDescent="0.3">
      <c r="A42" s="242"/>
      <c r="B42" s="41">
        <v>2211401294</v>
      </c>
      <c r="C42" s="18" t="s">
        <v>5881</v>
      </c>
      <c r="D42" s="13">
        <v>139990</v>
      </c>
      <c r="E42" s="14">
        <v>1.7999999999999999E-2</v>
      </c>
      <c r="F42" s="19">
        <v>0.03</v>
      </c>
      <c r="G42" s="16">
        <v>2519.8199999999997</v>
      </c>
      <c r="H42" s="17">
        <v>4199.7</v>
      </c>
      <c r="I42" s="51"/>
      <c r="J42" s="23"/>
      <c r="K42" s="23"/>
      <c r="L42" s="23"/>
      <c r="M42" s="23"/>
      <c r="N42" s="23"/>
      <c r="O42" s="23"/>
      <c r="P42" s="108"/>
      <c r="Q42" s="108">
        <f t="shared" si="3"/>
        <v>0</v>
      </c>
      <c r="R42" s="109">
        <f t="shared" si="1"/>
        <v>0</v>
      </c>
      <c r="S42" s="23"/>
      <c r="T42" s="23"/>
      <c r="U42" s="23"/>
      <c r="V42" s="23"/>
      <c r="W42" s="23"/>
      <c r="X42" s="23"/>
      <c r="Y42" s="23"/>
      <c r="Z42" s="12"/>
      <c r="AA42" s="12"/>
      <c r="AB42" s="9"/>
    </row>
    <row r="43" spans="1:28" ht="14.4" customHeight="1" x14ac:dyDescent="0.3">
      <c r="A43" s="242"/>
      <c r="B43" s="41">
        <v>7211005170</v>
      </c>
      <c r="C43" s="18" t="s">
        <v>5939</v>
      </c>
      <c r="D43" s="13">
        <v>114990</v>
      </c>
      <c r="E43" s="14">
        <v>1.2E-2</v>
      </c>
      <c r="F43" s="19">
        <v>0.02</v>
      </c>
      <c r="G43" s="16">
        <v>1379.88</v>
      </c>
      <c r="H43" s="17">
        <v>2299.8000000000002</v>
      </c>
      <c r="I43" s="51"/>
      <c r="J43" s="23"/>
      <c r="K43" s="23"/>
      <c r="L43" s="23"/>
      <c r="M43" s="23"/>
      <c r="N43" s="23"/>
      <c r="O43" s="23"/>
      <c r="P43" s="108"/>
      <c r="Q43" s="108">
        <f t="shared" si="3"/>
        <v>0</v>
      </c>
      <c r="R43" s="109">
        <f t="shared" si="1"/>
        <v>0</v>
      </c>
      <c r="S43" s="23"/>
      <c r="T43" s="23"/>
      <c r="U43" s="23"/>
      <c r="V43" s="23"/>
      <c r="W43" s="23"/>
      <c r="X43" s="23"/>
      <c r="Y43" s="23"/>
      <c r="Z43" s="12"/>
      <c r="AA43" s="12"/>
      <c r="AB43" s="9"/>
    </row>
    <row r="44" spans="1:28" ht="14.4" customHeight="1" x14ac:dyDescent="0.3">
      <c r="A44" s="242"/>
      <c r="B44" s="41">
        <v>2211401296</v>
      </c>
      <c r="C44" s="18" t="s">
        <v>5882</v>
      </c>
      <c r="D44" s="13">
        <v>165990</v>
      </c>
      <c r="E44" s="14">
        <v>1.7999999999999999E-2</v>
      </c>
      <c r="F44" s="19">
        <v>0.03</v>
      </c>
      <c r="G44" s="16">
        <v>2987.8199999999997</v>
      </c>
      <c r="H44" s="17">
        <v>4979.7</v>
      </c>
      <c r="I44" s="51"/>
      <c r="J44" s="23"/>
      <c r="K44" s="23"/>
      <c r="L44" s="23"/>
      <c r="M44" s="23"/>
      <c r="N44" s="23"/>
      <c r="O44" s="23"/>
      <c r="P44" s="108"/>
      <c r="Q44" s="108">
        <f t="shared" si="3"/>
        <v>0</v>
      </c>
      <c r="R44" s="109">
        <f t="shared" si="1"/>
        <v>0</v>
      </c>
      <c r="S44" s="23"/>
      <c r="T44" s="23"/>
      <c r="U44" s="23"/>
      <c r="V44" s="23"/>
      <c r="W44" s="23"/>
      <c r="X44" s="23"/>
      <c r="Y44" s="23"/>
      <c r="Z44" s="12"/>
      <c r="AA44" s="12"/>
      <c r="AB44" s="9"/>
    </row>
    <row r="45" spans="1:28" ht="14.4" customHeight="1" x14ac:dyDescent="0.3">
      <c r="A45" s="242"/>
      <c r="B45" s="41">
        <v>2211401302</v>
      </c>
      <c r="C45" s="18" t="s">
        <v>5883</v>
      </c>
      <c r="D45" s="13">
        <v>196990</v>
      </c>
      <c r="E45" s="14">
        <v>1.7999999999999999E-2</v>
      </c>
      <c r="F45" s="19">
        <v>0.03</v>
      </c>
      <c r="G45" s="16">
        <v>3545.8199999999997</v>
      </c>
      <c r="H45" s="17">
        <v>5909.7</v>
      </c>
      <c r="I45" s="51"/>
      <c r="J45" s="23"/>
      <c r="K45" s="23"/>
      <c r="L45" s="23"/>
      <c r="M45" s="23"/>
      <c r="N45" s="23"/>
      <c r="O45" s="23"/>
      <c r="P45" s="108"/>
      <c r="Q45" s="108">
        <f t="shared" si="3"/>
        <v>0</v>
      </c>
      <c r="R45" s="109">
        <f t="shared" si="1"/>
        <v>0</v>
      </c>
      <c r="S45" s="23"/>
      <c r="T45" s="23"/>
      <c r="U45" s="23"/>
      <c r="V45" s="23"/>
      <c r="W45" s="23"/>
      <c r="X45" s="23"/>
      <c r="Y45" s="23"/>
      <c r="Z45" s="12"/>
      <c r="AA45" s="12"/>
      <c r="AB45" s="9"/>
    </row>
    <row r="46" spans="1:28" ht="14.4" customHeight="1" x14ac:dyDescent="0.3">
      <c r="A46" s="242"/>
      <c r="B46" s="41">
        <v>2211401225</v>
      </c>
      <c r="C46" s="18" t="s">
        <v>5627</v>
      </c>
      <c r="D46" s="13">
        <v>399990</v>
      </c>
      <c r="E46" s="14">
        <v>0.03</v>
      </c>
      <c r="F46" s="19">
        <v>0.05</v>
      </c>
      <c r="G46" s="16">
        <v>11999.699999999999</v>
      </c>
      <c r="H46" s="17">
        <v>19999.5</v>
      </c>
      <c r="I46" s="51"/>
      <c r="J46" s="12"/>
      <c r="K46" s="12"/>
      <c r="L46" s="12"/>
      <c r="M46" s="12"/>
      <c r="N46" s="12"/>
      <c r="O46" s="12"/>
      <c r="P46" s="108"/>
      <c r="Q46" s="108">
        <f t="shared" si="3"/>
        <v>0</v>
      </c>
      <c r="R46" s="109">
        <f t="shared" si="1"/>
        <v>0</v>
      </c>
      <c r="S46" s="12" t="s">
        <v>5646</v>
      </c>
      <c r="T46" s="12">
        <v>1</v>
      </c>
      <c r="U46" s="12" t="s">
        <v>5632</v>
      </c>
      <c r="V46" s="12">
        <v>1</v>
      </c>
      <c r="W46" s="12" t="s">
        <v>5640</v>
      </c>
      <c r="X46" s="12">
        <v>1</v>
      </c>
      <c r="Y46" s="12"/>
      <c r="Z46" s="12"/>
      <c r="AA46" s="12"/>
      <c r="AB46" s="9"/>
    </row>
    <row r="47" spans="1:28" ht="14.4" customHeight="1" x14ac:dyDescent="0.3">
      <c r="A47" s="231"/>
      <c r="B47" s="18">
        <v>2211401250</v>
      </c>
      <c r="C47" s="18" t="s">
        <v>5649</v>
      </c>
      <c r="D47" s="13">
        <v>217990</v>
      </c>
      <c r="E47" s="14">
        <v>1.7999999999999999E-2</v>
      </c>
      <c r="F47" s="24">
        <v>0.03</v>
      </c>
      <c r="G47" s="16">
        <v>3923.8199999999997</v>
      </c>
      <c r="H47" s="16">
        <v>6539.7</v>
      </c>
      <c r="I47" s="51"/>
      <c r="J47" s="12"/>
      <c r="K47" s="12"/>
      <c r="L47" s="12"/>
      <c r="M47" s="12"/>
      <c r="N47" s="12"/>
      <c r="O47" s="20" t="s">
        <v>5652</v>
      </c>
      <c r="P47" s="108"/>
      <c r="Q47" s="108">
        <f t="shared" si="3"/>
        <v>0</v>
      </c>
      <c r="R47" s="109">
        <f t="shared" si="1"/>
        <v>0</v>
      </c>
      <c r="S47" s="12"/>
      <c r="T47" s="12"/>
      <c r="U47" s="12"/>
      <c r="V47" s="12"/>
      <c r="W47" s="12"/>
      <c r="X47" s="12"/>
      <c r="Y47" s="12"/>
      <c r="Z47" s="12"/>
      <c r="AA47" s="12"/>
      <c r="AB47" s="9"/>
    </row>
    <row r="48" spans="1:28" ht="14.4" customHeight="1" x14ac:dyDescent="0.3">
      <c r="A48" s="231"/>
      <c r="B48" s="18">
        <v>2211401365</v>
      </c>
      <c r="C48" s="18" t="s">
        <v>5902</v>
      </c>
      <c r="D48" s="13">
        <v>159990</v>
      </c>
      <c r="E48" s="14">
        <v>1.4999999999999999E-2</v>
      </c>
      <c r="F48" s="24">
        <v>2.5000000000000001E-2</v>
      </c>
      <c r="G48" s="16">
        <v>2399.85</v>
      </c>
      <c r="H48" s="16">
        <v>3999.75</v>
      </c>
      <c r="I48" s="51"/>
      <c r="J48" s="12"/>
      <c r="K48" s="12"/>
      <c r="L48" s="12"/>
      <c r="M48" s="12"/>
      <c r="N48" s="12"/>
      <c r="O48" s="22"/>
      <c r="P48" s="108"/>
      <c r="Q48" s="108">
        <f t="shared" si="3"/>
        <v>0</v>
      </c>
      <c r="R48" s="109">
        <f t="shared" si="1"/>
        <v>0</v>
      </c>
      <c r="S48" s="12"/>
      <c r="T48" s="12"/>
      <c r="U48" s="12"/>
      <c r="V48" s="12"/>
      <c r="W48" s="12"/>
      <c r="X48" s="12"/>
      <c r="Y48" s="12"/>
      <c r="Z48" s="12"/>
      <c r="AA48" s="12"/>
      <c r="AB48" s="9"/>
    </row>
    <row r="49" spans="1:28" ht="14.4" customHeight="1" x14ac:dyDescent="0.3">
      <c r="A49" s="231"/>
      <c r="B49" s="25">
        <v>2211401074</v>
      </c>
      <c r="C49" s="26" t="s">
        <v>128</v>
      </c>
      <c r="D49" s="13">
        <v>369990</v>
      </c>
      <c r="E49" s="14">
        <v>2.7E-2</v>
      </c>
      <c r="F49" s="27">
        <v>4.4999999999999998E-2</v>
      </c>
      <c r="G49" s="16">
        <v>9989.73</v>
      </c>
      <c r="H49" s="16">
        <v>16649.55</v>
      </c>
      <c r="I49" s="51"/>
      <c r="J49" s="12" t="s">
        <v>150</v>
      </c>
      <c r="K49" s="12"/>
      <c r="L49" s="12" t="s">
        <v>238</v>
      </c>
      <c r="M49" s="12"/>
      <c r="N49" s="12"/>
      <c r="O49" s="12"/>
      <c r="P49" s="108"/>
      <c r="Q49" s="108">
        <f t="shared" si="3"/>
        <v>0</v>
      </c>
      <c r="R49" s="109">
        <f t="shared" si="1"/>
        <v>0</v>
      </c>
      <c r="S49" s="12" t="s">
        <v>152</v>
      </c>
      <c r="T49" s="12">
        <v>1</v>
      </c>
      <c r="U49" s="12" t="s">
        <v>304</v>
      </c>
      <c r="V49" s="12">
        <v>1</v>
      </c>
      <c r="W49" s="12" t="s">
        <v>240</v>
      </c>
      <c r="X49" s="12">
        <v>1</v>
      </c>
      <c r="Y49" s="12"/>
      <c r="Z49" s="12"/>
      <c r="AA49" s="12"/>
      <c r="AB49" s="9"/>
    </row>
    <row r="50" spans="1:28" ht="14.4" customHeight="1" x14ac:dyDescent="0.3">
      <c r="A50" s="231"/>
      <c r="B50" s="25">
        <v>2211401128</v>
      </c>
      <c r="C50" s="61" t="s">
        <v>372</v>
      </c>
      <c r="D50" s="13">
        <v>239990</v>
      </c>
      <c r="E50" s="14">
        <v>1.7999999999999999E-2</v>
      </c>
      <c r="F50" s="27">
        <v>0.03</v>
      </c>
      <c r="G50" s="16">
        <v>4319.82</v>
      </c>
      <c r="H50" s="16">
        <v>7199.7</v>
      </c>
      <c r="I50" s="51"/>
      <c r="J50" s="12"/>
      <c r="K50" s="12"/>
      <c r="L50" s="12"/>
      <c r="M50" s="12"/>
      <c r="N50" s="12"/>
      <c r="O50" s="12"/>
      <c r="P50" s="108"/>
      <c r="Q50" s="108">
        <f t="shared" si="3"/>
        <v>0</v>
      </c>
      <c r="R50" s="109">
        <f t="shared" si="1"/>
        <v>0</v>
      </c>
      <c r="S50" s="12" t="s">
        <v>3751</v>
      </c>
      <c r="T50" s="12">
        <v>1</v>
      </c>
      <c r="U50" s="12" t="s">
        <v>1674</v>
      </c>
      <c r="V50" s="12">
        <v>1</v>
      </c>
      <c r="W50" s="12" t="s">
        <v>1827</v>
      </c>
      <c r="X50" s="12">
        <v>1</v>
      </c>
      <c r="Y50" s="12"/>
      <c r="Z50" s="12"/>
      <c r="AA50" s="12"/>
      <c r="AB50" s="9"/>
    </row>
    <row r="51" spans="1:28" ht="14.4" customHeight="1" thickBot="1" x14ac:dyDescent="0.35">
      <c r="A51" s="231"/>
      <c r="B51" s="18">
        <v>2211401132</v>
      </c>
      <c r="C51" s="21" t="s">
        <v>373</v>
      </c>
      <c r="D51" s="13">
        <v>259990</v>
      </c>
      <c r="E51" s="14">
        <v>1.7999999999999999E-2</v>
      </c>
      <c r="F51" s="24">
        <v>0.03</v>
      </c>
      <c r="G51" s="16">
        <v>4679.82</v>
      </c>
      <c r="H51" s="16">
        <v>7799.7</v>
      </c>
      <c r="I51" s="51"/>
      <c r="J51" s="12"/>
      <c r="K51" s="12"/>
      <c r="L51" s="12"/>
      <c r="M51" s="12"/>
      <c r="N51" s="12"/>
      <c r="O51" s="12"/>
      <c r="P51" s="108"/>
      <c r="Q51" s="108">
        <f t="shared" si="3"/>
        <v>0</v>
      </c>
      <c r="R51" s="109">
        <f t="shared" si="1"/>
        <v>0</v>
      </c>
      <c r="S51" s="12" t="s">
        <v>3752</v>
      </c>
      <c r="T51" s="12">
        <v>1</v>
      </c>
      <c r="U51" s="12" t="s">
        <v>1675</v>
      </c>
      <c r="V51" s="12">
        <v>1</v>
      </c>
      <c r="W51" s="12" t="s">
        <v>1828</v>
      </c>
      <c r="X51" s="12">
        <v>1</v>
      </c>
      <c r="Y51" s="12" t="s">
        <v>373</v>
      </c>
      <c r="Z51" s="12"/>
      <c r="AA51" s="12"/>
      <c r="AB51" s="9"/>
    </row>
    <row r="52" spans="1:28" ht="14.4" customHeight="1" x14ac:dyDescent="0.3">
      <c r="A52" s="231"/>
      <c r="B52" s="18">
        <v>2211401039</v>
      </c>
      <c r="C52" s="18" t="s">
        <v>31</v>
      </c>
      <c r="D52" s="13">
        <v>466990</v>
      </c>
      <c r="E52" s="19">
        <v>3.4999999999999996E-2</v>
      </c>
      <c r="F52" s="19">
        <v>0.05</v>
      </c>
      <c r="G52" s="16">
        <v>16344.649999999998</v>
      </c>
      <c r="H52" s="16">
        <v>23349.5</v>
      </c>
      <c r="I52" s="66"/>
      <c r="J52" s="67"/>
      <c r="K52" s="67"/>
      <c r="L52" s="67"/>
      <c r="M52" s="67"/>
      <c r="N52" s="67"/>
      <c r="O52" s="67"/>
      <c r="P52" s="108"/>
      <c r="Q52" s="108">
        <f t="shared" si="3"/>
        <v>0</v>
      </c>
      <c r="R52" s="109">
        <f t="shared" si="1"/>
        <v>0</v>
      </c>
      <c r="S52" s="12" t="s">
        <v>3439</v>
      </c>
      <c r="T52" s="12">
        <v>1</v>
      </c>
      <c r="U52" s="12" t="s">
        <v>5470</v>
      </c>
      <c r="V52" s="12">
        <v>1</v>
      </c>
      <c r="W52" s="12" t="s">
        <v>2114</v>
      </c>
      <c r="X52" s="12">
        <v>1</v>
      </c>
      <c r="Y52" s="12" t="s">
        <v>31</v>
      </c>
      <c r="Z52" s="12"/>
      <c r="AA52" s="12"/>
      <c r="AB52" s="9"/>
    </row>
    <row r="53" spans="1:28" ht="14.4" customHeight="1" x14ac:dyDescent="0.3">
      <c r="A53" s="231"/>
      <c r="B53" s="18">
        <v>2211401091</v>
      </c>
      <c r="C53" s="18" t="s">
        <v>394</v>
      </c>
      <c r="D53" s="13">
        <v>248990</v>
      </c>
      <c r="E53" s="19">
        <v>2.0999999999999998E-2</v>
      </c>
      <c r="F53" s="19">
        <v>0.03</v>
      </c>
      <c r="G53" s="16">
        <v>5228.7899999999991</v>
      </c>
      <c r="H53" s="16">
        <v>7469.7</v>
      </c>
      <c r="I53" s="22"/>
      <c r="J53" s="62"/>
      <c r="K53" s="62"/>
      <c r="L53" s="62"/>
      <c r="M53" s="62"/>
      <c r="N53" s="62"/>
      <c r="O53" s="62"/>
      <c r="P53" s="108"/>
      <c r="Q53" s="108">
        <f t="shared" si="3"/>
        <v>0</v>
      </c>
      <c r="R53" s="109">
        <f t="shared" si="1"/>
        <v>0</v>
      </c>
      <c r="S53" s="12"/>
      <c r="T53" s="12"/>
      <c r="U53" s="12"/>
      <c r="V53" s="12"/>
      <c r="W53" s="12"/>
      <c r="X53" s="12"/>
      <c r="Y53" s="12"/>
      <c r="Z53" s="12"/>
      <c r="AA53" s="12" t="s">
        <v>5879</v>
      </c>
      <c r="AB53" s="9"/>
    </row>
    <row r="54" spans="1:28" ht="14.4" customHeight="1" x14ac:dyDescent="0.3">
      <c r="A54" s="231"/>
      <c r="B54" s="18">
        <v>2211401308</v>
      </c>
      <c r="C54" s="18" t="s">
        <v>5976</v>
      </c>
      <c r="D54" s="13">
        <v>186990</v>
      </c>
      <c r="E54" s="19">
        <v>2.0999999999999998E-2</v>
      </c>
      <c r="F54" s="19">
        <v>0.03</v>
      </c>
      <c r="G54" s="16">
        <v>3926.7899999999995</v>
      </c>
      <c r="H54" s="16">
        <v>5609.7</v>
      </c>
      <c r="I54" s="22"/>
      <c r="J54" s="62"/>
      <c r="K54" s="62"/>
      <c r="L54" s="62"/>
      <c r="M54" s="62"/>
      <c r="N54" s="62"/>
      <c r="O54" s="62"/>
      <c r="P54" s="108"/>
      <c r="Q54" s="108">
        <f t="shared" si="3"/>
        <v>0</v>
      </c>
      <c r="R54" s="109">
        <f t="shared" si="1"/>
        <v>0</v>
      </c>
      <c r="S54" s="12"/>
      <c r="T54" s="12"/>
      <c r="U54" s="12"/>
      <c r="V54" s="12"/>
      <c r="W54" s="12"/>
      <c r="X54" s="12"/>
      <c r="Y54" s="12"/>
      <c r="Z54" s="12"/>
      <c r="AA54" s="12" t="s">
        <v>5879</v>
      </c>
      <c r="AB54" s="9"/>
    </row>
    <row r="55" spans="1:28" ht="14.4" customHeight="1" x14ac:dyDescent="0.3">
      <c r="A55" s="231"/>
      <c r="B55" s="18">
        <v>2211401309</v>
      </c>
      <c r="C55" s="18" t="s">
        <v>5977</v>
      </c>
      <c r="D55" s="13">
        <v>238990</v>
      </c>
      <c r="E55" s="19">
        <v>2.0999999999999998E-2</v>
      </c>
      <c r="F55" s="19">
        <v>0.03</v>
      </c>
      <c r="G55" s="16">
        <v>5018.7899999999991</v>
      </c>
      <c r="H55" s="16">
        <v>7169.7</v>
      </c>
      <c r="I55" s="22"/>
      <c r="J55" s="62"/>
      <c r="K55" s="62"/>
      <c r="L55" s="62"/>
      <c r="M55" s="62"/>
      <c r="N55" s="62"/>
      <c r="O55" s="62"/>
      <c r="P55" s="108"/>
      <c r="Q55" s="108">
        <f t="shared" si="3"/>
        <v>0</v>
      </c>
      <c r="R55" s="109">
        <f t="shared" si="1"/>
        <v>0</v>
      </c>
      <c r="S55" s="12"/>
      <c r="T55" s="12"/>
      <c r="U55" s="12"/>
      <c r="V55" s="12"/>
      <c r="W55" s="12"/>
      <c r="X55" s="12"/>
      <c r="Y55" s="12"/>
      <c r="Z55" s="12"/>
      <c r="AA55" s="12" t="s">
        <v>5879</v>
      </c>
      <c r="AB55" s="9"/>
    </row>
    <row r="56" spans="1:28" ht="14.4" customHeight="1" x14ac:dyDescent="0.3">
      <c r="A56" s="231"/>
      <c r="B56" s="18">
        <v>2211401343</v>
      </c>
      <c r="C56" s="18" t="s">
        <v>5906</v>
      </c>
      <c r="D56" s="13">
        <v>289990</v>
      </c>
      <c r="E56" s="19">
        <v>2.0999999999999998E-2</v>
      </c>
      <c r="F56" s="19">
        <v>0.03</v>
      </c>
      <c r="G56" s="16">
        <v>6089.7899999999991</v>
      </c>
      <c r="H56" s="16">
        <v>8699.6999999999989</v>
      </c>
      <c r="I56" s="22" t="s">
        <v>5879</v>
      </c>
      <c r="J56" s="62"/>
      <c r="K56" s="62"/>
      <c r="L56" s="62"/>
      <c r="M56" s="62"/>
      <c r="N56" s="62"/>
      <c r="O56" s="62"/>
      <c r="P56" s="108"/>
      <c r="Q56" s="108">
        <f t="shared" si="3"/>
        <v>0</v>
      </c>
      <c r="R56" s="109">
        <f t="shared" si="1"/>
        <v>0</v>
      </c>
      <c r="S56" s="12"/>
      <c r="T56" s="12"/>
      <c r="U56" s="12"/>
      <c r="V56" s="12"/>
      <c r="W56" s="12"/>
      <c r="X56" s="12"/>
      <c r="Y56" s="12"/>
      <c r="Z56" s="12"/>
      <c r="AA56" s="12"/>
      <c r="AB56" s="9"/>
    </row>
    <row r="57" spans="1:28" ht="14.4" customHeight="1" x14ac:dyDescent="0.3">
      <c r="A57" s="231"/>
      <c r="B57" s="18">
        <v>2211401344</v>
      </c>
      <c r="C57" s="18" t="s">
        <v>5907</v>
      </c>
      <c r="D57" s="13">
        <v>341990</v>
      </c>
      <c r="E57" s="19">
        <v>2.7999999999999997E-2</v>
      </c>
      <c r="F57" s="19">
        <v>0.04</v>
      </c>
      <c r="G57" s="16">
        <v>9575.7199999999993</v>
      </c>
      <c r="H57" s="16">
        <v>13679.6</v>
      </c>
      <c r="I57" s="22" t="s">
        <v>5879</v>
      </c>
      <c r="J57" s="62"/>
      <c r="K57" s="62"/>
      <c r="L57" s="62"/>
      <c r="M57" s="62"/>
      <c r="N57" s="62"/>
      <c r="O57" s="62"/>
      <c r="P57" s="108"/>
      <c r="Q57" s="108">
        <f t="shared" si="3"/>
        <v>0</v>
      </c>
      <c r="R57" s="109">
        <f t="shared" si="1"/>
        <v>0</v>
      </c>
      <c r="S57" s="12"/>
      <c r="T57" s="12"/>
      <c r="U57" s="12"/>
      <c r="V57" s="12"/>
      <c r="W57" s="12"/>
      <c r="X57" s="12"/>
      <c r="Y57" s="12"/>
      <c r="Z57" s="12"/>
      <c r="AA57" s="12"/>
      <c r="AB57" s="9"/>
    </row>
    <row r="58" spans="1:28" ht="14.4" customHeight="1" x14ac:dyDescent="0.3">
      <c r="A58" s="242"/>
      <c r="B58" s="41">
        <v>2211401094</v>
      </c>
      <c r="C58" s="18" t="s">
        <v>391</v>
      </c>
      <c r="D58" s="13">
        <v>310990</v>
      </c>
      <c r="E58" s="19">
        <v>2.7999999999999997E-2</v>
      </c>
      <c r="F58" s="19">
        <v>0.04</v>
      </c>
      <c r="G58" s="16">
        <v>8707.7199999999993</v>
      </c>
      <c r="H58" s="17">
        <v>12439.6</v>
      </c>
      <c r="I58" s="22"/>
      <c r="J58" s="62"/>
      <c r="K58" s="62"/>
      <c r="L58" s="62"/>
      <c r="M58" s="62"/>
      <c r="N58" s="62"/>
      <c r="O58" s="62"/>
      <c r="P58" s="108"/>
      <c r="Q58" s="108">
        <f t="shared" si="3"/>
        <v>0</v>
      </c>
      <c r="R58" s="109">
        <f t="shared" si="1"/>
        <v>0</v>
      </c>
      <c r="S58" s="12" t="s">
        <v>3805</v>
      </c>
      <c r="T58" s="12">
        <v>1</v>
      </c>
      <c r="U58" s="12" t="s">
        <v>1719</v>
      </c>
      <c r="V58" s="12">
        <v>1</v>
      </c>
      <c r="W58" s="12" t="s">
        <v>2116</v>
      </c>
      <c r="X58" s="12">
        <v>1</v>
      </c>
      <c r="Y58" s="12"/>
      <c r="Z58" s="12"/>
      <c r="AA58" s="12"/>
      <c r="AB58" s="9"/>
    </row>
    <row r="59" spans="1:28" ht="14.4" customHeight="1" x14ac:dyDescent="0.3">
      <c r="A59" s="242"/>
      <c r="B59" s="41">
        <v>2211401200</v>
      </c>
      <c r="C59" s="18" t="s">
        <v>5898</v>
      </c>
      <c r="D59" s="13">
        <v>414990</v>
      </c>
      <c r="E59" s="19">
        <v>3.4999999999999996E-2</v>
      </c>
      <c r="F59" s="19">
        <v>0.05</v>
      </c>
      <c r="G59" s="16">
        <v>14524.649999999998</v>
      </c>
      <c r="H59" s="17">
        <v>20749.5</v>
      </c>
      <c r="I59" s="22" t="s">
        <v>5879</v>
      </c>
      <c r="J59" s="62"/>
      <c r="K59" s="62"/>
      <c r="L59" s="62"/>
      <c r="M59" s="62"/>
      <c r="N59" s="62"/>
      <c r="O59" s="22"/>
      <c r="P59" s="108"/>
      <c r="Q59" s="108">
        <f t="shared" si="3"/>
        <v>0</v>
      </c>
      <c r="R59" s="109">
        <f t="shared" si="1"/>
        <v>0</v>
      </c>
      <c r="S59" s="12"/>
      <c r="T59" s="12"/>
      <c r="U59" s="12"/>
      <c r="V59" s="12"/>
      <c r="W59" s="12"/>
      <c r="X59" s="12"/>
      <c r="Y59" s="12"/>
      <c r="Z59" s="12"/>
      <c r="AA59" s="12"/>
      <c r="AB59" s="9"/>
    </row>
    <row r="60" spans="1:28" ht="14.4" customHeight="1" x14ac:dyDescent="0.3">
      <c r="A60" s="242"/>
      <c r="B60" s="41">
        <v>2211401209</v>
      </c>
      <c r="C60" s="18" t="s">
        <v>5899</v>
      </c>
      <c r="D60" s="13">
        <v>517990</v>
      </c>
      <c r="E60" s="19">
        <v>3.4999999999999996E-2</v>
      </c>
      <c r="F60" s="19">
        <v>0.05</v>
      </c>
      <c r="G60" s="16">
        <v>18129.649999999998</v>
      </c>
      <c r="H60" s="17">
        <v>25899.5</v>
      </c>
      <c r="I60" s="22" t="s">
        <v>5879</v>
      </c>
      <c r="J60" s="62"/>
      <c r="K60" s="62"/>
      <c r="L60" s="62"/>
      <c r="M60" s="62"/>
      <c r="N60" s="62"/>
      <c r="O60" s="22"/>
      <c r="P60" s="108"/>
      <c r="Q60" s="108">
        <f t="shared" si="3"/>
        <v>0</v>
      </c>
      <c r="R60" s="109">
        <f t="shared" si="1"/>
        <v>0</v>
      </c>
      <c r="S60" s="12"/>
      <c r="T60" s="12"/>
      <c r="U60" s="12"/>
      <c r="V60" s="12"/>
      <c r="W60" s="12"/>
      <c r="X60" s="12"/>
      <c r="Y60" s="12"/>
      <c r="Z60" s="12"/>
      <c r="AA60" s="12"/>
      <c r="AB60" s="9"/>
    </row>
    <row r="61" spans="1:28" ht="14.4" customHeight="1" x14ac:dyDescent="0.3">
      <c r="A61" s="242"/>
      <c r="B61" s="41">
        <v>2211401093</v>
      </c>
      <c r="C61" s="18" t="s">
        <v>392</v>
      </c>
      <c r="D61" s="13">
        <v>310990</v>
      </c>
      <c r="E61" s="19">
        <v>2.7999999999999997E-2</v>
      </c>
      <c r="F61" s="19">
        <v>0.04</v>
      </c>
      <c r="G61" s="16">
        <v>8707.7199999999993</v>
      </c>
      <c r="H61" s="17">
        <v>12439.6</v>
      </c>
      <c r="I61" s="22"/>
      <c r="J61" s="62"/>
      <c r="K61" s="62"/>
      <c r="L61" s="62"/>
      <c r="M61" s="62"/>
      <c r="N61" s="62"/>
      <c r="O61" s="62"/>
      <c r="P61" s="108"/>
      <c r="Q61" s="108">
        <f t="shared" si="3"/>
        <v>0</v>
      </c>
      <c r="R61" s="109">
        <f t="shared" si="1"/>
        <v>0</v>
      </c>
      <c r="S61" s="12" t="s">
        <v>3804</v>
      </c>
      <c r="T61" s="12">
        <v>1</v>
      </c>
      <c r="U61" s="12" t="s">
        <v>5307</v>
      </c>
      <c r="V61" s="12">
        <v>1</v>
      </c>
      <c r="W61" s="12"/>
      <c r="X61" s="12"/>
      <c r="Y61" s="12" t="s">
        <v>392</v>
      </c>
      <c r="Z61" s="12"/>
      <c r="AA61" s="12"/>
      <c r="AB61" s="9"/>
    </row>
    <row r="62" spans="1:28" ht="14.4" customHeight="1" thickBot="1" x14ac:dyDescent="0.35">
      <c r="A62" s="242"/>
      <c r="B62" s="41">
        <v>2211401092</v>
      </c>
      <c r="C62" s="18" t="s">
        <v>393</v>
      </c>
      <c r="D62" s="13">
        <v>248990</v>
      </c>
      <c r="E62" s="19">
        <v>2.7999999999999997E-2</v>
      </c>
      <c r="F62" s="19">
        <v>0.04</v>
      </c>
      <c r="G62" s="16">
        <v>6971.7199999999993</v>
      </c>
      <c r="H62" s="17">
        <v>9959.6</v>
      </c>
      <c r="I62" s="22"/>
      <c r="J62" s="62"/>
      <c r="K62" s="62"/>
      <c r="L62" s="62"/>
      <c r="M62" s="62"/>
      <c r="N62" s="62"/>
      <c r="O62" s="62"/>
      <c r="P62" s="108"/>
      <c r="Q62" s="108">
        <f t="shared" si="3"/>
        <v>0</v>
      </c>
      <c r="R62" s="109">
        <f t="shared" si="1"/>
        <v>0</v>
      </c>
      <c r="S62" s="12" t="s">
        <v>3800</v>
      </c>
      <c r="T62" s="12">
        <v>1</v>
      </c>
      <c r="U62" s="12" t="s">
        <v>5308</v>
      </c>
      <c r="V62" s="12">
        <v>1</v>
      </c>
      <c r="W62" s="12" t="s">
        <v>2115</v>
      </c>
      <c r="X62" s="12">
        <v>1</v>
      </c>
      <c r="Y62" s="12"/>
      <c r="Z62" s="12"/>
      <c r="AA62" s="12"/>
      <c r="AB62" s="9"/>
    </row>
    <row r="63" spans="1:28" ht="15" customHeight="1" thickBot="1" x14ac:dyDescent="0.35">
      <c r="A63" s="243" t="s">
        <v>5946</v>
      </c>
      <c r="B63" s="244"/>
      <c r="C63" s="244"/>
      <c r="D63" s="244"/>
      <c r="E63" s="244"/>
      <c r="F63" s="244"/>
      <c r="G63" s="244"/>
      <c r="H63" s="244"/>
      <c r="I63" s="105"/>
      <c r="J63" s="105"/>
      <c r="K63" s="105"/>
      <c r="L63" s="105"/>
      <c r="M63" s="105"/>
      <c r="N63" s="105"/>
      <c r="O63" s="105"/>
      <c r="P63" s="106">
        <f t="shared" ref="P63:Z63" si="4">SUM(P25:P62)</f>
        <v>0</v>
      </c>
      <c r="Q63" s="106">
        <f>SUM(Q25:Q62)</f>
        <v>0</v>
      </c>
      <c r="R63" s="106">
        <f t="shared" si="4"/>
        <v>0</v>
      </c>
      <c r="S63" s="106">
        <f t="shared" si="4"/>
        <v>0</v>
      </c>
      <c r="T63" s="106">
        <f t="shared" si="4"/>
        <v>11</v>
      </c>
      <c r="U63" s="106">
        <f t="shared" si="4"/>
        <v>0</v>
      </c>
      <c r="V63" s="106">
        <f t="shared" si="4"/>
        <v>11</v>
      </c>
      <c r="W63" s="106">
        <f t="shared" si="4"/>
        <v>0</v>
      </c>
      <c r="X63" s="106">
        <f t="shared" si="4"/>
        <v>10</v>
      </c>
      <c r="Y63" s="106">
        <f t="shared" si="4"/>
        <v>0</v>
      </c>
      <c r="Z63" s="106">
        <f t="shared" si="4"/>
        <v>0</v>
      </c>
      <c r="AA63" s="151" t="s">
        <v>5963</v>
      </c>
      <c r="AB63" s="9"/>
    </row>
    <row r="64" spans="1:28" ht="28.95" customHeight="1" x14ac:dyDescent="0.3">
      <c r="A64" s="230" t="s">
        <v>5911</v>
      </c>
      <c r="B64" s="78" t="s">
        <v>4</v>
      </c>
      <c r="C64" s="79"/>
      <c r="D64" s="79"/>
      <c r="E64" s="79"/>
      <c r="F64" s="79"/>
      <c r="G64" s="79"/>
      <c r="H64" s="80"/>
      <c r="I64" s="46"/>
      <c r="J64" s="47"/>
      <c r="K64" s="47"/>
      <c r="L64" s="47"/>
      <c r="M64" s="47"/>
      <c r="N64" s="47"/>
      <c r="O64" s="48"/>
      <c r="P64" s="75" t="s">
        <v>405</v>
      </c>
      <c r="Q64" s="76" t="s">
        <v>406</v>
      </c>
      <c r="R64" s="77" t="s">
        <v>407</v>
      </c>
      <c r="S64" s="12"/>
      <c r="T64" s="12"/>
      <c r="U64" s="12"/>
      <c r="V64" s="12"/>
      <c r="W64" s="12"/>
      <c r="X64" s="12"/>
      <c r="Y64" s="12"/>
      <c r="Z64" s="12"/>
      <c r="AA64" s="12"/>
      <c r="AB64" s="9"/>
    </row>
    <row r="65" spans="1:29" ht="15" customHeight="1" x14ac:dyDescent="0.3">
      <c r="A65" s="231"/>
      <c r="B65" s="39">
        <v>1830008652</v>
      </c>
      <c r="C65" s="30" t="s">
        <v>5877</v>
      </c>
      <c r="D65" s="13">
        <v>81990</v>
      </c>
      <c r="E65" s="14">
        <v>2.4E-2</v>
      </c>
      <c r="F65" s="31">
        <v>0.04</v>
      </c>
      <c r="G65" s="16">
        <v>1967.76</v>
      </c>
      <c r="H65" s="17">
        <v>3279.6</v>
      </c>
      <c r="I65" s="51"/>
      <c r="J65" s="12"/>
      <c r="K65" s="12"/>
      <c r="L65" s="12"/>
      <c r="M65" s="12"/>
      <c r="N65" s="12"/>
      <c r="O65" s="56" t="s">
        <v>5652</v>
      </c>
      <c r="P65" s="108"/>
      <c r="Q65" s="108">
        <f>P65*G65</f>
        <v>0</v>
      </c>
      <c r="R65" s="109">
        <f t="shared" si="1"/>
        <v>0</v>
      </c>
      <c r="S65" s="12"/>
      <c r="T65" s="12"/>
      <c r="U65" s="12"/>
      <c r="V65" s="12"/>
      <c r="W65" s="12"/>
      <c r="X65" s="12"/>
      <c r="Y65" s="12"/>
      <c r="Z65" s="12"/>
      <c r="AA65" s="12"/>
      <c r="AB65" s="9"/>
    </row>
    <row r="66" spans="1:29" ht="15" customHeight="1" x14ac:dyDescent="0.3">
      <c r="A66" s="231"/>
      <c r="B66" s="39">
        <v>1830008887</v>
      </c>
      <c r="C66" s="30" t="s">
        <v>5446</v>
      </c>
      <c r="D66" s="13">
        <v>69990</v>
      </c>
      <c r="E66" s="14">
        <v>2.1000000000000001E-2</v>
      </c>
      <c r="F66" s="31">
        <v>3.5000000000000003E-2</v>
      </c>
      <c r="G66" s="16">
        <v>1469.7900000000002</v>
      </c>
      <c r="H66" s="17">
        <v>2449.65</v>
      </c>
      <c r="I66" s="51"/>
      <c r="J66" s="12"/>
      <c r="K66" s="12"/>
      <c r="L66" s="12"/>
      <c r="M66" s="12"/>
      <c r="N66" s="12"/>
      <c r="O66" s="56"/>
      <c r="P66" s="108"/>
      <c r="Q66" s="108">
        <f t="shared" si="3"/>
        <v>0</v>
      </c>
      <c r="R66" s="109">
        <f t="shared" si="1"/>
        <v>0</v>
      </c>
      <c r="S66" s="12"/>
      <c r="T66" s="12"/>
      <c r="U66" s="12"/>
      <c r="V66" s="12"/>
      <c r="W66" s="12"/>
      <c r="X66" s="12"/>
      <c r="Y66" s="12"/>
      <c r="Z66" s="12"/>
      <c r="AA66" s="12"/>
      <c r="AB66" s="9"/>
    </row>
    <row r="67" spans="1:29" ht="15" customHeight="1" x14ac:dyDescent="0.3">
      <c r="A67" s="231"/>
      <c r="B67" s="39">
        <v>1830008904</v>
      </c>
      <c r="C67" s="30" t="s">
        <v>5982</v>
      </c>
      <c r="D67" s="13">
        <v>134990</v>
      </c>
      <c r="E67" s="14">
        <v>0.03</v>
      </c>
      <c r="F67" s="31">
        <v>0.05</v>
      </c>
      <c r="G67" s="16">
        <v>4049.7</v>
      </c>
      <c r="H67" s="17">
        <v>6749.5</v>
      </c>
      <c r="I67" s="51"/>
      <c r="J67" s="12"/>
      <c r="K67" s="12"/>
      <c r="L67" s="12"/>
      <c r="M67" s="12"/>
      <c r="N67" s="12"/>
      <c r="O67" s="56"/>
      <c r="P67" s="108"/>
      <c r="Q67" s="108">
        <f t="shared" si="3"/>
        <v>0</v>
      </c>
      <c r="R67" s="109">
        <f t="shared" si="1"/>
        <v>0</v>
      </c>
      <c r="S67" s="12"/>
      <c r="T67" s="12"/>
      <c r="U67" s="12"/>
      <c r="V67" s="12"/>
      <c r="W67" s="12"/>
      <c r="X67" s="12"/>
      <c r="Y67" s="12"/>
      <c r="Z67" s="12"/>
      <c r="AA67" s="12"/>
      <c r="AB67" s="9"/>
    </row>
    <row r="68" spans="1:29" ht="15" customHeight="1" x14ac:dyDescent="0.3">
      <c r="A68" s="231"/>
      <c r="B68" s="41">
        <v>1830007809</v>
      </c>
      <c r="C68" s="30" t="s">
        <v>410</v>
      </c>
      <c r="D68" s="13">
        <v>62990</v>
      </c>
      <c r="E68" s="14">
        <v>1.7999999999999999E-2</v>
      </c>
      <c r="F68" s="31">
        <v>0.03</v>
      </c>
      <c r="G68" s="16">
        <v>1133.82</v>
      </c>
      <c r="H68" s="17">
        <v>1889.6999999999998</v>
      </c>
      <c r="I68" s="51"/>
      <c r="J68" s="12"/>
      <c r="K68" s="12"/>
      <c r="L68" s="12"/>
      <c r="M68" s="12"/>
      <c r="N68" s="12"/>
      <c r="O68" s="56"/>
      <c r="P68" s="108"/>
      <c r="Q68" s="108">
        <f t="shared" si="3"/>
        <v>0</v>
      </c>
      <c r="R68" s="109">
        <f t="shared" si="1"/>
        <v>0</v>
      </c>
      <c r="S68" s="12"/>
      <c r="T68" s="12"/>
      <c r="U68" s="12"/>
      <c r="V68" s="12"/>
      <c r="W68" s="12"/>
      <c r="X68" s="12"/>
      <c r="Y68" s="12"/>
      <c r="Z68" s="12"/>
      <c r="AA68" s="12"/>
      <c r="AB68" s="9"/>
    </row>
    <row r="69" spans="1:29" ht="15" customHeight="1" x14ac:dyDescent="0.3">
      <c r="A69" s="231"/>
      <c r="B69" s="41">
        <v>1830007715</v>
      </c>
      <c r="C69" s="30" t="s">
        <v>409</v>
      </c>
      <c r="D69" s="13">
        <v>59990</v>
      </c>
      <c r="E69" s="14">
        <v>1.7999999999999999E-2</v>
      </c>
      <c r="F69" s="31">
        <v>0.03</v>
      </c>
      <c r="G69" s="16">
        <v>1079.82</v>
      </c>
      <c r="H69" s="17">
        <v>1799.7</v>
      </c>
      <c r="I69" s="51"/>
      <c r="J69" s="12"/>
      <c r="K69" s="12"/>
      <c r="L69" s="12"/>
      <c r="M69" s="12"/>
      <c r="N69" s="12"/>
      <c r="O69" s="56"/>
      <c r="P69" s="108"/>
      <c r="Q69" s="108">
        <f t="shared" si="3"/>
        <v>0</v>
      </c>
      <c r="R69" s="109">
        <f t="shared" si="1"/>
        <v>0</v>
      </c>
      <c r="S69" s="12"/>
      <c r="T69" s="12"/>
      <c r="U69" s="12"/>
      <c r="V69" s="12"/>
      <c r="W69" s="12"/>
      <c r="X69" s="12"/>
      <c r="Y69" s="12"/>
      <c r="Z69" s="12"/>
      <c r="AA69" s="12"/>
      <c r="AB69" s="9"/>
    </row>
    <row r="70" spans="1:29" ht="15" customHeight="1" x14ac:dyDescent="0.3">
      <c r="A70" s="231"/>
      <c r="B70" s="41">
        <v>1830009573</v>
      </c>
      <c r="C70" s="30" t="s">
        <v>5984</v>
      </c>
      <c r="D70" s="13">
        <v>103990</v>
      </c>
      <c r="E70" s="14">
        <v>2.4E-2</v>
      </c>
      <c r="F70" s="31">
        <v>0.04</v>
      </c>
      <c r="G70" s="16">
        <v>2495.7600000000002</v>
      </c>
      <c r="H70" s="17">
        <v>4159.6000000000004</v>
      </c>
      <c r="I70" s="51"/>
      <c r="J70" s="12"/>
      <c r="K70" s="12"/>
      <c r="L70" s="12"/>
      <c r="M70" s="12"/>
      <c r="N70" s="12"/>
      <c r="O70" s="56"/>
      <c r="P70" s="108"/>
      <c r="Q70" s="108">
        <f t="shared" si="3"/>
        <v>0</v>
      </c>
      <c r="R70" s="109">
        <f t="shared" si="1"/>
        <v>0</v>
      </c>
      <c r="S70" s="12"/>
      <c r="T70" s="12"/>
      <c r="U70" s="12"/>
      <c r="V70" s="12"/>
      <c r="W70" s="12"/>
      <c r="X70" s="12"/>
      <c r="Y70" s="12"/>
      <c r="Z70" s="12"/>
      <c r="AA70" s="12"/>
      <c r="AB70" s="9"/>
    </row>
    <row r="71" spans="1:29" ht="15" customHeight="1" x14ac:dyDescent="0.3">
      <c r="A71" s="231"/>
      <c r="B71" s="41">
        <v>1830008649</v>
      </c>
      <c r="C71" s="30" t="s">
        <v>5444</v>
      </c>
      <c r="D71" s="13">
        <v>74990</v>
      </c>
      <c r="E71" s="14">
        <v>2.1000000000000001E-2</v>
      </c>
      <c r="F71" s="31">
        <v>3.5000000000000003E-2</v>
      </c>
      <c r="G71" s="16">
        <v>1574.7900000000002</v>
      </c>
      <c r="H71" s="17">
        <v>2624.65</v>
      </c>
      <c r="I71" s="51"/>
      <c r="J71" s="12"/>
      <c r="K71" s="12"/>
      <c r="L71" s="12"/>
      <c r="M71" s="12"/>
      <c r="N71" s="12"/>
      <c r="O71" s="56"/>
      <c r="P71" s="108"/>
      <c r="Q71" s="108">
        <f t="shared" si="3"/>
        <v>0</v>
      </c>
      <c r="R71" s="109">
        <f t="shared" si="1"/>
        <v>0</v>
      </c>
      <c r="S71" s="12"/>
      <c r="T71" s="12"/>
      <c r="U71" s="12"/>
      <c r="V71" s="12"/>
      <c r="W71" s="12"/>
      <c r="X71" s="12"/>
      <c r="Y71" s="12"/>
      <c r="Z71" s="12"/>
      <c r="AA71" s="12"/>
      <c r="AB71" s="9"/>
    </row>
    <row r="72" spans="1:29" ht="15" customHeight="1" x14ac:dyDescent="0.3">
      <c r="A72" s="231"/>
      <c r="B72" s="43">
        <v>1830007146</v>
      </c>
      <c r="C72" s="25" t="s">
        <v>5</v>
      </c>
      <c r="D72" s="13">
        <v>119990</v>
      </c>
      <c r="E72" s="14">
        <v>2.4E-2</v>
      </c>
      <c r="F72" s="32">
        <v>0.04</v>
      </c>
      <c r="G72" s="16">
        <v>2879.76</v>
      </c>
      <c r="H72" s="17">
        <v>4799.6000000000004</v>
      </c>
      <c r="I72" s="51"/>
      <c r="J72" s="12" t="s">
        <v>131</v>
      </c>
      <c r="K72" s="12" t="s">
        <v>284</v>
      </c>
      <c r="L72" s="12" t="s">
        <v>222</v>
      </c>
      <c r="M72" s="12" t="s">
        <v>5</v>
      </c>
      <c r="N72" s="12"/>
      <c r="O72" s="12"/>
      <c r="P72" s="108"/>
      <c r="Q72" s="108">
        <f t="shared" si="3"/>
        <v>0</v>
      </c>
      <c r="R72" s="109">
        <f t="shared" si="1"/>
        <v>0</v>
      </c>
      <c r="S72" s="12" t="s">
        <v>131</v>
      </c>
      <c r="T72" s="12">
        <v>1</v>
      </c>
      <c r="U72" s="12" t="s">
        <v>877</v>
      </c>
      <c r="V72" s="12">
        <v>1</v>
      </c>
      <c r="W72" s="12" t="s">
        <v>222</v>
      </c>
      <c r="X72" s="12">
        <v>1</v>
      </c>
      <c r="Y72" s="12" t="s">
        <v>5</v>
      </c>
      <c r="Z72" s="12"/>
      <c r="AA72" s="12"/>
      <c r="AB72" s="9"/>
      <c r="AC72" s="195"/>
    </row>
    <row r="73" spans="1:29" ht="15" customHeight="1" x14ac:dyDescent="0.3">
      <c r="A73" s="231"/>
      <c r="B73" s="43">
        <v>1830007142</v>
      </c>
      <c r="C73" s="25" t="s">
        <v>2286</v>
      </c>
      <c r="D73" s="13">
        <v>99990</v>
      </c>
      <c r="E73" s="14">
        <v>2.4E-2</v>
      </c>
      <c r="F73" s="32">
        <v>0.04</v>
      </c>
      <c r="G73" s="16">
        <v>2399.7600000000002</v>
      </c>
      <c r="H73" s="17">
        <v>3999.6</v>
      </c>
      <c r="I73" s="51"/>
      <c r="J73" s="12"/>
      <c r="K73" s="12"/>
      <c r="L73" s="12"/>
      <c r="M73" s="12"/>
      <c r="N73" s="12"/>
      <c r="O73" s="20" t="s">
        <v>5652</v>
      </c>
      <c r="P73" s="108"/>
      <c r="Q73" s="108">
        <f t="shared" si="3"/>
        <v>0</v>
      </c>
      <c r="R73" s="109">
        <f t="shared" si="1"/>
        <v>0</v>
      </c>
      <c r="S73" s="12"/>
      <c r="T73" s="12"/>
      <c r="U73" s="12"/>
      <c r="V73" s="12"/>
      <c r="W73" s="12"/>
      <c r="X73" s="12"/>
      <c r="Y73" s="12"/>
      <c r="Z73" s="12"/>
      <c r="AA73" s="12"/>
      <c r="AB73" s="9"/>
      <c r="AC73" s="195"/>
    </row>
    <row r="74" spans="1:29" ht="15" customHeight="1" x14ac:dyDescent="0.3">
      <c r="A74" s="231"/>
      <c r="B74" s="87" t="s">
        <v>11</v>
      </c>
      <c r="C74" s="88"/>
      <c r="D74" s="88"/>
      <c r="E74" s="88"/>
      <c r="F74" s="88"/>
      <c r="G74" s="88"/>
      <c r="H74" s="89"/>
      <c r="I74" s="51"/>
      <c r="J74" s="12"/>
      <c r="K74" s="12"/>
      <c r="L74" s="12"/>
      <c r="M74" s="12"/>
      <c r="N74" s="12"/>
      <c r="O74" s="50"/>
      <c r="P74" s="108"/>
      <c r="Q74" s="108">
        <f t="shared" si="3"/>
        <v>0</v>
      </c>
      <c r="R74" s="109">
        <f t="shared" si="1"/>
        <v>0</v>
      </c>
      <c r="S74" s="12"/>
      <c r="T74" s="12"/>
      <c r="U74" s="12"/>
      <c r="V74" s="12"/>
      <c r="W74" s="12"/>
      <c r="X74" s="12"/>
      <c r="Y74" s="12"/>
      <c r="Z74" s="12"/>
      <c r="AA74" s="12"/>
      <c r="AB74" s="9"/>
      <c r="AC74" s="195"/>
    </row>
    <row r="75" spans="1:29" ht="15" customHeight="1" x14ac:dyDescent="0.3">
      <c r="A75" s="231"/>
      <c r="B75" s="25">
        <v>1830009515</v>
      </c>
      <c r="C75" s="25" t="s">
        <v>5974</v>
      </c>
      <c r="D75" s="13">
        <v>119990</v>
      </c>
      <c r="E75" s="14">
        <v>0.06</v>
      </c>
      <c r="F75" s="33">
        <v>0.06</v>
      </c>
      <c r="G75" s="16">
        <v>7199.4</v>
      </c>
      <c r="H75" s="16">
        <v>7199.4</v>
      </c>
      <c r="I75" s="51"/>
      <c r="J75" s="12"/>
      <c r="K75" s="12"/>
      <c r="L75" s="12"/>
      <c r="M75" s="12"/>
      <c r="N75" s="12"/>
      <c r="O75" s="12"/>
      <c r="P75" s="108"/>
      <c r="Q75" s="108">
        <f t="shared" si="3"/>
        <v>0</v>
      </c>
      <c r="R75" s="109">
        <f t="shared" si="1"/>
        <v>0</v>
      </c>
      <c r="S75" s="92"/>
      <c r="T75" s="92"/>
      <c r="U75" s="92"/>
      <c r="V75" s="92"/>
      <c r="W75" s="92"/>
      <c r="X75" s="92"/>
      <c r="Y75" s="92"/>
      <c r="Z75" s="92"/>
      <c r="AA75" s="92" t="s">
        <v>5879</v>
      </c>
      <c r="AB75" s="11"/>
      <c r="AC75" s="195"/>
    </row>
    <row r="76" spans="1:29" ht="15" customHeight="1" x14ac:dyDescent="0.3">
      <c r="A76" s="231"/>
      <c r="B76" s="25">
        <v>1830009777</v>
      </c>
      <c r="C76" s="25" t="s">
        <v>5983</v>
      </c>
      <c r="D76" s="13">
        <v>99990</v>
      </c>
      <c r="E76" s="14">
        <v>0.06</v>
      </c>
      <c r="F76" s="33">
        <v>0.06</v>
      </c>
      <c r="G76" s="16">
        <v>5999.4</v>
      </c>
      <c r="H76" s="16">
        <v>5999.4</v>
      </c>
      <c r="I76" s="51"/>
      <c r="J76" s="12"/>
      <c r="K76" s="12"/>
      <c r="L76" s="12"/>
      <c r="M76" s="12"/>
      <c r="N76" s="12"/>
      <c r="O76" s="12"/>
      <c r="P76" s="108"/>
      <c r="Q76" s="108">
        <f t="shared" si="3"/>
        <v>0</v>
      </c>
      <c r="R76" s="109">
        <f t="shared" si="1"/>
        <v>0</v>
      </c>
      <c r="S76" s="92"/>
      <c r="T76" s="92"/>
      <c r="U76" s="92"/>
      <c r="V76" s="92"/>
      <c r="W76" s="92"/>
      <c r="X76" s="92"/>
      <c r="Y76" s="92"/>
      <c r="Z76" s="92"/>
      <c r="AA76" s="92"/>
      <c r="AB76" s="11"/>
    </row>
    <row r="77" spans="1:29" ht="15" customHeight="1" x14ac:dyDescent="0.3">
      <c r="A77" s="231"/>
      <c r="B77" s="25">
        <v>1830009865</v>
      </c>
      <c r="C77" s="25" t="s">
        <v>6001</v>
      </c>
      <c r="D77" s="13">
        <v>139990</v>
      </c>
      <c r="E77" s="14">
        <v>7.0000000000000007E-2</v>
      </c>
      <c r="F77" s="33">
        <v>7.0000000000000007E-2</v>
      </c>
      <c r="G77" s="16">
        <v>9799.3000000000011</v>
      </c>
      <c r="H77" s="16">
        <v>9799.3000000000011</v>
      </c>
      <c r="I77" s="171"/>
      <c r="J77" s="92"/>
      <c r="K77" s="92"/>
      <c r="L77" s="92"/>
      <c r="M77" s="92"/>
      <c r="N77" s="92"/>
      <c r="O77" s="92"/>
      <c r="P77" s="108"/>
      <c r="Q77" s="108">
        <f t="shared" si="3"/>
        <v>0</v>
      </c>
      <c r="R77" s="109"/>
      <c r="S77" s="92"/>
      <c r="T77" s="92"/>
      <c r="U77" s="92"/>
      <c r="V77" s="92"/>
      <c r="W77" s="92"/>
      <c r="X77" s="92"/>
      <c r="Y77" s="92"/>
      <c r="Z77" s="92"/>
      <c r="AA77" s="92"/>
      <c r="AB77" s="11"/>
    </row>
    <row r="78" spans="1:29" ht="15" customHeight="1" x14ac:dyDescent="0.3">
      <c r="A78" s="231"/>
      <c r="B78" s="25">
        <v>1830009866</v>
      </c>
      <c r="C78" s="25" t="s">
        <v>6002</v>
      </c>
      <c r="D78" s="13">
        <v>149990</v>
      </c>
      <c r="E78" s="14">
        <v>7.0000000000000007E-2</v>
      </c>
      <c r="F78" s="33">
        <v>7.0000000000000007E-2</v>
      </c>
      <c r="G78" s="16">
        <v>10499.300000000001</v>
      </c>
      <c r="H78" s="16">
        <v>10499.300000000001</v>
      </c>
      <c r="I78" s="171"/>
      <c r="J78" s="92"/>
      <c r="K78" s="92"/>
      <c r="L78" s="92"/>
      <c r="M78" s="92"/>
      <c r="N78" s="92"/>
      <c r="O78" s="92"/>
      <c r="P78" s="108"/>
      <c r="Q78" s="108">
        <f t="shared" si="3"/>
        <v>0</v>
      </c>
      <c r="R78" s="109"/>
      <c r="S78" s="92"/>
      <c r="T78" s="92"/>
      <c r="U78" s="92"/>
      <c r="V78" s="92"/>
      <c r="W78" s="92"/>
      <c r="X78" s="92"/>
      <c r="Y78" s="92"/>
      <c r="Z78" s="92"/>
      <c r="AA78" s="92"/>
      <c r="AB78" s="11"/>
    </row>
    <row r="79" spans="1:29" ht="15" customHeight="1" x14ac:dyDescent="0.3">
      <c r="A79" s="231"/>
      <c r="B79" s="25">
        <v>1830009106</v>
      </c>
      <c r="C79" s="25" t="s">
        <v>5890</v>
      </c>
      <c r="D79" s="13">
        <v>517990</v>
      </c>
      <c r="E79" s="14">
        <v>0.03</v>
      </c>
      <c r="F79" s="33">
        <v>0.05</v>
      </c>
      <c r="G79" s="16">
        <v>15539.699999999999</v>
      </c>
      <c r="H79" s="16">
        <v>25899.5</v>
      </c>
      <c r="I79" s="51"/>
      <c r="J79" s="12"/>
      <c r="K79" s="12"/>
      <c r="L79" s="12"/>
      <c r="M79" s="12"/>
      <c r="N79" s="12"/>
      <c r="O79" s="12"/>
      <c r="P79" s="108"/>
      <c r="Q79" s="108">
        <f t="shared" si="3"/>
        <v>0</v>
      </c>
      <c r="R79" s="109">
        <f t="shared" si="1"/>
        <v>0</v>
      </c>
      <c r="S79" s="12"/>
      <c r="T79" s="12"/>
      <c r="U79" s="12"/>
      <c r="V79" s="12"/>
      <c r="W79" s="12"/>
      <c r="X79" s="12"/>
      <c r="Y79" s="12"/>
      <c r="Z79" s="12"/>
      <c r="AA79" s="12"/>
      <c r="AB79" s="11"/>
    </row>
    <row r="80" spans="1:29" ht="15" customHeight="1" x14ac:dyDescent="0.3">
      <c r="A80" s="231"/>
      <c r="B80" s="166">
        <v>1830008290</v>
      </c>
      <c r="C80" s="25" t="s">
        <v>15</v>
      </c>
      <c r="D80" s="13">
        <v>289990</v>
      </c>
      <c r="E80" s="14">
        <v>0.03</v>
      </c>
      <c r="F80" s="33">
        <v>0.05</v>
      </c>
      <c r="G80" s="16">
        <v>8699.6999999999989</v>
      </c>
      <c r="H80" s="167">
        <v>14499.5</v>
      </c>
      <c r="I80" s="51"/>
      <c r="J80" s="12"/>
      <c r="K80" s="12"/>
      <c r="L80" s="12"/>
      <c r="M80" s="12"/>
      <c r="N80" s="12"/>
      <c r="O80" s="12"/>
      <c r="P80" s="108"/>
      <c r="Q80" s="108">
        <f t="shared" si="3"/>
        <v>0</v>
      </c>
      <c r="R80" s="109">
        <f t="shared" si="1"/>
        <v>0</v>
      </c>
      <c r="S80" s="12"/>
      <c r="T80" s="12"/>
      <c r="U80" s="12"/>
      <c r="V80" s="12"/>
      <c r="W80" s="12"/>
      <c r="X80" s="12"/>
      <c r="Y80" s="12"/>
      <c r="Z80" s="12"/>
      <c r="AA80" s="12"/>
      <c r="AB80" s="11"/>
    </row>
    <row r="81" spans="1:28" ht="15" customHeight="1" x14ac:dyDescent="0.3">
      <c r="A81" s="231"/>
      <c r="B81" s="43">
        <v>1830007520</v>
      </c>
      <c r="C81" s="25" t="s">
        <v>7</v>
      </c>
      <c r="D81" s="13">
        <v>341990</v>
      </c>
      <c r="E81" s="14">
        <v>2.4E-2</v>
      </c>
      <c r="F81" s="32">
        <v>0.04</v>
      </c>
      <c r="G81" s="16">
        <v>8207.76</v>
      </c>
      <c r="H81" s="17">
        <v>13679.6</v>
      </c>
      <c r="I81" s="51"/>
      <c r="J81" s="12" t="s">
        <v>132</v>
      </c>
      <c r="K81" s="12" t="s">
        <v>285</v>
      </c>
      <c r="L81" s="12" t="s">
        <v>223</v>
      </c>
      <c r="M81" s="12" t="s">
        <v>7</v>
      </c>
      <c r="N81" s="12"/>
      <c r="O81" s="12"/>
      <c r="P81" s="108"/>
      <c r="Q81" s="108">
        <f t="shared" si="3"/>
        <v>0</v>
      </c>
      <c r="R81" s="109">
        <f t="shared" si="1"/>
        <v>0</v>
      </c>
      <c r="S81" s="12" t="s">
        <v>132</v>
      </c>
      <c r="T81" s="12">
        <v>1</v>
      </c>
      <c r="U81" s="12" t="s">
        <v>285</v>
      </c>
      <c r="V81" s="12">
        <v>1</v>
      </c>
      <c r="W81" s="12" t="s">
        <v>223</v>
      </c>
      <c r="X81" s="12">
        <v>1</v>
      </c>
      <c r="Y81" s="12" t="s">
        <v>7</v>
      </c>
      <c r="Z81" s="12"/>
      <c r="AA81" s="12"/>
      <c r="AB81" s="9"/>
    </row>
    <row r="82" spans="1:28" ht="15" customHeight="1" x14ac:dyDescent="0.3">
      <c r="A82" s="231"/>
      <c r="B82" s="43">
        <v>1830009742</v>
      </c>
      <c r="C82" s="25" t="s">
        <v>5999</v>
      </c>
      <c r="D82" s="13">
        <v>149990</v>
      </c>
      <c r="E82" s="14">
        <v>2.4E-2</v>
      </c>
      <c r="F82" s="32">
        <v>0.04</v>
      </c>
      <c r="G82" s="16">
        <v>3599.76</v>
      </c>
      <c r="H82" s="17">
        <v>5999.6</v>
      </c>
      <c r="I82" s="51"/>
      <c r="J82" s="12"/>
      <c r="K82" s="12"/>
      <c r="L82" s="12"/>
      <c r="M82" s="12"/>
      <c r="N82" s="12"/>
      <c r="O82" s="12"/>
      <c r="P82" s="108"/>
      <c r="Q82" s="108">
        <f t="shared" si="3"/>
        <v>0</v>
      </c>
      <c r="R82" s="109">
        <f t="shared" si="1"/>
        <v>0</v>
      </c>
      <c r="S82" s="12"/>
      <c r="T82" s="12"/>
      <c r="U82" s="12"/>
      <c r="V82" s="12"/>
      <c r="W82" s="12"/>
      <c r="X82" s="12"/>
      <c r="Y82" s="12"/>
      <c r="Z82" s="12"/>
      <c r="AA82" s="12"/>
      <c r="AB82" s="11"/>
    </row>
    <row r="83" spans="1:28" ht="15" customHeight="1" x14ac:dyDescent="0.3">
      <c r="A83" s="231"/>
      <c r="B83" s="43">
        <v>1830009564</v>
      </c>
      <c r="C83" s="25" t="s">
        <v>5975</v>
      </c>
      <c r="D83" s="13">
        <v>349990</v>
      </c>
      <c r="E83" s="14">
        <v>0.03</v>
      </c>
      <c r="F83" s="32">
        <v>0.05</v>
      </c>
      <c r="G83" s="16">
        <v>10499.699999999999</v>
      </c>
      <c r="H83" s="17">
        <v>17499.5</v>
      </c>
      <c r="I83" s="51"/>
      <c r="J83" s="12"/>
      <c r="K83" s="12"/>
      <c r="L83" s="12"/>
      <c r="M83" s="12"/>
      <c r="N83" s="12"/>
      <c r="O83" s="12"/>
      <c r="P83" s="108"/>
      <c r="Q83" s="108">
        <f t="shared" si="3"/>
        <v>0</v>
      </c>
      <c r="R83" s="109">
        <f t="shared" si="1"/>
        <v>0</v>
      </c>
      <c r="S83" s="92"/>
      <c r="T83" s="92"/>
      <c r="U83" s="92"/>
      <c r="V83" s="92"/>
      <c r="W83" s="92"/>
      <c r="X83" s="92"/>
      <c r="Y83" s="92"/>
      <c r="Z83" s="92"/>
      <c r="AA83" s="92" t="s">
        <v>5879</v>
      </c>
      <c r="AB83" s="9"/>
    </row>
    <row r="84" spans="1:28" ht="15" customHeight="1" x14ac:dyDescent="0.3">
      <c r="A84" s="231"/>
      <c r="B84" s="43">
        <v>1830009481</v>
      </c>
      <c r="C84" s="25" t="s">
        <v>5924</v>
      </c>
      <c r="D84" s="13">
        <v>414990</v>
      </c>
      <c r="E84" s="14">
        <v>2.7E-2</v>
      </c>
      <c r="F84" s="32">
        <v>4.4999999999999998E-2</v>
      </c>
      <c r="G84" s="16">
        <v>11204.73</v>
      </c>
      <c r="H84" s="17">
        <v>18674.55</v>
      </c>
      <c r="I84" s="51"/>
      <c r="J84" s="12"/>
      <c r="K84" s="12"/>
      <c r="L84" s="12"/>
      <c r="M84" s="12"/>
      <c r="N84" s="12"/>
      <c r="O84" s="12"/>
      <c r="P84" s="108"/>
      <c r="Q84" s="108">
        <f t="shared" si="3"/>
        <v>0</v>
      </c>
      <c r="R84" s="109">
        <f t="shared" si="1"/>
        <v>0</v>
      </c>
      <c r="S84" s="12"/>
      <c r="T84" s="12"/>
      <c r="U84" s="12"/>
      <c r="V84" s="12"/>
      <c r="W84" s="12"/>
      <c r="X84" s="12"/>
      <c r="Y84" s="12"/>
      <c r="Z84" s="12"/>
      <c r="AA84" s="12"/>
      <c r="AB84" s="9"/>
    </row>
    <row r="85" spans="1:28" ht="15" customHeight="1" x14ac:dyDescent="0.3">
      <c r="A85" s="231"/>
      <c r="B85" s="41">
        <v>1830009016</v>
      </c>
      <c r="C85" s="25" t="s">
        <v>5937</v>
      </c>
      <c r="D85" s="13">
        <v>124990</v>
      </c>
      <c r="E85" s="14">
        <v>1.2E-2</v>
      </c>
      <c r="F85" s="32">
        <v>0.02</v>
      </c>
      <c r="G85" s="16">
        <v>1499.88</v>
      </c>
      <c r="H85" s="17">
        <v>2499.8000000000002</v>
      </c>
      <c r="I85" s="51"/>
      <c r="J85" s="12"/>
      <c r="K85" s="12"/>
      <c r="L85" s="12"/>
      <c r="M85" s="12"/>
      <c r="N85" s="12"/>
      <c r="O85" s="12"/>
      <c r="P85" s="108"/>
      <c r="Q85" s="108">
        <f t="shared" si="3"/>
        <v>0</v>
      </c>
      <c r="R85" s="109">
        <f t="shared" si="1"/>
        <v>0</v>
      </c>
      <c r="S85" s="12"/>
      <c r="T85" s="12"/>
      <c r="U85" s="12"/>
      <c r="V85" s="12"/>
      <c r="W85" s="12"/>
      <c r="X85" s="12"/>
      <c r="Y85" s="12"/>
      <c r="Z85" s="12"/>
      <c r="AB85" s="9"/>
    </row>
    <row r="86" spans="1:28" ht="15" customHeight="1" x14ac:dyDescent="0.3">
      <c r="A86" s="231"/>
      <c r="B86" s="41">
        <v>1830007629</v>
      </c>
      <c r="C86" s="25" t="s">
        <v>1073</v>
      </c>
      <c r="D86" s="13">
        <v>75990</v>
      </c>
      <c r="E86" s="14">
        <v>1.2E-2</v>
      </c>
      <c r="F86" s="32">
        <v>0.02</v>
      </c>
      <c r="G86" s="16">
        <v>911.88</v>
      </c>
      <c r="H86" s="17">
        <v>1519.8</v>
      </c>
      <c r="I86" s="51"/>
      <c r="J86" s="12"/>
      <c r="K86" s="12"/>
      <c r="L86" s="12"/>
      <c r="M86" s="12"/>
      <c r="N86" s="12"/>
      <c r="O86" s="12"/>
      <c r="P86" s="108"/>
      <c r="Q86" s="108">
        <f t="shared" si="3"/>
        <v>0</v>
      </c>
      <c r="R86" s="109">
        <f t="shared" si="1"/>
        <v>0</v>
      </c>
      <c r="S86" s="12"/>
      <c r="T86" s="12"/>
      <c r="U86" s="12"/>
      <c r="V86" s="12"/>
      <c r="W86" s="12"/>
      <c r="X86" s="12"/>
      <c r="Y86" s="12"/>
      <c r="Z86" s="12"/>
      <c r="AB86" s="9"/>
    </row>
    <row r="87" spans="1:28" ht="15" customHeight="1" x14ac:dyDescent="0.3">
      <c r="A87" s="231"/>
      <c r="B87" s="41">
        <v>1830008417</v>
      </c>
      <c r="C87" s="25" t="s">
        <v>4860</v>
      </c>
      <c r="D87" s="13">
        <v>67990</v>
      </c>
      <c r="E87" s="14">
        <v>1.2E-2</v>
      </c>
      <c r="F87" s="32">
        <v>0.02</v>
      </c>
      <c r="G87" s="16">
        <v>815.88</v>
      </c>
      <c r="H87" s="17">
        <v>1359.8</v>
      </c>
      <c r="I87" s="51"/>
      <c r="J87" s="12"/>
      <c r="K87" s="12"/>
      <c r="L87" s="12"/>
      <c r="M87" s="12"/>
      <c r="N87" s="12"/>
      <c r="O87" s="12"/>
      <c r="P87" s="108"/>
      <c r="Q87" s="108">
        <f t="shared" ref="Q87:Q110" si="5">P87*G87</f>
        <v>0</v>
      </c>
      <c r="R87" s="109">
        <f t="shared" si="1"/>
        <v>0</v>
      </c>
      <c r="S87" s="12"/>
      <c r="T87" s="12"/>
      <c r="U87" s="12"/>
      <c r="V87" s="12"/>
      <c r="W87" s="12"/>
      <c r="X87" s="12"/>
      <c r="Y87" s="12"/>
      <c r="Z87" s="12"/>
      <c r="AB87" s="9"/>
    </row>
    <row r="88" spans="1:28" ht="15" customHeight="1" x14ac:dyDescent="0.3">
      <c r="A88" s="231"/>
      <c r="B88" s="41">
        <v>1830009427</v>
      </c>
      <c r="C88" s="25" t="s">
        <v>5967</v>
      </c>
      <c r="D88" s="13">
        <v>62990</v>
      </c>
      <c r="E88" s="14">
        <v>1.2E-2</v>
      </c>
      <c r="F88" s="32">
        <v>0.02</v>
      </c>
      <c r="G88" s="16">
        <v>755.88</v>
      </c>
      <c r="H88" s="17">
        <v>1259.8</v>
      </c>
      <c r="I88" s="51"/>
      <c r="J88" s="12"/>
      <c r="K88" s="12"/>
      <c r="L88" s="12"/>
      <c r="M88" s="12"/>
      <c r="N88" s="12"/>
      <c r="O88" s="12"/>
      <c r="P88" s="108"/>
      <c r="Q88" s="108">
        <f t="shared" si="5"/>
        <v>0</v>
      </c>
      <c r="R88" s="109">
        <f t="shared" si="1"/>
        <v>0</v>
      </c>
      <c r="S88" s="12"/>
      <c r="T88" s="12"/>
      <c r="U88" s="12"/>
      <c r="V88" s="12"/>
      <c r="W88" s="12"/>
      <c r="X88" s="12"/>
      <c r="Y88" s="12"/>
      <c r="Z88" s="12"/>
      <c r="AB88" s="9"/>
    </row>
    <row r="89" spans="1:28" ht="15" customHeight="1" x14ac:dyDescent="0.3">
      <c r="A89" s="231"/>
      <c r="B89" s="41">
        <v>1830009683</v>
      </c>
      <c r="C89" s="25" t="s">
        <v>5968</v>
      </c>
      <c r="D89" s="13">
        <v>103990</v>
      </c>
      <c r="E89" s="14">
        <v>1.2E-2</v>
      </c>
      <c r="F89" s="32">
        <v>0.02</v>
      </c>
      <c r="G89" s="16">
        <v>1247.8800000000001</v>
      </c>
      <c r="H89" s="17">
        <v>2079.8000000000002</v>
      </c>
      <c r="I89" s="51"/>
      <c r="J89" s="12"/>
      <c r="K89" s="12"/>
      <c r="L89" s="12"/>
      <c r="M89" s="12"/>
      <c r="N89" s="12"/>
      <c r="O89" s="12"/>
      <c r="P89" s="108"/>
      <c r="Q89" s="108">
        <f t="shared" si="5"/>
        <v>0</v>
      </c>
      <c r="R89" s="109">
        <f t="shared" si="1"/>
        <v>0</v>
      </c>
      <c r="S89" s="12"/>
      <c r="T89" s="12"/>
      <c r="U89" s="12"/>
      <c r="V89" s="12"/>
      <c r="W89" s="12"/>
      <c r="X89" s="12"/>
      <c r="Y89" s="12"/>
      <c r="Z89" s="12"/>
      <c r="AB89" s="9"/>
    </row>
    <row r="90" spans="1:28" ht="15" customHeight="1" x14ac:dyDescent="0.3">
      <c r="A90" s="231"/>
      <c r="B90" s="41">
        <v>1830008176</v>
      </c>
      <c r="C90" s="25" t="s">
        <v>8</v>
      </c>
      <c r="D90" s="13">
        <v>199990</v>
      </c>
      <c r="E90" s="14">
        <v>1.7999999999999999E-2</v>
      </c>
      <c r="F90" s="32">
        <v>0.03</v>
      </c>
      <c r="G90" s="16">
        <v>3599.8199999999997</v>
      </c>
      <c r="H90" s="17">
        <v>5999.7</v>
      </c>
      <c r="I90" s="51"/>
      <c r="J90" s="12" t="s">
        <v>133</v>
      </c>
      <c r="K90" s="12" t="s">
        <v>286</v>
      </c>
      <c r="L90" s="12" t="s">
        <v>224</v>
      </c>
      <c r="M90" s="12" t="s">
        <v>8</v>
      </c>
      <c r="N90" s="12"/>
      <c r="O90" s="12"/>
      <c r="P90" s="108"/>
      <c r="Q90" s="108">
        <f t="shared" si="5"/>
        <v>0</v>
      </c>
      <c r="R90" s="109">
        <f t="shared" si="1"/>
        <v>0</v>
      </c>
      <c r="S90" s="12" t="s">
        <v>133</v>
      </c>
      <c r="T90" s="12">
        <v>1</v>
      </c>
      <c r="U90" s="12" t="s">
        <v>286</v>
      </c>
      <c r="V90" s="12">
        <v>1</v>
      </c>
      <c r="W90" s="12" t="s">
        <v>224</v>
      </c>
      <c r="X90" s="12">
        <v>1</v>
      </c>
      <c r="Y90" s="12" t="s">
        <v>8</v>
      </c>
      <c r="Z90" s="12"/>
      <c r="AB90" s="9"/>
    </row>
    <row r="91" spans="1:28" ht="15" customHeight="1" x14ac:dyDescent="0.3">
      <c r="A91" s="231"/>
      <c r="B91" s="96">
        <v>1830009516</v>
      </c>
      <c r="C91" s="30" t="s">
        <v>5930</v>
      </c>
      <c r="D91" s="13">
        <v>259990</v>
      </c>
      <c r="E91" s="14">
        <v>2.4E-2</v>
      </c>
      <c r="F91" s="31">
        <v>0.04</v>
      </c>
      <c r="G91" s="16">
        <v>6239.76</v>
      </c>
      <c r="H91" s="17">
        <v>10399.6</v>
      </c>
      <c r="I91" s="51"/>
      <c r="J91" s="12"/>
      <c r="K91" s="12"/>
      <c r="L91" s="12"/>
      <c r="M91" s="12"/>
      <c r="N91" s="12"/>
      <c r="O91" s="12"/>
      <c r="P91" s="108"/>
      <c r="Q91" s="108">
        <f t="shared" si="5"/>
        <v>0</v>
      </c>
      <c r="R91" s="109">
        <f t="shared" si="1"/>
        <v>0</v>
      </c>
      <c r="S91" s="12"/>
      <c r="T91" s="12"/>
      <c r="U91" s="12"/>
      <c r="V91" s="12"/>
      <c r="W91" s="12"/>
      <c r="X91" s="12"/>
      <c r="Y91" s="12"/>
      <c r="Z91" s="12"/>
      <c r="AB91" s="9"/>
    </row>
    <row r="92" spans="1:28" ht="15" customHeight="1" x14ac:dyDescent="0.3">
      <c r="A92" s="231"/>
      <c r="B92" s="43">
        <v>1830008884</v>
      </c>
      <c r="C92" s="25" t="s">
        <v>5628</v>
      </c>
      <c r="D92" s="13">
        <v>621990</v>
      </c>
      <c r="E92" s="14">
        <v>0.03</v>
      </c>
      <c r="F92" s="35">
        <v>0.05</v>
      </c>
      <c r="G92" s="16">
        <v>18659.7</v>
      </c>
      <c r="H92" s="17">
        <v>31099.5</v>
      </c>
      <c r="I92" s="51"/>
      <c r="J92" s="55"/>
      <c r="K92" s="55"/>
      <c r="L92" s="55"/>
      <c r="M92" s="55"/>
      <c r="N92" s="55"/>
      <c r="O92" s="12"/>
      <c r="P92" s="108"/>
      <c r="Q92" s="108">
        <f t="shared" si="5"/>
        <v>0</v>
      </c>
      <c r="R92" s="109">
        <f t="shared" ref="R92:R110" si="6">P92*H92</f>
        <v>0</v>
      </c>
      <c r="S92" s="12"/>
      <c r="T92" s="12"/>
      <c r="U92" s="12" t="s">
        <v>5629</v>
      </c>
      <c r="V92" s="12">
        <v>1</v>
      </c>
      <c r="W92" s="12"/>
      <c r="X92" s="12"/>
      <c r="Y92" s="12" t="s">
        <v>5628</v>
      </c>
      <c r="Z92" s="12"/>
      <c r="AA92" s="12"/>
      <c r="AB92" s="9"/>
    </row>
    <row r="93" spans="1:28" ht="15" customHeight="1" x14ac:dyDescent="0.3">
      <c r="A93" s="231"/>
      <c r="B93" s="43">
        <v>1830007359</v>
      </c>
      <c r="C93" s="25" t="s">
        <v>19</v>
      </c>
      <c r="D93" s="13">
        <v>279990</v>
      </c>
      <c r="E93" s="14">
        <v>1.7999999999999999E-2</v>
      </c>
      <c r="F93" s="32">
        <v>0.03</v>
      </c>
      <c r="G93" s="16">
        <v>5039.82</v>
      </c>
      <c r="H93" s="17">
        <v>8399.6999999999989</v>
      </c>
      <c r="I93" s="51"/>
      <c r="J93" s="12" t="s">
        <v>139</v>
      </c>
      <c r="K93" s="12" t="s">
        <v>290</v>
      </c>
      <c r="L93" s="12" t="s">
        <v>227</v>
      </c>
      <c r="M93" s="12"/>
      <c r="N93" s="12"/>
      <c r="O93" s="12"/>
      <c r="P93" s="108"/>
      <c r="Q93" s="108">
        <f t="shared" si="5"/>
        <v>0</v>
      </c>
      <c r="R93" s="109">
        <f t="shared" si="6"/>
        <v>0</v>
      </c>
      <c r="S93" s="12" t="s">
        <v>2890</v>
      </c>
      <c r="T93" s="12">
        <v>1</v>
      </c>
      <c r="U93" s="12" t="s">
        <v>937</v>
      </c>
      <c r="V93" s="12">
        <v>1</v>
      </c>
      <c r="W93" s="12" t="s">
        <v>1860</v>
      </c>
      <c r="X93" s="12">
        <v>1</v>
      </c>
      <c r="Y93" s="12" t="s">
        <v>19</v>
      </c>
      <c r="Z93" s="12"/>
      <c r="AA93" s="12"/>
      <c r="AB93" s="9"/>
    </row>
    <row r="94" spans="1:28" ht="21" customHeight="1" x14ac:dyDescent="0.3">
      <c r="A94" s="231"/>
      <c r="B94" s="43">
        <v>1830008518</v>
      </c>
      <c r="C94" s="25" t="s">
        <v>111</v>
      </c>
      <c r="D94" s="13">
        <v>258990</v>
      </c>
      <c r="E94" s="14">
        <v>1.7999999999999999E-2</v>
      </c>
      <c r="F94" s="32">
        <v>0.03</v>
      </c>
      <c r="G94" s="16">
        <v>4661.82</v>
      </c>
      <c r="H94" s="17">
        <v>7769.7</v>
      </c>
      <c r="I94" s="51"/>
      <c r="J94" s="12"/>
      <c r="K94" s="12" t="s">
        <v>291</v>
      </c>
      <c r="L94" s="12"/>
      <c r="M94" s="12"/>
      <c r="N94" s="12"/>
      <c r="O94" s="12"/>
      <c r="P94" s="108"/>
      <c r="Q94" s="108">
        <f t="shared" si="5"/>
        <v>0</v>
      </c>
      <c r="R94" s="109">
        <f t="shared" si="6"/>
        <v>0</v>
      </c>
      <c r="S94" s="12"/>
      <c r="T94" s="12"/>
      <c r="U94" s="12" t="s">
        <v>291</v>
      </c>
      <c r="V94" s="12">
        <v>1</v>
      </c>
      <c r="W94" s="12" t="s">
        <v>1863</v>
      </c>
      <c r="X94" s="12">
        <v>1</v>
      </c>
      <c r="Y94" s="12"/>
      <c r="Z94" s="12"/>
      <c r="AA94" s="12"/>
      <c r="AB94" s="9"/>
    </row>
    <row r="95" spans="1:28" ht="21" customHeight="1" x14ac:dyDescent="0.3">
      <c r="A95" s="231"/>
      <c r="B95" s="41">
        <v>1830008641</v>
      </c>
      <c r="C95" s="25" t="s">
        <v>5440</v>
      </c>
      <c r="D95" s="13">
        <v>165990</v>
      </c>
      <c r="E95" s="14">
        <v>1.7999999999999999E-2</v>
      </c>
      <c r="F95" s="32">
        <v>0.03</v>
      </c>
      <c r="G95" s="16">
        <v>2987.8199999999997</v>
      </c>
      <c r="H95" s="17">
        <v>4979.7</v>
      </c>
      <c r="I95" s="51"/>
      <c r="J95" s="12"/>
      <c r="K95" s="12"/>
      <c r="L95" s="12"/>
      <c r="M95" s="12"/>
      <c r="N95" s="12"/>
      <c r="O95" s="12"/>
      <c r="P95" s="108"/>
      <c r="Q95" s="108">
        <f t="shared" si="5"/>
        <v>0</v>
      </c>
      <c r="R95" s="109">
        <f t="shared" si="6"/>
        <v>0</v>
      </c>
      <c r="S95" s="12"/>
      <c r="T95" s="12"/>
      <c r="U95" s="12"/>
      <c r="V95" s="12"/>
      <c r="W95" s="12"/>
      <c r="X95" s="12"/>
      <c r="Y95" s="12"/>
      <c r="Z95" s="12"/>
      <c r="AA95" s="12"/>
      <c r="AB95" s="9"/>
    </row>
    <row r="96" spans="1:28" ht="21" customHeight="1" x14ac:dyDescent="0.3">
      <c r="A96" s="231"/>
      <c r="B96" s="41">
        <v>1830008619</v>
      </c>
      <c r="C96" s="25" t="s">
        <v>5442</v>
      </c>
      <c r="D96" s="13">
        <v>155990</v>
      </c>
      <c r="E96" s="14">
        <v>1.7999999999999999E-2</v>
      </c>
      <c r="F96" s="32">
        <v>0.03</v>
      </c>
      <c r="G96" s="16">
        <v>2807.8199999999997</v>
      </c>
      <c r="H96" s="17">
        <v>4679.7</v>
      </c>
      <c r="I96" s="51"/>
      <c r="J96" s="12"/>
      <c r="K96" s="12"/>
      <c r="L96" s="12"/>
      <c r="M96" s="12"/>
      <c r="N96" s="12"/>
      <c r="O96" s="12"/>
      <c r="P96" s="108"/>
      <c r="Q96" s="108">
        <f t="shared" si="5"/>
        <v>0</v>
      </c>
      <c r="R96" s="109">
        <f t="shared" si="6"/>
        <v>0</v>
      </c>
      <c r="S96" s="12"/>
      <c r="T96" s="12"/>
      <c r="U96" s="12"/>
      <c r="V96" s="12"/>
      <c r="W96" s="12"/>
      <c r="X96" s="12"/>
      <c r="Y96" s="12"/>
      <c r="Z96" s="12"/>
      <c r="AA96" s="12"/>
      <c r="AB96" s="9"/>
    </row>
    <row r="97" spans="1:28" ht="21" customHeight="1" x14ac:dyDescent="0.3">
      <c r="A97" s="231"/>
      <c r="B97" s="41">
        <v>1830007763</v>
      </c>
      <c r="C97" s="25" t="s">
        <v>18</v>
      </c>
      <c r="D97" s="13">
        <v>207990</v>
      </c>
      <c r="E97" s="14">
        <v>1.7999999999999999E-2</v>
      </c>
      <c r="F97" s="32">
        <v>0.03</v>
      </c>
      <c r="G97" s="16">
        <v>3743.8199999999997</v>
      </c>
      <c r="H97" s="17">
        <v>6239.7</v>
      </c>
      <c r="I97" s="51"/>
      <c r="J97" s="12"/>
      <c r="K97" s="12"/>
      <c r="L97" s="12"/>
      <c r="M97" s="12"/>
      <c r="N97" s="12"/>
      <c r="O97" s="12"/>
      <c r="P97" s="108"/>
      <c r="Q97" s="108">
        <f t="shared" si="5"/>
        <v>0</v>
      </c>
      <c r="R97" s="109">
        <f t="shared" si="6"/>
        <v>0</v>
      </c>
      <c r="S97" s="12"/>
      <c r="T97" s="12"/>
      <c r="U97" s="12"/>
      <c r="V97" s="12"/>
      <c r="W97" s="12"/>
      <c r="X97" s="12"/>
      <c r="Y97" s="12"/>
      <c r="Z97" s="12"/>
      <c r="AA97" s="12"/>
      <c r="AB97" s="9"/>
    </row>
    <row r="98" spans="1:28" ht="21" customHeight="1" x14ac:dyDescent="0.3">
      <c r="A98" s="231"/>
      <c r="B98" s="41">
        <v>1830007760</v>
      </c>
      <c r="C98" s="25" t="s">
        <v>17</v>
      </c>
      <c r="D98" s="13">
        <v>207990</v>
      </c>
      <c r="E98" s="14">
        <v>1.7999999999999999E-2</v>
      </c>
      <c r="F98" s="32">
        <v>0.03</v>
      </c>
      <c r="G98" s="16">
        <v>3743.8199999999997</v>
      </c>
      <c r="H98" s="17">
        <v>6239.7</v>
      </c>
      <c r="I98" s="51"/>
      <c r="J98" s="12"/>
      <c r="K98" s="12"/>
      <c r="L98" s="12"/>
      <c r="M98" s="12"/>
      <c r="N98" s="12"/>
      <c r="O98" s="12"/>
      <c r="P98" s="108"/>
      <c r="Q98" s="108">
        <f t="shared" si="5"/>
        <v>0</v>
      </c>
      <c r="R98" s="109">
        <f t="shared" si="6"/>
        <v>0</v>
      </c>
      <c r="S98" s="12"/>
      <c r="T98" s="12"/>
      <c r="U98" s="12"/>
      <c r="V98" s="12"/>
      <c r="W98" s="12"/>
      <c r="X98" s="12"/>
      <c r="Y98" s="12"/>
      <c r="Z98" s="12"/>
      <c r="AA98" s="12"/>
      <c r="AB98" s="9"/>
    </row>
    <row r="99" spans="1:28" ht="21" customHeight="1" x14ac:dyDescent="0.3">
      <c r="A99" s="231"/>
      <c r="B99" s="41">
        <v>7211005120</v>
      </c>
      <c r="C99" s="25" t="s">
        <v>6000</v>
      </c>
      <c r="D99" s="13">
        <v>103990</v>
      </c>
      <c r="E99" s="14">
        <v>1.7999999999999999E-2</v>
      </c>
      <c r="F99" s="32">
        <v>0.03</v>
      </c>
      <c r="G99" s="16">
        <v>1871.82</v>
      </c>
      <c r="H99" s="17">
        <v>3119.7</v>
      </c>
      <c r="I99" s="51"/>
      <c r="J99" s="12"/>
      <c r="K99" s="12"/>
      <c r="L99" s="12"/>
      <c r="M99" s="12"/>
      <c r="N99" s="12"/>
      <c r="O99" s="12"/>
      <c r="P99" s="108"/>
      <c r="Q99" s="108">
        <f t="shared" si="5"/>
        <v>0</v>
      </c>
      <c r="R99" s="109">
        <f t="shared" si="6"/>
        <v>0</v>
      </c>
      <c r="S99" s="12"/>
      <c r="T99" s="12"/>
      <c r="U99" s="12"/>
      <c r="V99" s="12"/>
      <c r="W99" s="12"/>
      <c r="X99" s="12"/>
      <c r="Y99" s="12"/>
      <c r="Z99" s="12"/>
      <c r="AA99" s="12"/>
      <c r="AB99" s="9"/>
    </row>
    <row r="100" spans="1:28" ht="21" customHeight="1" x14ac:dyDescent="0.3">
      <c r="A100" s="231"/>
      <c r="B100" s="41">
        <v>1830007909</v>
      </c>
      <c r="C100" s="25" t="s">
        <v>1383</v>
      </c>
      <c r="D100" s="13">
        <v>103990</v>
      </c>
      <c r="E100" s="14">
        <v>1.7999999999999999E-2</v>
      </c>
      <c r="F100" s="32">
        <v>0.03</v>
      </c>
      <c r="G100" s="16">
        <v>1871.82</v>
      </c>
      <c r="H100" s="17">
        <v>3119.7</v>
      </c>
      <c r="I100" s="51"/>
      <c r="J100" s="12"/>
      <c r="K100" s="12"/>
      <c r="L100" s="12"/>
      <c r="M100" s="12"/>
      <c r="N100" s="12"/>
      <c r="O100" s="12"/>
      <c r="P100" s="108"/>
      <c r="Q100" s="108">
        <f t="shared" si="5"/>
        <v>0</v>
      </c>
      <c r="R100" s="109">
        <f t="shared" si="6"/>
        <v>0</v>
      </c>
      <c r="S100" s="12"/>
      <c r="T100" s="12"/>
      <c r="U100" s="12"/>
      <c r="V100" s="12"/>
      <c r="W100" s="12"/>
      <c r="X100" s="12"/>
      <c r="Y100" s="12"/>
      <c r="Z100" s="12"/>
      <c r="AA100" s="93" t="s">
        <v>5879</v>
      </c>
      <c r="AB100" s="9"/>
    </row>
    <row r="101" spans="1:28" ht="21" customHeight="1" x14ac:dyDescent="0.3">
      <c r="A101" s="231"/>
      <c r="B101" s="41">
        <v>1830008996</v>
      </c>
      <c r="C101" s="25" t="s">
        <v>5980</v>
      </c>
      <c r="D101" s="13">
        <v>144990</v>
      </c>
      <c r="E101" s="14">
        <v>1.7999999999999999E-2</v>
      </c>
      <c r="F101" s="32">
        <v>0.03</v>
      </c>
      <c r="G101" s="16">
        <v>2609.8199999999997</v>
      </c>
      <c r="H101" s="17">
        <v>4349.7</v>
      </c>
      <c r="I101" s="51"/>
      <c r="J101" s="12"/>
      <c r="K101" s="12"/>
      <c r="L101" s="12"/>
      <c r="M101" s="12"/>
      <c r="N101" s="12"/>
      <c r="O101" s="12"/>
      <c r="P101" s="108"/>
      <c r="Q101" s="108">
        <f t="shared" si="5"/>
        <v>0</v>
      </c>
      <c r="R101" s="109">
        <f t="shared" si="6"/>
        <v>0</v>
      </c>
      <c r="S101" s="12"/>
      <c r="T101" s="12"/>
      <c r="U101" s="12"/>
      <c r="V101" s="12"/>
      <c r="W101" s="12"/>
      <c r="X101" s="12"/>
      <c r="Y101" s="12"/>
      <c r="Z101" s="12"/>
      <c r="AA101" s="93" t="s">
        <v>5879</v>
      </c>
      <c r="AB101" s="9"/>
    </row>
    <row r="102" spans="1:28" ht="21" customHeight="1" x14ac:dyDescent="0.3">
      <c r="A102" s="231"/>
      <c r="B102" s="41">
        <v>1830008188</v>
      </c>
      <c r="C102" s="25" t="s">
        <v>4345</v>
      </c>
      <c r="D102" s="13">
        <v>207990</v>
      </c>
      <c r="E102" s="14">
        <v>1.7999999999999999E-2</v>
      </c>
      <c r="F102" s="32">
        <v>0.03</v>
      </c>
      <c r="G102" s="16">
        <v>3743.8199999999997</v>
      </c>
      <c r="H102" s="17">
        <v>6239.7</v>
      </c>
      <c r="I102" s="51"/>
      <c r="J102" s="12"/>
      <c r="K102" s="12"/>
      <c r="L102" s="12"/>
      <c r="M102" s="12"/>
      <c r="N102" s="12"/>
      <c r="O102" s="12"/>
      <c r="P102" s="108"/>
      <c r="Q102" s="108">
        <f t="shared" si="5"/>
        <v>0</v>
      </c>
      <c r="R102" s="109">
        <f t="shared" si="6"/>
        <v>0</v>
      </c>
      <c r="S102" s="12"/>
      <c r="T102" s="12"/>
      <c r="U102" s="12"/>
      <c r="V102" s="12"/>
      <c r="W102" s="12"/>
      <c r="X102" s="12"/>
      <c r="Y102" s="12"/>
      <c r="Z102" s="12"/>
      <c r="AA102" s="12"/>
      <c r="AB102" s="9"/>
    </row>
    <row r="103" spans="1:28" ht="15" customHeight="1" x14ac:dyDescent="0.3">
      <c r="A103" s="231"/>
      <c r="B103" s="43">
        <v>1830008513</v>
      </c>
      <c r="C103" s="25" t="s">
        <v>112</v>
      </c>
      <c r="D103" s="13">
        <v>258990</v>
      </c>
      <c r="E103" s="14">
        <v>1.7999999999999999E-2</v>
      </c>
      <c r="F103" s="32">
        <v>0.03</v>
      </c>
      <c r="G103" s="16">
        <v>4661.82</v>
      </c>
      <c r="H103" s="17">
        <v>7769.7</v>
      </c>
      <c r="I103" s="51"/>
      <c r="J103" s="12" t="s">
        <v>140</v>
      </c>
      <c r="K103" s="12"/>
      <c r="L103" s="12"/>
      <c r="M103" s="12"/>
      <c r="N103" s="12"/>
      <c r="O103" s="12"/>
      <c r="P103" s="108"/>
      <c r="Q103" s="108">
        <f t="shared" si="5"/>
        <v>0</v>
      </c>
      <c r="R103" s="109">
        <f t="shared" si="6"/>
        <v>0</v>
      </c>
      <c r="S103" s="12" t="s">
        <v>140</v>
      </c>
      <c r="T103" s="12">
        <v>1</v>
      </c>
      <c r="U103" s="12" t="s">
        <v>1615</v>
      </c>
      <c r="V103" s="12">
        <v>1</v>
      </c>
      <c r="W103" s="12"/>
      <c r="X103" s="12"/>
      <c r="Y103" s="12" t="s">
        <v>112</v>
      </c>
      <c r="Z103" s="12"/>
      <c r="AA103" s="12"/>
      <c r="AB103" s="9"/>
    </row>
    <row r="104" spans="1:28" ht="15" customHeight="1" x14ac:dyDescent="0.3">
      <c r="A104" s="231"/>
      <c r="B104" s="43">
        <v>1830008512</v>
      </c>
      <c r="C104" s="25" t="s">
        <v>113</v>
      </c>
      <c r="D104" s="13">
        <v>238990</v>
      </c>
      <c r="E104" s="14">
        <v>1.7999999999999999E-2</v>
      </c>
      <c r="F104" s="32">
        <v>0.03</v>
      </c>
      <c r="G104" s="16">
        <v>4301.82</v>
      </c>
      <c r="H104" s="17">
        <v>7169.7</v>
      </c>
      <c r="I104" s="51"/>
      <c r="J104" s="12"/>
      <c r="K104" s="12"/>
      <c r="L104" s="12"/>
      <c r="M104" s="12"/>
      <c r="N104" s="12"/>
      <c r="O104" s="12"/>
      <c r="P104" s="108"/>
      <c r="Q104" s="108">
        <f t="shared" si="5"/>
        <v>0</v>
      </c>
      <c r="R104" s="109">
        <f t="shared" si="6"/>
        <v>0</v>
      </c>
      <c r="S104" s="12"/>
      <c r="T104" s="12"/>
      <c r="U104" s="12"/>
      <c r="V104" s="12"/>
      <c r="W104" s="12" t="s">
        <v>1862</v>
      </c>
      <c r="X104" s="12">
        <v>1</v>
      </c>
      <c r="Y104" s="12"/>
      <c r="Z104" s="12"/>
      <c r="AA104" s="12"/>
      <c r="AB104" s="9"/>
    </row>
    <row r="105" spans="1:28" ht="15" customHeight="1" x14ac:dyDescent="0.3">
      <c r="A105" s="231"/>
      <c r="B105" s="41">
        <v>1830008264</v>
      </c>
      <c r="C105" s="34" t="s">
        <v>14</v>
      </c>
      <c r="D105" s="13">
        <v>269990</v>
      </c>
      <c r="E105" s="14">
        <v>2.4E-2</v>
      </c>
      <c r="F105" s="32">
        <v>0.04</v>
      </c>
      <c r="G105" s="16">
        <v>6479.76</v>
      </c>
      <c r="H105" s="17">
        <v>10799.6</v>
      </c>
      <c r="I105" s="51"/>
      <c r="J105" s="12"/>
      <c r="K105" s="12"/>
      <c r="L105" s="12"/>
      <c r="M105" s="12"/>
      <c r="N105" s="12"/>
      <c r="O105" s="12"/>
      <c r="P105" s="108"/>
      <c r="Q105" s="108">
        <f t="shared" si="5"/>
        <v>0</v>
      </c>
      <c r="R105" s="109">
        <f t="shared" si="6"/>
        <v>0</v>
      </c>
      <c r="S105" s="12"/>
      <c r="T105" s="12"/>
      <c r="U105" s="12"/>
      <c r="V105" s="12"/>
      <c r="W105" s="12"/>
      <c r="X105" s="12"/>
      <c r="Y105" s="12"/>
      <c r="Z105" s="12"/>
      <c r="AA105" s="12"/>
      <c r="AB105" s="9"/>
    </row>
    <row r="106" spans="1:28" ht="15" customHeight="1" x14ac:dyDescent="0.3">
      <c r="A106" s="231"/>
      <c r="B106" s="43">
        <v>1830009100</v>
      </c>
      <c r="C106" s="25" t="s">
        <v>5965</v>
      </c>
      <c r="D106" s="13">
        <v>289990</v>
      </c>
      <c r="E106" s="14">
        <v>0.03</v>
      </c>
      <c r="F106" s="32">
        <v>0.05</v>
      </c>
      <c r="G106" s="16">
        <v>8699.6999999999989</v>
      </c>
      <c r="H106" s="17">
        <v>14499.5</v>
      </c>
      <c r="I106" s="51"/>
      <c r="J106" s="12"/>
      <c r="K106" s="12"/>
      <c r="L106" s="12"/>
      <c r="M106" s="12"/>
      <c r="N106" s="12"/>
      <c r="O106" s="12"/>
      <c r="P106" s="108"/>
      <c r="Q106" s="108">
        <f t="shared" si="5"/>
        <v>0</v>
      </c>
      <c r="R106" s="109">
        <f t="shared" si="6"/>
        <v>0</v>
      </c>
      <c r="S106" s="12"/>
      <c r="T106" s="12"/>
      <c r="U106" s="12"/>
      <c r="V106" s="12"/>
      <c r="W106" s="12"/>
      <c r="X106" s="12"/>
      <c r="Y106" s="12"/>
      <c r="Z106" s="12"/>
      <c r="AA106" s="12"/>
      <c r="AB106" s="9"/>
    </row>
    <row r="107" spans="1:28" ht="15" customHeight="1" x14ac:dyDescent="0.3">
      <c r="A107" s="231"/>
      <c r="B107" s="43">
        <v>1830008510</v>
      </c>
      <c r="C107" s="25" t="s">
        <v>114</v>
      </c>
      <c r="D107" s="13">
        <v>238990</v>
      </c>
      <c r="E107" s="14">
        <v>1.7999999999999999E-2</v>
      </c>
      <c r="F107" s="32">
        <v>0.03</v>
      </c>
      <c r="G107" s="16">
        <v>4301.82</v>
      </c>
      <c r="H107" s="17">
        <v>7169.7</v>
      </c>
      <c r="I107" s="51"/>
      <c r="J107" s="12"/>
      <c r="K107" s="12" t="s">
        <v>292</v>
      </c>
      <c r="L107" s="12"/>
      <c r="M107" s="12" t="s">
        <v>16</v>
      </c>
      <c r="N107" s="12"/>
      <c r="O107" s="12"/>
      <c r="P107" s="108"/>
      <c r="Q107" s="108">
        <f t="shared" si="5"/>
        <v>0</v>
      </c>
      <c r="R107" s="109">
        <f t="shared" si="6"/>
        <v>0</v>
      </c>
      <c r="S107" s="12"/>
      <c r="T107" s="12"/>
      <c r="U107" s="12" t="s">
        <v>1616</v>
      </c>
      <c r="V107" s="12">
        <v>1</v>
      </c>
      <c r="W107" s="12" t="s">
        <v>1861</v>
      </c>
      <c r="X107" s="12">
        <v>1</v>
      </c>
      <c r="Y107" s="12"/>
      <c r="Z107" s="12"/>
      <c r="AA107" s="12"/>
      <c r="AB107" s="9"/>
    </row>
    <row r="108" spans="1:28" ht="15" customHeight="1" x14ac:dyDescent="0.3">
      <c r="A108" s="231"/>
      <c r="B108" s="43">
        <v>1830007723</v>
      </c>
      <c r="C108" s="25" t="s">
        <v>20</v>
      </c>
      <c r="D108" s="13">
        <v>217990</v>
      </c>
      <c r="E108" s="14">
        <v>1.7999999999999999E-2</v>
      </c>
      <c r="F108" s="32">
        <v>0.03</v>
      </c>
      <c r="G108" s="16">
        <v>3923.8199999999997</v>
      </c>
      <c r="H108" s="17">
        <v>6539.7</v>
      </c>
      <c r="I108" s="51"/>
      <c r="J108" s="12"/>
      <c r="K108" s="12" t="s">
        <v>294</v>
      </c>
      <c r="L108" s="12"/>
      <c r="M108" s="12"/>
      <c r="N108" s="12"/>
      <c r="O108" s="12"/>
      <c r="P108" s="108"/>
      <c r="Q108" s="108">
        <f t="shared" si="5"/>
        <v>0</v>
      </c>
      <c r="R108" s="109">
        <f t="shared" si="6"/>
        <v>0</v>
      </c>
      <c r="S108" s="12"/>
      <c r="T108" s="12"/>
      <c r="U108" s="12" t="s">
        <v>294</v>
      </c>
      <c r="V108" s="12">
        <v>1</v>
      </c>
      <c r="W108" s="12"/>
      <c r="X108" s="12"/>
      <c r="Y108" s="12"/>
      <c r="Z108" s="12"/>
      <c r="AA108" s="12"/>
      <c r="AB108" s="9"/>
    </row>
    <row r="109" spans="1:28" ht="15" customHeight="1" x14ac:dyDescent="0.3">
      <c r="A109" s="231"/>
      <c r="B109" s="43">
        <v>1830007725</v>
      </c>
      <c r="C109" s="25" t="s">
        <v>21</v>
      </c>
      <c r="D109" s="13">
        <v>217990</v>
      </c>
      <c r="E109" s="14">
        <v>1.7999999999999999E-2</v>
      </c>
      <c r="F109" s="32">
        <v>0.03</v>
      </c>
      <c r="G109" s="16">
        <v>3923.8199999999997</v>
      </c>
      <c r="H109" s="17">
        <v>6539.7</v>
      </c>
      <c r="I109" s="51"/>
      <c r="J109" s="12" t="s">
        <v>142</v>
      </c>
      <c r="K109" s="12"/>
      <c r="L109" s="12"/>
      <c r="M109" s="12"/>
      <c r="N109" s="12"/>
      <c r="O109" s="12"/>
      <c r="P109" s="108"/>
      <c r="Q109" s="108">
        <f t="shared" si="5"/>
        <v>0</v>
      </c>
      <c r="R109" s="109">
        <f t="shared" si="6"/>
        <v>0</v>
      </c>
      <c r="S109" s="12" t="s">
        <v>142</v>
      </c>
      <c r="T109" s="12">
        <v>1</v>
      </c>
      <c r="U109" s="12"/>
      <c r="V109" s="12"/>
      <c r="W109" s="12"/>
      <c r="X109" s="12"/>
      <c r="Y109" s="12"/>
      <c r="Z109" s="12"/>
      <c r="AA109" s="12"/>
      <c r="AB109" s="9"/>
    </row>
    <row r="110" spans="1:28" ht="15.75" customHeight="1" thickBot="1" x14ac:dyDescent="0.35">
      <c r="A110" s="232"/>
      <c r="B110" s="44">
        <v>1830007710</v>
      </c>
      <c r="C110" s="36" t="s">
        <v>22</v>
      </c>
      <c r="D110" s="13">
        <v>217990</v>
      </c>
      <c r="E110" s="14">
        <v>1.7999999999999999E-2</v>
      </c>
      <c r="F110" s="37">
        <v>0.03</v>
      </c>
      <c r="G110" s="28">
        <v>3923.8199999999997</v>
      </c>
      <c r="H110" s="29">
        <v>6539.7</v>
      </c>
      <c r="I110" s="52"/>
      <c r="J110" s="53"/>
      <c r="K110" s="53"/>
      <c r="L110" s="53" t="s">
        <v>229</v>
      </c>
      <c r="M110" s="53" t="s">
        <v>22</v>
      </c>
      <c r="N110" s="53"/>
      <c r="O110" s="53"/>
      <c r="P110" s="108"/>
      <c r="Q110" s="108">
        <f t="shared" si="5"/>
        <v>0</v>
      </c>
      <c r="R110" s="109">
        <f t="shared" si="6"/>
        <v>0</v>
      </c>
      <c r="S110" s="12"/>
      <c r="T110" s="12"/>
      <c r="U110" s="12"/>
      <c r="V110" s="12"/>
      <c r="W110" s="12" t="s">
        <v>229</v>
      </c>
      <c r="X110" s="12">
        <v>1</v>
      </c>
      <c r="Y110" s="12" t="s">
        <v>22</v>
      </c>
      <c r="Z110" s="12"/>
      <c r="AA110" s="12"/>
      <c r="AB110" s="9"/>
    </row>
    <row r="111" spans="1:28" ht="15" customHeight="1" thickBot="1" x14ac:dyDescent="0.35">
      <c r="A111" s="243" t="s">
        <v>5945</v>
      </c>
      <c r="B111" s="244"/>
      <c r="C111" s="244"/>
      <c r="D111" s="244"/>
      <c r="E111" s="244"/>
      <c r="F111" s="244"/>
      <c r="G111" s="244"/>
      <c r="H111" s="244"/>
      <c r="I111" s="105"/>
      <c r="J111" s="105"/>
      <c r="K111" s="105"/>
      <c r="L111" s="105"/>
      <c r="M111" s="105"/>
      <c r="N111" s="105"/>
      <c r="O111" s="105"/>
      <c r="P111" s="106">
        <f>SUM(P65:P110)</f>
        <v>0</v>
      </c>
      <c r="Q111" s="106">
        <f>SUM(Q65:Q110)</f>
        <v>0</v>
      </c>
      <c r="R111" s="106">
        <f>SUM(R65:R110)</f>
        <v>0</v>
      </c>
      <c r="S111" s="127">
        <f t="shared" ref="S111:Z111" si="7">SUM(S64:S110)</f>
        <v>0</v>
      </c>
      <c r="T111" s="106">
        <f t="shared" si="7"/>
        <v>6</v>
      </c>
      <c r="U111" s="106">
        <f t="shared" si="7"/>
        <v>0</v>
      </c>
      <c r="V111" s="106">
        <f t="shared" si="7"/>
        <v>9</v>
      </c>
      <c r="W111" s="106">
        <f t="shared" si="7"/>
        <v>0</v>
      </c>
      <c r="X111" s="106">
        <f t="shared" si="7"/>
        <v>8</v>
      </c>
      <c r="Y111" s="106">
        <f t="shared" si="7"/>
        <v>0</v>
      </c>
      <c r="Z111" s="106">
        <f t="shared" si="7"/>
        <v>0</v>
      </c>
      <c r="AA111" s="151" t="s">
        <v>5963</v>
      </c>
      <c r="AB111" s="9"/>
    </row>
    <row r="112" spans="1:28" ht="25.5" customHeight="1" x14ac:dyDescent="0.3">
      <c r="A112" s="235" t="s">
        <v>5927</v>
      </c>
      <c r="B112" s="129" t="s">
        <v>39</v>
      </c>
      <c r="C112" s="130"/>
      <c r="D112" s="130"/>
      <c r="E112" s="130"/>
      <c r="F112" s="130"/>
      <c r="G112" s="130"/>
      <c r="H112" s="131"/>
      <c r="I112" s="46"/>
      <c r="J112" s="47"/>
      <c r="K112" s="47"/>
      <c r="L112" s="47"/>
      <c r="M112" s="47"/>
      <c r="N112" s="47"/>
      <c r="O112" s="47"/>
      <c r="P112" s="75" t="s">
        <v>405</v>
      </c>
      <c r="Q112" s="76" t="s">
        <v>406</v>
      </c>
      <c r="R112" s="77" t="s">
        <v>407</v>
      </c>
      <c r="S112" s="12"/>
      <c r="T112" s="12"/>
      <c r="U112" s="12"/>
      <c r="V112" s="12"/>
      <c r="W112" s="12"/>
      <c r="X112" s="12"/>
      <c r="Y112" s="12"/>
      <c r="Z112" s="12"/>
      <c r="AA112" s="12"/>
      <c r="AB112" s="9"/>
    </row>
    <row r="113" spans="1:28" ht="15" customHeight="1" x14ac:dyDescent="0.3">
      <c r="A113" s="236"/>
      <c r="B113" s="110">
        <v>7211005126</v>
      </c>
      <c r="C113" s="111" t="s">
        <v>5894</v>
      </c>
      <c r="D113" s="13">
        <v>207990</v>
      </c>
      <c r="E113" s="14">
        <v>0.03</v>
      </c>
      <c r="F113" s="32">
        <v>0.05</v>
      </c>
      <c r="G113" s="16">
        <v>6239.7</v>
      </c>
      <c r="H113" s="17">
        <v>10399.5</v>
      </c>
      <c r="I113" s="51"/>
      <c r="J113" s="12"/>
      <c r="K113" s="12"/>
      <c r="L113" s="12"/>
      <c r="M113" s="12"/>
      <c r="N113" s="12"/>
      <c r="O113" s="12"/>
      <c r="P113" s="108"/>
      <c r="Q113" s="108">
        <f t="shared" ref="Q113:Q157" si="8">P113*G113</f>
        <v>0</v>
      </c>
      <c r="R113" s="109">
        <f t="shared" ref="R113:R162" si="9">P113*H113</f>
        <v>0</v>
      </c>
      <c r="S113" s="12"/>
      <c r="T113" s="12"/>
      <c r="U113" s="12"/>
      <c r="V113" s="12"/>
      <c r="W113" s="12"/>
      <c r="X113" s="12"/>
      <c r="Y113" s="12"/>
      <c r="Z113" s="12"/>
      <c r="AA113" s="12"/>
      <c r="AB113" s="9"/>
    </row>
    <row r="114" spans="1:28" ht="15" customHeight="1" x14ac:dyDescent="0.3">
      <c r="A114" s="236"/>
      <c r="B114" s="112">
        <v>1510002834</v>
      </c>
      <c r="C114" s="113" t="s">
        <v>5925</v>
      </c>
      <c r="D114" s="13">
        <v>120990</v>
      </c>
      <c r="E114" s="14">
        <v>1.7999999999999999E-2</v>
      </c>
      <c r="F114" s="32">
        <v>0.03</v>
      </c>
      <c r="G114" s="16">
        <v>2177.8199999999997</v>
      </c>
      <c r="H114" s="17">
        <v>3629.7</v>
      </c>
      <c r="I114" s="51"/>
      <c r="J114" s="12"/>
      <c r="K114" s="12"/>
      <c r="L114" s="12"/>
      <c r="M114" s="12"/>
      <c r="N114" s="12"/>
      <c r="O114" s="12"/>
      <c r="P114" s="108"/>
      <c r="Q114" s="108">
        <f t="shared" si="8"/>
        <v>0</v>
      </c>
      <c r="R114" s="109">
        <f t="shared" si="9"/>
        <v>0</v>
      </c>
      <c r="S114" s="62"/>
      <c r="T114" s="62"/>
      <c r="U114" s="62"/>
      <c r="V114" s="62"/>
      <c r="W114" s="62"/>
      <c r="X114" s="62"/>
      <c r="Y114" s="62"/>
      <c r="Z114" s="62"/>
      <c r="AA114" s="12"/>
      <c r="AB114" s="9"/>
    </row>
    <row r="115" spans="1:28" ht="15" customHeight="1" x14ac:dyDescent="0.3">
      <c r="A115" s="236"/>
      <c r="B115" s="39">
        <v>7211002441</v>
      </c>
      <c r="C115" s="30" t="s">
        <v>40</v>
      </c>
      <c r="D115" s="13">
        <v>127990</v>
      </c>
      <c r="E115" s="14">
        <v>1.7999999999999999E-2</v>
      </c>
      <c r="F115" s="32">
        <v>0.03</v>
      </c>
      <c r="G115" s="16">
        <v>2303.8199999999997</v>
      </c>
      <c r="H115" s="17">
        <v>3839.7</v>
      </c>
      <c r="I115" s="51"/>
      <c r="J115" s="12" t="s">
        <v>154</v>
      </c>
      <c r="K115" s="12" t="s">
        <v>306</v>
      </c>
      <c r="L115" s="12" t="s">
        <v>242</v>
      </c>
      <c r="M115" s="12" t="s">
        <v>40</v>
      </c>
      <c r="N115" s="12"/>
      <c r="O115" s="12"/>
      <c r="P115" s="108"/>
      <c r="Q115" s="108">
        <f t="shared" si="8"/>
        <v>0</v>
      </c>
      <c r="R115" s="109">
        <f t="shared" si="9"/>
        <v>0</v>
      </c>
      <c r="S115" s="12" t="s">
        <v>154</v>
      </c>
      <c r="T115" s="12">
        <v>1</v>
      </c>
      <c r="U115" s="12" t="s">
        <v>306</v>
      </c>
      <c r="V115" s="12">
        <v>1</v>
      </c>
      <c r="W115" s="12" t="s">
        <v>242</v>
      </c>
      <c r="X115" s="12">
        <v>1</v>
      </c>
      <c r="Y115" s="12" t="s">
        <v>40</v>
      </c>
      <c r="Z115" s="12"/>
      <c r="AA115" s="12"/>
      <c r="AB115" s="9"/>
    </row>
    <row r="116" spans="1:28" ht="15" customHeight="1" x14ac:dyDescent="0.3">
      <c r="A116" s="236"/>
      <c r="B116" s="43">
        <v>7211004967</v>
      </c>
      <c r="C116" s="25" t="s">
        <v>5625</v>
      </c>
      <c r="D116" s="13">
        <v>191990</v>
      </c>
      <c r="E116" s="14">
        <v>0.03</v>
      </c>
      <c r="F116" s="32">
        <v>0.05</v>
      </c>
      <c r="G116" s="16">
        <v>5759.7</v>
      </c>
      <c r="H116" s="17">
        <v>9599.5</v>
      </c>
      <c r="I116" s="51"/>
      <c r="J116" s="12"/>
      <c r="K116" s="12"/>
      <c r="L116" s="12"/>
      <c r="M116" s="12"/>
      <c r="N116" s="12"/>
      <c r="O116" s="12"/>
      <c r="P116" s="108"/>
      <c r="Q116" s="108">
        <f t="shared" si="8"/>
        <v>0</v>
      </c>
      <c r="R116" s="109">
        <f t="shared" si="9"/>
        <v>0</v>
      </c>
      <c r="S116" s="12" t="s">
        <v>5647</v>
      </c>
      <c r="T116" s="12">
        <v>1</v>
      </c>
      <c r="U116" s="12" t="s">
        <v>5633</v>
      </c>
      <c r="V116" s="12">
        <v>1</v>
      </c>
      <c r="W116" s="12" t="s">
        <v>5641</v>
      </c>
      <c r="X116" s="12">
        <v>1</v>
      </c>
      <c r="Y116" s="12" t="s">
        <v>5625</v>
      </c>
      <c r="Z116" s="12"/>
      <c r="AA116" s="12"/>
      <c r="AB116" s="9"/>
    </row>
    <row r="117" spans="1:28" ht="15" customHeight="1" x14ac:dyDescent="0.3">
      <c r="A117" s="236"/>
      <c r="B117" s="43">
        <v>7211003273</v>
      </c>
      <c r="C117" s="25" t="s">
        <v>5626</v>
      </c>
      <c r="D117" s="13">
        <v>160990</v>
      </c>
      <c r="E117" s="14">
        <v>2.4E-2</v>
      </c>
      <c r="F117" s="32">
        <v>0.04</v>
      </c>
      <c r="G117" s="16">
        <v>3863.76</v>
      </c>
      <c r="H117" s="17">
        <v>6439.6</v>
      </c>
      <c r="I117" s="51"/>
      <c r="J117" s="12"/>
      <c r="K117" s="12"/>
      <c r="L117" s="12"/>
      <c r="M117" s="12"/>
      <c r="N117" s="12"/>
      <c r="O117" s="12"/>
      <c r="P117" s="108"/>
      <c r="Q117" s="108">
        <f t="shared" si="8"/>
        <v>0</v>
      </c>
      <c r="R117" s="109">
        <f t="shared" si="9"/>
        <v>0</v>
      </c>
      <c r="S117" s="12" t="s">
        <v>5648</v>
      </c>
      <c r="T117" s="12">
        <v>1</v>
      </c>
      <c r="U117" s="12" t="s">
        <v>5634</v>
      </c>
      <c r="V117" s="12">
        <v>1</v>
      </c>
      <c r="W117" s="12" t="s">
        <v>5642</v>
      </c>
      <c r="X117" s="12">
        <v>1</v>
      </c>
      <c r="Y117" s="12" t="s">
        <v>5626</v>
      </c>
      <c r="Z117" s="12"/>
      <c r="AA117" s="12"/>
      <c r="AB117" s="9"/>
    </row>
    <row r="118" spans="1:28" ht="15" customHeight="1" x14ac:dyDescent="0.3">
      <c r="A118" s="236"/>
      <c r="B118" s="43">
        <v>7211002459</v>
      </c>
      <c r="C118" s="25" t="s">
        <v>41</v>
      </c>
      <c r="D118" s="13">
        <v>165990</v>
      </c>
      <c r="E118" s="14">
        <v>2.4E-2</v>
      </c>
      <c r="F118" s="32">
        <v>0.04</v>
      </c>
      <c r="G118" s="16">
        <v>3983.76</v>
      </c>
      <c r="H118" s="17">
        <v>6639.6</v>
      </c>
      <c r="I118" s="51"/>
      <c r="J118" s="12" t="s">
        <v>156</v>
      </c>
      <c r="K118" s="12" t="s">
        <v>307</v>
      </c>
      <c r="L118" s="12" t="s">
        <v>243</v>
      </c>
      <c r="M118" s="12" t="s">
        <v>41</v>
      </c>
      <c r="N118" s="12"/>
      <c r="O118" s="12"/>
      <c r="P118" s="108"/>
      <c r="Q118" s="108">
        <f t="shared" si="8"/>
        <v>0</v>
      </c>
      <c r="R118" s="109">
        <f t="shared" si="9"/>
        <v>0</v>
      </c>
      <c r="S118" s="12" t="s">
        <v>156</v>
      </c>
      <c r="T118" s="12">
        <v>1</v>
      </c>
      <c r="U118" s="12" t="s">
        <v>307</v>
      </c>
      <c r="V118" s="12">
        <v>1</v>
      </c>
      <c r="W118" s="12" t="s">
        <v>243</v>
      </c>
      <c r="X118" s="12">
        <v>1</v>
      </c>
      <c r="Y118" s="12" t="s">
        <v>41</v>
      </c>
      <c r="Z118" s="12"/>
      <c r="AA118" s="12"/>
      <c r="AB118" s="9"/>
    </row>
    <row r="119" spans="1:28" ht="15" customHeight="1" x14ac:dyDescent="0.3">
      <c r="A119" s="236"/>
      <c r="B119" s="43">
        <v>7211002932</v>
      </c>
      <c r="C119" s="25" t="s">
        <v>44</v>
      </c>
      <c r="D119" s="13">
        <v>176990</v>
      </c>
      <c r="E119" s="14">
        <v>0.03</v>
      </c>
      <c r="F119" s="32">
        <v>0.05</v>
      </c>
      <c r="G119" s="16">
        <v>5309.7</v>
      </c>
      <c r="H119" s="17">
        <v>8849.5</v>
      </c>
      <c r="I119" s="51"/>
      <c r="J119" s="12" t="s">
        <v>159</v>
      </c>
      <c r="K119" s="12" t="s">
        <v>310</v>
      </c>
      <c r="L119" s="12" t="s">
        <v>246</v>
      </c>
      <c r="M119" s="12" t="s">
        <v>44</v>
      </c>
      <c r="N119" s="12"/>
      <c r="O119" s="12"/>
      <c r="P119" s="108"/>
      <c r="Q119" s="108">
        <f t="shared" si="8"/>
        <v>0</v>
      </c>
      <c r="R119" s="109">
        <f t="shared" si="9"/>
        <v>0</v>
      </c>
      <c r="S119" s="12" t="s">
        <v>159</v>
      </c>
      <c r="T119" s="12">
        <v>1</v>
      </c>
      <c r="U119" s="12" t="s">
        <v>1602</v>
      </c>
      <c r="V119" s="12">
        <v>1</v>
      </c>
      <c r="W119" s="12" t="s">
        <v>246</v>
      </c>
      <c r="X119" s="12">
        <v>1</v>
      </c>
      <c r="Y119" s="12"/>
      <c r="Z119" s="12"/>
      <c r="AA119" s="12"/>
      <c r="AB119" s="9"/>
    </row>
    <row r="120" spans="1:28" ht="15" customHeight="1" x14ac:dyDescent="0.3">
      <c r="A120" s="236"/>
      <c r="B120" s="132" t="s">
        <v>5908</v>
      </c>
      <c r="C120" s="133"/>
      <c r="D120" s="133"/>
      <c r="E120" s="133"/>
      <c r="F120" s="133"/>
      <c r="G120" s="133"/>
      <c r="H120" s="134"/>
      <c r="I120" s="135"/>
      <c r="J120" s="136"/>
      <c r="K120" s="136"/>
      <c r="L120" s="136"/>
      <c r="M120" s="136"/>
      <c r="N120" s="136"/>
      <c r="O120" s="136"/>
      <c r="P120" s="108"/>
      <c r="Q120" s="108">
        <f t="shared" si="8"/>
        <v>0</v>
      </c>
      <c r="R120" s="109">
        <f t="shared" si="9"/>
        <v>0</v>
      </c>
      <c r="S120" s="12"/>
      <c r="T120" s="12"/>
      <c r="U120" s="12"/>
      <c r="V120" s="12"/>
      <c r="W120" s="12"/>
      <c r="X120" s="12"/>
      <c r="Y120" s="12"/>
      <c r="Z120" s="12"/>
      <c r="AA120" s="12"/>
      <c r="AB120" s="9"/>
    </row>
    <row r="121" spans="1:28" ht="15" customHeight="1" x14ac:dyDescent="0.3">
      <c r="A121" s="236"/>
      <c r="B121" s="97">
        <v>1510003061</v>
      </c>
      <c r="C121" s="98" t="s">
        <v>5921</v>
      </c>
      <c r="D121" s="13">
        <v>149990</v>
      </c>
      <c r="E121" s="14">
        <v>3.3000000000000002E-2</v>
      </c>
      <c r="F121" s="14">
        <v>5.5E-2</v>
      </c>
      <c r="G121" s="16">
        <v>4949.67</v>
      </c>
      <c r="H121" s="17">
        <v>8249.4500000000007</v>
      </c>
      <c r="I121" s="51"/>
      <c r="J121" s="12"/>
      <c r="K121" s="12"/>
      <c r="L121" s="12"/>
      <c r="M121" s="12"/>
      <c r="N121" s="12"/>
      <c r="O121" s="12"/>
      <c r="P121" s="108"/>
      <c r="Q121" s="108">
        <f t="shared" si="8"/>
        <v>0</v>
      </c>
      <c r="R121" s="109">
        <f t="shared" si="9"/>
        <v>0</v>
      </c>
      <c r="S121" s="12"/>
      <c r="T121" s="12"/>
      <c r="U121" s="12"/>
      <c r="V121" s="12"/>
      <c r="W121" s="12"/>
      <c r="X121" s="12"/>
      <c r="Y121" s="12"/>
      <c r="Z121" s="12"/>
      <c r="AA121" s="12"/>
      <c r="AB121" s="9"/>
    </row>
    <row r="122" spans="1:28" ht="15" customHeight="1" x14ac:dyDescent="0.3">
      <c r="A122" s="236"/>
      <c r="B122" s="112">
        <v>7211419851</v>
      </c>
      <c r="C122" s="113" t="s">
        <v>5936</v>
      </c>
      <c r="D122" s="13">
        <v>105990</v>
      </c>
      <c r="E122" s="14">
        <v>0.03</v>
      </c>
      <c r="F122" s="32">
        <v>0.05</v>
      </c>
      <c r="G122" s="16">
        <v>3179.7</v>
      </c>
      <c r="H122" s="17">
        <v>5299.5</v>
      </c>
      <c r="I122" s="51"/>
      <c r="J122" s="12"/>
      <c r="K122" s="12"/>
      <c r="L122" s="12"/>
      <c r="M122" s="12"/>
      <c r="N122" s="12"/>
      <c r="O122" s="12"/>
      <c r="P122" s="108"/>
      <c r="Q122" s="108">
        <f t="shared" si="8"/>
        <v>0</v>
      </c>
      <c r="R122" s="109">
        <f t="shared" si="9"/>
        <v>0</v>
      </c>
      <c r="S122" s="12"/>
      <c r="T122" s="12"/>
      <c r="U122" s="12"/>
      <c r="V122" s="12"/>
      <c r="W122" s="12"/>
      <c r="X122" s="12"/>
      <c r="Y122" s="12"/>
      <c r="Z122" s="12"/>
      <c r="AA122" s="12"/>
      <c r="AB122" s="9"/>
    </row>
    <row r="123" spans="1:28" ht="15" customHeight="1" x14ac:dyDescent="0.3">
      <c r="A123" s="236"/>
      <c r="B123" s="112">
        <v>1510003090</v>
      </c>
      <c r="C123" s="113" t="s">
        <v>5997</v>
      </c>
      <c r="D123" s="13">
        <v>109990</v>
      </c>
      <c r="E123" s="14">
        <v>0.03</v>
      </c>
      <c r="F123" s="32">
        <v>0.05</v>
      </c>
      <c r="G123" s="16">
        <v>3299.7</v>
      </c>
      <c r="H123" s="17">
        <v>5499.5</v>
      </c>
      <c r="I123" s="51"/>
      <c r="J123" s="12"/>
      <c r="K123" s="12"/>
      <c r="L123" s="12"/>
      <c r="M123" s="12"/>
      <c r="N123" s="12"/>
      <c r="O123" s="12"/>
      <c r="P123" s="108"/>
      <c r="Q123" s="108">
        <f>P123*G123</f>
        <v>0</v>
      </c>
      <c r="R123" s="109">
        <f>H123*P123</f>
        <v>0</v>
      </c>
      <c r="S123" s="92"/>
      <c r="T123" s="92"/>
      <c r="U123" s="92"/>
      <c r="V123" s="92"/>
      <c r="W123" s="92"/>
      <c r="X123" s="92"/>
      <c r="Y123" s="92"/>
      <c r="Z123" s="92"/>
      <c r="AA123" s="92"/>
      <c r="AB123" s="11"/>
    </row>
    <row r="124" spans="1:28" ht="15" customHeight="1" x14ac:dyDescent="0.3">
      <c r="A124" s="236"/>
      <c r="B124" s="112">
        <v>7211419889</v>
      </c>
      <c r="C124" s="113" t="s">
        <v>5971</v>
      </c>
      <c r="D124" s="13">
        <v>129990</v>
      </c>
      <c r="E124" s="14">
        <v>3.3000000000000002E-2</v>
      </c>
      <c r="F124" s="32">
        <v>5.5E-2</v>
      </c>
      <c r="G124" s="16">
        <v>4289.67</v>
      </c>
      <c r="H124" s="17">
        <v>7149.45</v>
      </c>
      <c r="I124" s="51"/>
      <c r="J124" s="12"/>
      <c r="K124" s="12"/>
      <c r="L124" s="12"/>
      <c r="M124" s="12"/>
      <c r="N124" s="12"/>
      <c r="O124" s="12"/>
      <c r="P124" s="108"/>
      <c r="Q124" s="108">
        <f t="shared" si="8"/>
        <v>0</v>
      </c>
      <c r="R124" s="109">
        <f t="shared" si="9"/>
        <v>0</v>
      </c>
      <c r="S124" s="12"/>
      <c r="T124" s="12"/>
      <c r="U124" s="12"/>
      <c r="V124" s="12"/>
      <c r="W124" s="12"/>
      <c r="X124" s="12"/>
      <c r="Y124" s="12"/>
      <c r="Z124" s="12"/>
      <c r="AA124" s="93" t="s">
        <v>5879</v>
      </c>
      <c r="AB124" s="9"/>
    </row>
    <row r="125" spans="1:28" ht="15" customHeight="1" x14ac:dyDescent="0.3">
      <c r="A125" s="236"/>
      <c r="B125" s="112">
        <v>7211419370</v>
      </c>
      <c r="C125" s="113" t="s">
        <v>5985</v>
      </c>
      <c r="D125" s="13">
        <v>79990</v>
      </c>
      <c r="E125" s="14">
        <v>1.7999999999999999E-2</v>
      </c>
      <c r="F125" s="32">
        <v>0.03</v>
      </c>
      <c r="G125" s="16">
        <v>1439.82</v>
      </c>
      <c r="H125" s="17">
        <v>2399.6999999999998</v>
      </c>
      <c r="I125" s="51"/>
      <c r="J125" s="12"/>
      <c r="K125" s="12"/>
      <c r="L125" s="12"/>
      <c r="M125" s="12"/>
      <c r="N125" s="12"/>
      <c r="O125" s="12"/>
      <c r="P125" s="108"/>
      <c r="Q125" s="108">
        <f t="shared" si="8"/>
        <v>0</v>
      </c>
      <c r="R125" s="109">
        <f t="shared" si="9"/>
        <v>0</v>
      </c>
      <c r="S125" s="12"/>
      <c r="T125" s="12"/>
      <c r="U125" s="12"/>
      <c r="V125" s="12"/>
      <c r="W125" s="12"/>
      <c r="X125" s="12"/>
      <c r="Y125" s="12"/>
      <c r="Z125" s="12"/>
      <c r="AA125" s="93"/>
      <c r="AB125" s="9"/>
    </row>
    <row r="126" spans="1:28" ht="15" customHeight="1" x14ac:dyDescent="0.3">
      <c r="A126" s="236"/>
      <c r="B126" s="112">
        <v>7211419492</v>
      </c>
      <c r="C126" s="113" t="s">
        <v>5986</v>
      </c>
      <c r="D126" s="13">
        <v>99990</v>
      </c>
      <c r="E126" s="14">
        <v>1.7999999999999999E-2</v>
      </c>
      <c r="F126" s="32">
        <v>0.03</v>
      </c>
      <c r="G126" s="16">
        <v>1799.82</v>
      </c>
      <c r="H126" s="17">
        <v>2999.7</v>
      </c>
      <c r="I126" s="51"/>
      <c r="J126" s="12"/>
      <c r="K126" s="12"/>
      <c r="L126" s="12"/>
      <c r="M126" s="12"/>
      <c r="N126" s="12"/>
      <c r="O126" s="12"/>
      <c r="P126" s="108"/>
      <c r="Q126" s="108">
        <f t="shared" si="8"/>
        <v>0</v>
      </c>
      <c r="R126" s="109">
        <f t="shared" si="9"/>
        <v>0</v>
      </c>
      <c r="S126" s="12"/>
      <c r="T126" s="12"/>
      <c r="U126" s="12"/>
      <c r="V126" s="12"/>
      <c r="W126" s="12"/>
      <c r="X126" s="12"/>
      <c r="Y126" s="12"/>
      <c r="Z126" s="12"/>
      <c r="AA126" s="93"/>
      <c r="AB126" s="9"/>
    </row>
    <row r="127" spans="1:28" ht="15" customHeight="1" x14ac:dyDescent="0.3">
      <c r="A127" s="236"/>
      <c r="B127" s="97">
        <v>1510003117</v>
      </c>
      <c r="C127" s="98" t="s">
        <v>5903</v>
      </c>
      <c r="D127" s="13">
        <v>149990</v>
      </c>
      <c r="E127" s="14">
        <v>3.3000000000000002E-2</v>
      </c>
      <c r="F127" s="14">
        <v>5.5E-2</v>
      </c>
      <c r="G127" s="16">
        <v>4949.67</v>
      </c>
      <c r="H127" s="17">
        <v>8249.4500000000007</v>
      </c>
      <c r="I127" s="51"/>
      <c r="J127" s="12"/>
      <c r="K127" s="12"/>
      <c r="L127" s="12"/>
      <c r="M127" s="12"/>
      <c r="N127" s="12"/>
      <c r="O127" s="12"/>
      <c r="P127" s="108"/>
      <c r="Q127" s="108">
        <f t="shared" si="8"/>
        <v>0</v>
      </c>
      <c r="R127" s="109">
        <f t="shared" si="9"/>
        <v>0</v>
      </c>
      <c r="S127" s="12"/>
      <c r="T127" s="12"/>
      <c r="U127" s="12"/>
      <c r="V127" s="12"/>
      <c r="W127" s="12"/>
      <c r="X127" s="12"/>
      <c r="Y127" s="12"/>
      <c r="Z127" s="12"/>
      <c r="AA127" s="12"/>
      <c r="AB127" s="9"/>
    </row>
    <row r="128" spans="1:28" ht="15" customHeight="1" x14ac:dyDescent="0.3">
      <c r="A128" s="236"/>
      <c r="B128" s="99">
        <v>7211419717</v>
      </c>
      <c r="C128" s="100" t="s">
        <v>5931</v>
      </c>
      <c r="D128" s="13">
        <v>129990</v>
      </c>
      <c r="E128" s="14">
        <v>0.03</v>
      </c>
      <c r="F128" s="14">
        <v>5.5E-2</v>
      </c>
      <c r="G128" s="16">
        <v>3899.7</v>
      </c>
      <c r="H128" s="17">
        <v>7149.45</v>
      </c>
      <c r="I128" s="51"/>
      <c r="J128" s="12"/>
      <c r="K128" s="12"/>
      <c r="L128" s="12"/>
      <c r="M128" s="12"/>
      <c r="N128" s="12"/>
      <c r="O128" s="12"/>
      <c r="P128" s="108"/>
      <c r="Q128" s="108">
        <f t="shared" si="8"/>
        <v>0</v>
      </c>
      <c r="R128" s="109">
        <f t="shared" si="9"/>
        <v>0</v>
      </c>
      <c r="S128" s="92"/>
      <c r="T128" s="92"/>
      <c r="U128" s="92"/>
      <c r="V128" s="92"/>
      <c r="W128" s="92"/>
      <c r="X128" s="92"/>
      <c r="Y128" s="92"/>
      <c r="Z128" s="92"/>
      <c r="AA128" s="12"/>
      <c r="AB128" s="9"/>
    </row>
    <row r="129" spans="1:28" ht="15" customHeight="1" x14ac:dyDescent="0.3">
      <c r="A129" s="236"/>
      <c r="B129" s="99">
        <v>7211419381</v>
      </c>
      <c r="C129" s="100" t="s">
        <v>5932</v>
      </c>
      <c r="D129" s="13">
        <v>119990</v>
      </c>
      <c r="E129" s="14">
        <v>0.03</v>
      </c>
      <c r="F129" s="14">
        <v>0.05</v>
      </c>
      <c r="G129" s="16">
        <v>3599.7</v>
      </c>
      <c r="H129" s="17">
        <v>5999.5</v>
      </c>
      <c r="I129" s="51"/>
      <c r="J129" s="12"/>
      <c r="K129" s="12"/>
      <c r="L129" s="12"/>
      <c r="M129" s="12"/>
      <c r="N129" s="12"/>
      <c r="O129" s="12"/>
      <c r="P129" s="108"/>
      <c r="Q129" s="108">
        <f t="shared" si="8"/>
        <v>0</v>
      </c>
      <c r="R129" s="109">
        <f t="shared" si="9"/>
        <v>0</v>
      </c>
      <c r="S129" s="92"/>
      <c r="T129" s="92"/>
      <c r="U129" s="92"/>
      <c r="V129" s="92"/>
      <c r="W129" s="92"/>
      <c r="X129" s="92"/>
      <c r="Y129" s="92"/>
      <c r="Z129" s="92"/>
      <c r="AA129" s="12"/>
      <c r="AB129" s="9"/>
    </row>
    <row r="130" spans="1:28" ht="15" customHeight="1" x14ac:dyDescent="0.3">
      <c r="A130" s="236"/>
      <c r="B130" s="99">
        <v>1510002913</v>
      </c>
      <c r="C130" s="100" t="s">
        <v>5905</v>
      </c>
      <c r="D130" s="13">
        <v>109990</v>
      </c>
      <c r="E130" s="14">
        <v>0.03</v>
      </c>
      <c r="F130" s="14">
        <v>0.05</v>
      </c>
      <c r="G130" s="16">
        <v>3299.7</v>
      </c>
      <c r="H130" s="17">
        <v>5499.5</v>
      </c>
      <c r="I130" s="51"/>
      <c r="J130" s="12"/>
      <c r="K130" s="12"/>
      <c r="L130" s="12"/>
      <c r="M130" s="12"/>
      <c r="N130" s="12"/>
      <c r="O130" s="12"/>
      <c r="P130" s="108"/>
      <c r="Q130" s="108">
        <f t="shared" si="8"/>
        <v>0</v>
      </c>
      <c r="R130" s="109">
        <f t="shared" si="9"/>
        <v>0</v>
      </c>
      <c r="S130" s="92"/>
      <c r="T130" s="92"/>
      <c r="U130" s="92"/>
      <c r="V130" s="92"/>
      <c r="W130" s="92"/>
      <c r="X130" s="92"/>
      <c r="Y130" s="92"/>
      <c r="Z130" s="92"/>
      <c r="AA130" s="12"/>
      <c r="AB130" s="9"/>
    </row>
    <row r="131" spans="1:28" ht="15" customHeight="1" x14ac:dyDescent="0.3">
      <c r="A131" s="236"/>
      <c r="B131" s="99">
        <v>7211419677</v>
      </c>
      <c r="C131" s="100" t="s">
        <v>5893</v>
      </c>
      <c r="D131" s="13">
        <v>129990</v>
      </c>
      <c r="E131" s="14">
        <v>3.3000000000000002E-2</v>
      </c>
      <c r="F131" s="14">
        <v>0.05</v>
      </c>
      <c r="G131" s="16">
        <v>4289.67</v>
      </c>
      <c r="H131" s="17">
        <v>6499.5</v>
      </c>
      <c r="I131" s="51"/>
      <c r="J131" s="12"/>
      <c r="K131" s="12"/>
      <c r="L131" s="12"/>
      <c r="M131" s="12"/>
      <c r="N131" s="12"/>
      <c r="O131" s="12"/>
      <c r="P131" s="108"/>
      <c r="Q131" s="108">
        <f t="shared" si="8"/>
        <v>0</v>
      </c>
      <c r="R131" s="109">
        <f t="shared" si="9"/>
        <v>0</v>
      </c>
      <c r="S131" s="92"/>
      <c r="T131" s="92"/>
      <c r="U131" s="92"/>
      <c r="V131" s="92"/>
      <c r="W131" s="92"/>
      <c r="X131" s="92"/>
      <c r="Y131" s="92"/>
      <c r="Z131" s="92"/>
      <c r="AA131" s="12"/>
      <c r="AB131" s="9"/>
    </row>
    <row r="132" spans="1:28" ht="15" customHeight="1" x14ac:dyDescent="0.3">
      <c r="A132" s="236"/>
      <c r="B132" s="101">
        <v>1510002069</v>
      </c>
      <c r="C132" s="25" t="s">
        <v>5891</v>
      </c>
      <c r="D132" s="13">
        <v>99990</v>
      </c>
      <c r="E132" s="14">
        <v>1.7999999999999999E-2</v>
      </c>
      <c r="F132" s="14">
        <v>0.03</v>
      </c>
      <c r="G132" s="16">
        <v>1799.82</v>
      </c>
      <c r="H132" s="17">
        <v>2999.7</v>
      </c>
      <c r="I132" s="51"/>
      <c r="J132" s="12"/>
      <c r="K132" s="12"/>
      <c r="L132" s="12"/>
      <c r="M132" s="12"/>
      <c r="N132" s="12"/>
      <c r="O132" s="12"/>
      <c r="P132" s="108"/>
      <c r="Q132" s="108">
        <f t="shared" si="8"/>
        <v>0</v>
      </c>
      <c r="R132" s="109">
        <f t="shared" si="9"/>
        <v>0</v>
      </c>
      <c r="S132" s="12"/>
      <c r="T132" s="12"/>
      <c r="U132" s="12"/>
      <c r="V132" s="12"/>
      <c r="W132" s="12"/>
      <c r="X132" s="12"/>
      <c r="Y132" s="12"/>
      <c r="Z132" s="12"/>
      <c r="AA132" s="12"/>
      <c r="AB132" s="9"/>
    </row>
    <row r="133" spans="1:28" ht="15.75" customHeight="1" thickBot="1" x14ac:dyDescent="0.35">
      <c r="A133" s="237"/>
      <c r="B133" s="114">
        <v>7211419102</v>
      </c>
      <c r="C133" s="36" t="s">
        <v>5878</v>
      </c>
      <c r="D133" s="13">
        <v>62990</v>
      </c>
      <c r="E133" s="14">
        <v>1.7999999999999999E-2</v>
      </c>
      <c r="F133" s="37">
        <v>0.03</v>
      </c>
      <c r="G133" s="28">
        <v>1133.82</v>
      </c>
      <c r="H133" s="29">
        <v>1889.6999999999998</v>
      </c>
      <c r="I133" s="52"/>
      <c r="J133" s="53"/>
      <c r="K133" s="53"/>
      <c r="L133" s="53"/>
      <c r="M133" s="53"/>
      <c r="N133" s="53"/>
      <c r="O133" s="52" t="s">
        <v>5879</v>
      </c>
      <c r="P133" s="108"/>
      <c r="Q133" s="108">
        <f t="shared" si="8"/>
        <v>0</v>
      </c>
      <c r="R133" s="109">
        <f t="shared" si="9"/>
        <v>0</v>
      </c>
      <c r="S133" s="12"/>
      <c r="T133" s="12"/>
      <c r="U133" s="12"/>
      <c r="V133" s="12"/>
      <c r="W133" s="12"/>
      <c r="X133" s="12"/>
      <c r="Y133" s="12"/>
      <c r="Z133" s="12"/>
      <c r="AA133" s="12"/>
      <c r="AB133" s="9"/>
    </row>
    <row r="134" spans="1:28" ht="15" customHeight="1" thickBot="1" x14ac:dyDescent="0.35">
      <c r="A134" s="243" t="s">
        <v>5944</v>
      </c>
      <c r="B134" s="244"/>
      <c r="C134" s="244"/>
      <c r="D134" s="244"/>
      <c r="E134" s="244"/>
      <c r="F134" s="244"/>
      <c r="G134" s="244"/>
      <c r="H134" s="244"/>
      <c r="I134" s="105"/>
      <c r="J134" s="105"/>
      <c r="K134" s="105"/>
      <c r="L134" s="105"/>
      <c r="M134" s="105"/>
      <c r="N134" s="105"/>
      <c r="O134" s="105"/>
      <c r="P134" s="106">
        <f>SUM(P113:P133)</f>
        <v>0</v>
      </c>
      <c r="Q134" s="106">
        <f>SUM(Q113:Q133)</f>
        <v>0</v>
      </c>
      <c r="R134" s="106">
        <f>SUM(R113:R133)</f>
        <v>0</v>
      </c>
      <c r="S134" s="12"/>
      <c r="T134" s="12"/>
      <c r="U134" s="12"/>
      <c r="V134" s="12"/>
      <c r="W134" s="12"/>
      <c r="X134" s="12"/>
      <c r="Y134" s="12"/>
      <c r="Z134" s="12"/>
      <c r="AA134" s="151" t="s">
        <v>5963</v>
      </c>
      <c r="AB134" s="9"/>
    </row>
    <row r="135" spans="1:28" ht="31.5" customHeight="1" x14ac:dyDescent="0.3">
      <c r="A135" s="235" t="s">
        <v>5914</v>
      </c>
      <c r="B135" s="129" t="s">
        <v>5912</v>
      </c>
      <c r="C135" s="130"/>
      <c r="D135" s="130"/>
      <c r="E135" s="130"/>
      <c r="F135" s="130"/>
      <c r="G135" s="130"/>
      <c r="H135" s="131"/>
      <c r="I135" s="137"/>
      <c r="J135" s="138"/>
      <c r="K135" s="138"/>
      <c r="L135" s="138"/>
      <c r="M135" s="138"/>
      <c r="N135" s="138"/>
      <c r="O135" s="138"/>
      <c r="P135" s="75" t="s">
        <v>405</v>
      </c>
      <c r="Q135" s="76" t="s">
        <v>406</v>
      </c>
      <c r="R135" s="77" t="s">
        <v>407</v>
      </c>
      <c r="S135" s="12"/>
      <c r="T135" s="12"/>
      <c r="U135" s="12"/>
      <c r="V135" s="12"/>
      <c r="W135" s="12"/>
      <c r="X135" s="12"/>
      <c r="Y135" s="12"/>
      <c r="Z135" s="12"/>
      <c r="AA135" s="12"/>
      <c r="AB135" s="9"/>
    </row>
    <row r="136" spans="1:28" ht="14.4" customHeight="1" x14ac:dyDescent="0.3">
      <c r="A136" s="236"/>
      <c r="B136" s="43">
        <v>7211419402</v>
      </c>
      <c r="C136" s="25" t="s">
        <v>5918</v>
      </c>
      <c r="D136" s="13">
        <v>93990</v>
      </c>
      <c r="E136" s="14">
        <v>0.03</v>
      </c>
      <c r="F136" s="33">
        <v>0.05</v>
      </c>
      <c r="G136" s="16">
        <v>2819.7</v>
      </c>
      <c r="H136" s="17">
        <v>4699.5</v>
      </c>
      <c r="I136" s="115"/>
      <c r="J136" s="116"/>
      <c r="K136" s="116"/>
      <c r="L136" s="116"/>
      <c r="M136" s="116"/>
      <c r="N136" s="116"/>
      <c r="O136" s="116"/>
      <c r="P136" s="108"/>
      <c r="Q136" s="108">
        <f t="shared" si="8"/>
        <v>0</v>
      </c>
      <c r="R136" s="109">
        <f t="shared" si="9"/>
        <v>0</v>
      </c>
      <c r="S136" s="12"/>
      <c r="T136" s="12"/>
      <c r="U136" s="12"/>
      <c r="V136" s="12"/>
      <c r="W136" s="12"/>
      <c r="X136" s="12"/>
      <c r="Y136" s="12"/>
      <c r="Z136" s="12"/>
      <c r="AA136" s="12"/>
      <c r="AB136" s="9"/>
    </row>
    <row r="137" spans="1:28" ht="14.4" customHeight="1" x14ac:dyDescent="0.3">
      <c r="A137" s="236"/>
      <c r="B137" s="43">
        <v>7211419172</v>
      </c>
      <c r="C137" s="25" t="s">
        <v>5888</v>
      </c>
      <c r="D137" s="13">
        <v>76990</v>
      </c>
      <c r="E137" s="14">
        <v>2.4E-2</v>
      </c>
      <c r="F137" s="33">
        <v>0.04</v>
      </c>
      <c r="G137" s="16">
        <v>1847.76</v>
      </c>
      <c r="H137" s="17">
        <v>3079.6</v>
      </c>
      <c r="I137" s="51"/>
      <c r="J137" s="12"/>
      <c r="K137" s="12"/>
      <c r="L137" s="12"/>
      <c r="M137" s="12"/>
      <c r="N137" s="12"/>
      <c r="O137" s="12"/>
      <c r="P137" s="108"/>
      <c r="Q137" s="108">
        <f t="shared" si="8"/>
        <v>0</v>
      </c>
      <c r="R137" s="109">
        <f t="shared" si="9"/>
        <v>0</v>
      </c>
      <c r="S137" s="12"/>
      <c r="T137" s="12"/>
      <c r="U137" s="12"/>
      <c r="V137" s="12"/>
      <c r="W137" s="12"/>
      <c r="X137" s="12"/>
      <c r="Y137" s="12"/>
      <c r="Z137" s="12"/>
      <c r="AA137" s="12"/>
      <c r="AB137" s="9"/>
    </row>
    <row r="138" spans="1:28" ht="14.4" customHeight="1" x14ac:dyDescent="0.3">
      <c r="A138" s="236"/>
      <c r="B138" s="43">
        <v>7211419169</v>
      </c>
      <c r="C138" s="25" t="s">
        <v>5889</v>
      </c>
      <c r="D138" s="13">
        <v>48990</v>
      </c>
      <c r="E138" s="14">
        <v>1.7999999999999999E-2</v>
      </c>
      <c r="F138" s="33">
        <v>0.03</v>
      </c>
      <c r="G138" s="16">
        <v>881.81999999999994</v>
      </c>
      <c r="H138" s="17">
        <v>1469.7</v>
      </c>
      <c r="I138" s="51"/>
      <c r="J138" s="12"/>
      <c r="K138" s="12"/>
      <c r="L138" s="12"/>
      <c r="M138" s="12"/>
      <c r="N138" s="12"/>
      <c r="O138" s="12"/>
      <c r="P138" s="108"/>
      <c r="Q138" s="108">
        <f t="shared" si="8"/>
        <v>0</v>
      </c>
      <c r="R138" s="109">
        <f t="shared" si="9"/>
        <v>0</v>
      </c>
      <c r="S138" s="12"/>
      <c r="T138" s="12"/>
      <c r="U138" s="12"/>
      <c r="V138" s="12"/>
      <c r="W138" s="12"/>
      <c r="X138" s="12"/>
      <c r="Y138" s="12"/>
      <c r="Z138" s="12"/>
      <c r="AA138" s="12"/>
      <c r="AB138" s="9"/>
    </row>
    <row r="139" spans="1:28" ht="14.4" customHeight="1" x14ac:dyDescent="0.3">
      <c r="A139" s="236"/>
      <c r="B139" s="43">
        <v>7211419378</v>
      </c>
      <c r="C139" s="25" t="s">
        <v>5929</v>
      </c>
      <c r="D139" s="13">
        <v>82990</v>
      </c>
      <c r="E139" s="14">
        <v>0.03</v>
      </c>
      <c r="F139" s="32">
        <v>0.05</v>
      </c>
      <c r="G139" s="16">
        <v>2489.6999999999998</v>
      </c>
      <c r="H139" s="17">
        <v>4149.5</v>
      </c>
      <c r="I139" s="51"/>
      <c r="J139" s="12"/>
      <c r="K139" s="12"/>
      <c r="L139" s="12"/>
      <c r="M139" s="12"/>
      <c r="N139" s="12"/>
      <c r="O139" s="12"/>
      <c r="P139" s="108"/>
      <c r="Q139" s="108">
        <f t="shared" si="8"/>
        <v>0</v>
      </c>
      <c r="R139" s="109">
        <f t="shared" si="9"/>
        <v>0</v>
      </c>
      <c r="S139" s="12"/>
      <c r="T139" s="12"/>
      <c r="U139" s="12"/>
      <c r="V139" s="12"/>
      <c r="W139" s="12"/>
      <c r="X139" s="12"/>
      <c r="Y139" s="12"/>
      <c r="Z139" s="12"/>
      <c r="AA139" s="12"/>
      <c r="AB139" s="9"/>
    </row>
    <row r="140" spans="1:28" ht="14.4" customHeight="1" x14ac:dyDescent="0.3">
      <c r="A140" s="236"/>
      <c r="B140" s="43">
        <v>7211004855</v>
      </c>
      <c r="C140" s="25" t="s">
        <v>5948</v>
      </c>
      <c r="D140" s="13">
        <v>106990</v>
      </c>
      <c r="E140" s="14">
        <v>0.03</v>
      </c>
      <c r="F140" s="32">
        <v>0.05</v>
      </c>
      <c r="G140" s="16">
        <v>3209.7</v>
      </c>
      <c r="H140" s="17">
        <v>5349.5</v>
      </c>
      <c r="I140" s="51"/>
      <c r="J140" s="12"/>
      <c r="K140" s="12"/>
      <c r="L140" s="12"/>
      <c r="M140" s="12"/>
      <c r="N140" s="12"/>
      <c r="O140" s="12"/>
      <c r="P140" s="108"/>
      <c r="Q140" s="108">
        <f t="shared" si="8"/>
        <v>0</v>
      </c>
      <c r="R140" s="109">
        <f t="shared" si="9"/>
        <v>0</v>
      </c>
      <c r="S140" s="12"/>
      <c r="T140" s="12"/>
      <c r="U140" s="12"/>
      <c r="V140" s="12"/>
      <c r="W140" s="12"/>
      <c r="X140" s="12"/>
      <c r="Y140" s="12"/>
      <c r="Z140" s="12"/>
      <c r="AA140" s="12"/>
      <c r="AB140" s="9"/>
    </row>
    <row r="141" spans="1:28" ht="14.4" customHeight="1" x14ac:dyDescent="0.3">
      <c r="A141" s="236"/>
      <c r="B141" s="43">
        <v>7211004861</v>
      </c>
      <c r="C141" s="25" t="s">
        <v>5949</v>
      </c>
      <c r="D141" s="13">
        <v>112990</v>
      </c>
      <c r="E141" s="14">
        <v>0.03</v>
      </c>
      <c r="F141" s="32">
        <v>0.05</v>
      </c>
      <c r="G141" s="16">
        <v>3389.7</v>
      </c>
      <c r="H141" s="17">
        <v>5649.5</v>
      </c>
      <c r="I141" s="51" t="s">
        <v>5879</v>
      </c>
      <c r="J141" s="12"/>
      <c r="K141" s="12"/>
      <c r="L141" s="12"/>
      <c r="M141" s="12"/>
      <c r="N141" s="12"/>
      <c r="O141" s="12"/>
      <c r="P141" s="108"/>
      <c r="Q141" s="108">
        <f t="shared" si="8"/>
        <v>0</v>
      </c>
      <c r="R141" s="109">
        <f t="shared" si="9"/>
        <v>0</v>
      </c>
      <c r="S141" s="12"/>
      <c r="T141" s="12"/>
      <c r="U141" s="12"/>
      <c r="V141" s="12"/>
      <c r="W141" s="12"/>
      <c r="X141" s="12"/>
      <c r="Y141" s="12"/>
      <c r="Z141" s="12"/>
      <c r="AA141" s="12"/>
      <c r="AB141" s="9"/>
    </row>
    <row r="142" spans="1:28" ht="14.4" customHeight="1" x14ac:dyDescent="0.3">
      <c r="A142" s="236"/>
      <c r="B142" s="43">
        <v>7211004958</v>
      </c>
      <c r="C142" s="25" t="s">
        <v>5950</v>
      </c>
      <c r="D142" s="13">
        <v>106990</v>
      </c>
      <c r="E142" s="14">
        <v>0.03</v>
      </c>
      <c r="F142" s="32">
        <v>0.05</v>
      </c>
      <c r="G142" s="16">
        <v>3209.7</v>
      </c>
      <c r="H142" s="17">
        <v>5349.5</v>
      </c>
      <c r="I142" s="51" t="s">
        <v>5879</v>
      </c>
      <c r="J142" s="12"/>
      <c r="K142" s="12"/>
      <c r="L142" s="12"/>
      <c r="M142" s="12"/>
      <c r="N142" s="12"/>
      <c r="O142" s="12"/>
      <c r="P142" s="108"/>
      <c r="Q142" s="108">
        <f t="shared" si="8"/>
        <v>0</v>
      </c>
      <c r="R142" s="109">
        <f t="shared" si="9"/>
        <v>0</v>
      </c>
      <c r="S142" s="12"/>
      <c r="T142" s="12"/>
      <c r="U142" s="12"/>
      <c r="V142" s="12"/>
      <c r="W142" s="12"/>
      <c r="X142" s="12"/>
      <c r="Y142" s="12"/>
      <c r="Z142" s="12"/>
      <c r="AA142" s="12"/>
      <c r="AB142" s="9"/>
    </row>
    <row r="143" spans="1:28" ht="14.4" customHeight="1" x14ac:dyDescent="0.3">
      <c r="A143" s="236"/>
      <c r="B143" s="43">
        <v>7211419086</v>
      </c>
      <c r="C143" s="25" t="s">
        <v>5915</v>
      </c>
      <c r="D143" s="13">
        <v>69990</v>
      </c>
      <c r="E143" s="14">
        <v>2.4E-2</v>
      </c>
      <c r="F143" s="32">
        <v>0.04</v>
      </c>
      <c r="G143" s="16">
        <v>1679.76</v>
      </c>
      <c r="H143" s="17">
        <v>2799.6</v>
      </c>
      <c r="I143" s="51"/>
      <c r="J143" s="12"/>
      <c r="K143" s="12"/>
      <c r="L143" s="12"/>
      <c r="M143" s="12"/>
      <c r="N143" s="12"/>
      <c r="O143" s="12"/>
      <c r="P143" s="108"/>
      <c r="Q143" s="108">
        <f t="shared" si="8"/>
        <v>0</v>
      </c>
      <c r="R143" s="109">
        <f t="shared" si="9"/>
        <v>0</v>
      </c>
      <c r="S143" s="12"/>
      <c r="T143" s="12"/>
      <c r="U143" s="12"/>
      <c r="V143" s="12"/>
      <c r="W143" s="12"/>
      <c r="X143" s="12"/>
      <c r="Y143" s="12"/>
      <c r="Z143" s="12"/>
      <c r="AA143" s="12"/>
      <c r="AB143" s="9"/>
    </row>
    <row r="144" spans="1:28" ht="14.4" customHeight="1" x14ac:dyDescent="0.3">
      <c r="A144" s="236"/>
      <c r="B144" s="43">
        <v>7211004366</v>
      </c>
      <c r="C144" s="25" t="s">
        <v>1381</v>
      </c>
      <c r="D144" s="13">
        <v>74990</v>
      </c>
      <c r="E144" s="14">
        <v>2.4E-2</v>
      </c>
      <c r="F144" s="32">
        <v>0.04</v>
      </c>
      <c r="G144" s="16">
        <v>1799.76</v>
      </c>
      <c r="H144" s="17">
        <v>2999.6</v>
      </c>
      <c r="I144" s="51"/>
      <c r="J144" s="12"/>
      <c r="K144" s="12"/>
      <c r="L144" s="12"/>
      <c r="M144" s="12"/>
      <c r="N144" s="12"/>
      <c r="O144" s="12"/>
      <c r="P144" s="108"/>
      <c r="Q144" s="108">
        <f t="shared" si="8"/>
        <v>0</v>
      </c>
      <c r="R144" s="109">
        <f t="shared" si="9"/>
        <v>0</v>
      </c>
      <c r="S144" s="12"/>
      <c r="T144" s="12"/>
      <c r="U144" s="12"/>
      <c r="V144" s="12"/>
      <c r="W144" s="12"/>
      <c r="X144" s="12"/>
      <c r="Y144" s="12"/>
      <c r="Z144" s="12"/>
      <c r="AA144" s="12"/>
      <c r="AB144" s="9"/>
    </row>
    <row r="145" spans="1:28" ht="14.4" customHeight="1" x14ac:dyDescent="0.3">
      <c r="A145" s="236"/>
      <c r="B145" s="43">
        <v>7211004356</v>
      </c>
      <c r="C145" s="25" t="s">
        <v>5611</v>
      </c>
      <c r="D145" s="13">
        <v>113990</v>
      </c>
      <c r="E145" s="14">
        <v>0.03</v>
      </c>
      <c r="F145" s="32">
        <v>0.05</v>
      </c>
      <c r="G145" s="16">
        <v>3419.7</v>
      </c>
      <c r="H145" s="17">
        <v>5699.5</v>
      </c>
      <c r="I145" s="51"/>
      <c r="J145" s="12"/>
      <c r="K145" s="12"/>
      <c r="L145" s="12"/>
      <c r="M145" s="12"/>
      <c r="N145" s="12"/>
      <c r="O145" s="12"/>
      <c r="P145" s="108"/>
      <c r="Q145" s="108">
        <f t="shared" si="8"/>
        <v>0</v>
      </c>
      <c r="R145" s="109">
        <f t="shared" si="9"/>
        <v>0</v>
      </c>
      <c r="S145" s="12"/>
      <c r="T145" s="12"/>
      <c r="U145" s="12"/>
      <c r="V145" s="12"/>
      <c r="W145" s="12" t="s">
        <v>5601</v>
      </c>
      <c r="X145" s="12">
        <v>1</v>
      </c>
      <c r="Y145" s="12"/>
      <c r="Z145" s="12"/>
      <c r="AA145" s="12"/>
      <c r="AB145" s="9"/>
    </row>
    <row r="146" spans="1:28" ht="14.4" customHeight="1" x14ac:dyDescent="0.3">
      <c r="A146" s="236"/>
      <c r="B146" s="43">
        <v>7211004054</v>
      </c>
      <c r="C146" s="25" t="s">
        <v>58</v>
      </c>
      <c r="D146" s="13">
        <v>103990</v>
      </c>
      <c r="E146" s="14">
        <v>0.03</v>
      </c>
      <c r="F146" s="32">
        <v>0.05</v>
      </c>
      <c r="G146" s="16">
        <v>3119.7</v>
      </c>
      <c r="H146" s="17">
        <v>5199.5</v>
      </c>
      <c r="I146" s="51"/>
      <c r="J146" s="12" t="s">
        <v>170</v>
      </c>
      <c r="K146" s="12" t="s">
        <v>315</v>
      </c>
      <c r="L146" s="12" t="s">
        <v>254</v>
      </c>
      <c r="M146" s="12" t="s">
        <v>58</v>
      </c>
      <c r="N146" s="12"/>
      <c r="O146" s="12"/>
      <c r="P146" s="108"/>
      <c r="Q146" s="108">
        <f t="shared" si="8"/>
        <v>0</v>
      </c>
      <c r="R146" s="109">
        <f t="shared" si="9"/>
        <v>0</v>
      </c>
      <c r="S146" s="12" t="s">
        <v>170</v>
      </c>
      <c r="T146" s="12">
        <v>1</v>
      </c>
      <c r="U146" s="12" t="s">
        <v>5278</v>
      </c>
      <c r="V146" s="12">
        <v>1</v>
      </c>
      <c r="W146" s="12" t="s">
        <v>254</v>
      </c>
      <c r="X146" s="12">
        <v>1</v>
      </c>
      <c r="Y146" s="12" t="s">
        <v>58</v>
      </c>
      <c r="Z146" s="12"/>
      <c r="AA146" s="12"/>
      <c r="AB146" s="9"/>
    </row>
    <row r="147" spans="1:28" ht="14.4" customHeight="1" x14ac:dyDescent="0.3">
      <c r="A147" s="236"/>
      <c r="B147" s="43">
        <v>7211003925</v>
      </c>
      <c r="C147" s="25" t="s">
        <v>59</v>
      </c>
      <c r="D147" s="13">
        <v>57990</v>
      </c>
      <c r="E147" s="14">
        <v>1.7999999999999999E-2</v>
      </c>
      <c r="F147" s="32">
        <v>0.03</v>
      </c>
      <c r="G147" s="16">
        <v>1043.82</v>
      </c>
      <c r="H147" s="17">
        <v>1739.7</v>
      </c>
      <c r="I147" s="51"/>
      <c r="J147" s="12" t="s">
        <v>171</v>
      </c>
      <c r="K147" s="12" t="s">
        <v>316</v>
      </c>
      <c r="L147" s="12" t="s">
        <v>255</v>
      </c>
      <c r="M147" s="12" t="s">
        <v>59</v>
      </c>
      <c r="N147" s="12"/>
      <c r="O147" s="12"/>
      <c r="P147" s="108"/>
      <c r="Q147" s="108">
        <f t="shared" si="8"/>
        <v>0</v>
      </c>
      <c r="R147" s="109">
        <f t="shared" si="9"/>
        <v>0</v>
      </c>
      <c r="S147" s="12" t="s">
        <v>171</v>
      </c>
      <c r="T147" s="12">
        <v>1</v>
      </c>
      <c r="U147" s="12" t="s">
        <v>1334</v>
      </c>
      <c r="V147" s="12">
        <v>1</v>
      </c>
      <c r="W147" s="12" t="s">
        <v>255</v>
      </c>
      <c r="X147" s="12">
        <v>1</v>
      </c>
      <c r="Y147" s="12" t="s">
        <v>59</v>
      </c>
      <c r="Z147" s="12"/>
      <c r="AA147" s="12"/>
      <c r="AB147" s="9"/>
    </row>
    <row r="148" spans="1:28" ht="15" customHeight="1" thickBot="1" x14ac:dyDescent="0.35">
      <c r="A148" s="236"/>
      <c r="B148" s="44">
        <v>7211004244</v>
      </c>
      <c r="C148" s="36" t="s">
        <v>61</v>
      </c>
      <c r="D148" s="13">
        <v>79990</v>
      </c>
      <c r="E148" s="117">
        <v>1.7999999999999999E-2</v>
      </c>
      <c r="F148" s="37">
        <v>0.03</v>
      </c>
      <c r="G148" s="28">
        <v>1439.82</v>
      </c>
      <c r="H148" s="29">
        <v>2399.6999999999998</v>
      </c>
      <c r="I148" s="52"/>
      <c r="J148" s="53" t="s">
        <v>173</v>
      </c>
      <c r="K148" s="53" t="s">
        <v>317</v>
      </c>
      <c r="L148" s="53" t="s">
        <v>257</v>
      </c>
      <c r="M148" s="53"/>
      <c r="N148" s="53"/>
      <c r="O148" s="53"/>
      <c r="P148" s="108"/>
      <c r="Q148" s="108">
        <f t="shared" si="8"/>
        <v>0</v>
      </c>
      <c r="R148" s="109">
        <f t="shared" si="9"/>
        <v>0</v>
      </c>
      <c r="S148" s="12" t="s">
        <v>173</v>
      </c>
      <c r="T148" s="12">
        <v>1</v>
      </c>
      <c r="U148" s="12" t="s">
        <v>1242</v>
      </c>
      <c r="V148" s="12">
        <v>1</v>
      </c>
      <c r="W148" s="12" t="s">
        <v>257</v>
      </c>
      <c r="X148" s="12">
        <v>1</v>
      </c>
      <c r="Y148" s="12"/>
      <c r="Z148" s="12"/>
      <c r="AA148" s="12"/>
      <c r="AB148" s="9"/>
    </row>
    <row r="149" spans="1:28" ht="23.25" customHeight="1" x14ac:dyDescent="0.3">
      <c r="A149" s="236"/>
      <c r="B149" s="129" t="s">
        <v>62</v>
      </c>
      <c r="C149" s="130"/>
      <c r="D149" s="130"/>
      <c r="E149" s="130"/>
      <c r="F149" s="130"/>
      <c r="G149" s="130"/>
      <c r="H149" s="131"/>
      <c r="I149" s="137"/>
      <c r="J149" s="138"/>
      <c r="K149" s="138"/>
      <c r="L149" s="138"/>
      <c r="M149" s="138"/>
      <c r="N149" s="138"/>
      <c r="O149" s="138"/>
      <c r="P149" s="108"/>
      <c r="Q149" s="108">
        <f t="shared" si="8"/>
        <v>0</v>
      </c>
      <c r="R149" s="109">
        <f t="shared" si="9"/>
        <v>0</v>
      </c>
      <c r="S149" s="12"/>
      <c r="T149" s="12"/>
      <c r="U149" s="12"/>
      <c r="V149" s="12"/>
      <c r="W149" s="12"/>
      <c r="X149" s="12"/>
      <c r="Y149" s="12"/>
      <c r="Z149" s="12"/>
      <c r="AA149" s="12"/>
      <c r="AB149" s="9"/>
    </row>
    <row r="150" spans="1:28" ht="14.4" customHeight="1" x14ac:dyDescent="0.3">
      <c r="A150" s="236"/>
      <c r="B150" s="43">
        <v>8010000794</v>
      </c>
      <c r="C150" s="25" t="s">
        <v>63</v>
      </c>
      <c r="D150" s="13">
        <v>165990</v>
      </c>
      <c r="E150" s="14">
        <v>0.03</v>
      </c>
      <c r="F150" s="32">
        <v>0.05</v>
      </c>
      <c r="G150" s="16">
        <v>4979.7</v>
      </c>
      <c r="H150" s="17">
        <v>8299.5</v>
      </c>
      <c r="I150" s="51"/>
      <c r="J150" s="12" t="s">
        <v>174</v>
      </c>
      <c r="K150" s="12" t="s">
        <v>318</v>
      </c>
      <c r="L150" s="12"/>
      <c r="M150" s="12" t="s">
        <v>63</v>
      </c>
      <c r="N150" s="12"/>
      <c r="O150" s="12"/>
      <c r="P150" s="108"/>
      <c r="Q150" s="108">
        <f t="shared" si="8"/>
        <v>0</v>
      </c>
      <c r="R150" s="109">
        <f t="shared" si="9"/>
        <v>0</v>
      </c>
      <c r="S150" s="12" t="s">
        <v>174</v>
      </c>
      <c r="T150" s="12">
        <v>1</v>
      </c>
      <c r="U150" s="12" t="s">
        <v>5258</v>
      </c>
      <c r="V150" s="12">
        <v>1</v>
      </c>
      <c r="W150" s="12" t="s">
        <v>1985</v>
      </c>
      <c r="X150" s="12">
        <v>1</v>
      </c>
      <c r="Y150" s="12" t="s">
        <v>63</v>
      </c>
      <c r="Z150" s="12"/>
      <c r="AA150" s="12"/>
      <c r="AB150" s="9"/>
    </row>
    <row r="151" spans="1:28" ht="14.4" customHeight="1" x14ac:dyDescent="0.3">
      <c r="A151" s="236"/>
      <c r="B151" s="43">
        <v>8010000033</v>
      </c>
      <c r="C151" s="25" t="s">
        <v>64</v>
      </c>
      <c r="D151" s="13">
        <v>155990</v>
      </c>
      <c r="E151" s="14">
        <v>0.03</v>
      </c>
      <c r="F151" s="32">
        <v>0.05</v>
      </c>
      <c r="G151" s="16">
        <v>4679.7</v>
      </c>
      <c r="H151" s="17">
        <v>7799.5</v>
      </c>
      <c r="I151" s="51"/>
      <c r="J151" s="12" t="s">
        <v>175</v>
      </c>
      <c r="K151" s="12"/>
      <c r="L151" s="12"/>
      <c r="M151" s="12"/>
      <c r="N151" s="12"/>
      <c r="O151" s="12"/>
      <c r="P151" s="108"/>
      <c r="Q151" s="108">
        <f t="shared" si="8"/>
        <v>0</v>
      </c>
      <c r="R151" s="109">
        <f t="shared" si="9"/>
        <v>0</v>
      </c>
      <c r="S151" s="12" t="s">
        <v>175</v>
      </c>
      <c r="T151" s="12">
        <v>1</v>
      </c>
      <c r="U151" s="12" t="s">
        <v>5306</v>
      </c>
      <c r="V151" s="12">
        <v>1</v>
      </c>
      <c r="W151" s="12"/>
      <c r="X151" s="12"/>
      <c r="Y151" s="12"/>
      <c r="Z151" s="12"/>
      <c r="AA151" s="12"/>
      <c r="AB151" s="9"/>
    </row>
    <row r="152" spans="1:28" ht="14.4" customHeight="1" x14ac:dyDescent="0.3">
      <c r="A152" s="236"/>
      <c r="B152" s="43">
        <v>1510001599</v>
      </c>
      <c r="C152" s="25" t="s">
        <v>66</v>
      </c>
      <c r="D152" s="13">
        <v>128990</v>
      </c>
      <c r="E152" s="14">
        <v>2.4E-2</v>
      </c>
      <c r="F152" s="32">
        <v>0.04</v>
      </c>
      <c r="G152" s="16">
        <v>3095.76</v>
      </c>
      <c r="H152" s="17">
        <v>5159.6000000000004</v>
      </c>
      <c r="I152" s="51"/>
      <c r="J152" s="12"/>
      <c r="K152" s="12"/>
      <c r="L152" s="12" t="s">
        <v>259</v>
      </c>
      <c r="M152" s="12" t="s">
        <v>66</v>
      </c>
      <c r="N152" s="12"/>
      <c r="O152" s="12"/>
      <c r="P152" s="108"/>
      <c r="Q152" s="108">
        <f t="shared" si="8"/>
        <v>0</v>
      </c>
      <c r="R152" s="109">
        <f t="shared" si="9"/>
        <v>0</v>
      </c>
      <c r="S152" s="12" t="s">
        <v>3726</v>
      </c>
      <c r="T152" s="12">
        <v>1</v>
      </c>
      <c r="U152" s="12"/>
      <c r="V152" s="12"/>
      <c r="W152" s="12" t="s">
        <v>259</v>
      </c>
      <c r="X152" s="12">
        <v>1</v>
      </c>
      <c r="Y152" s="12" t="s">
        <v>66</v>
      </c>
      <c r="Z152" s="12"/>
      <c r="AA152" s="12"/>
      <c r="AB152" s="9"/>
    </row>
    <row r="153" spans="1:28" ht="14.4" customHeight="1" x14ac:dyDescent="0.3">
      <c r="A153" s="236"/>
      <c r="B153" s="43">
        <v>1510001318</v>
      </c>
      <c r="C153" s="25" t="s">
        <v>67</v>
      </c>
      <c r="D153" s="13">
        <v>128990</v>
      </c>
      <c r="E153" s="14">
        <v>2.4E-2</v>
      </c>
      <c r="F153" s="32">
        <v>0.04</v>
      </c>
      <c r="G153" s="16">
        <v>3095.76</v>
      </c>
      <c r="H153" s="17">
        <v>5159.6000000000004</v>
      </c>
      <c r="I153" s="51"/>
      <c r="J153" s="12"/>
      <c r="K153" s="12" t="s">
        <v>320</v>
      </c>
      <c r="L153" s="12"/>
      <c r="M153" s="12"/>
      <c r="N153" s="12"/>
      <c r="O153" s="12"/>
      <c r="P153" s="108"/>
      <c r="Q153" s="108">
        <f t="shared" si="8"/>
        <v>0</v>
      </c>
      <c r="R153" s="109">
        <f t="shared" si="9"/>
        <v>0</v>
      </c>
      <c r="S153" s="12"/>
      <c r="T153" s="12"/>
      <c r="U153" s="12" t="s">
        <v>5256</v>
      </c>
      <c r="V153" s="12">
        <v>1</v>
      </c>
      <c r="W153" s="12"/>
      <c r="X153" s="12"/>
      <c r="Y153" s="12"/>
      <c r="Z153" s="12"/>
      <c r="AA153" s="12"/>
      <c r="AB153" s="9"/>
    </row>
    <row r="154" spans="1:28" ht="14.4" customHeight="1" x14ac:dyDescent="0.3">
      <c r="A154" s="236"/>
      <c r="B154" s="43">
        <v>1510001153</v>
      </c>
      <c r="C154" s="25" t="s">
        <v>68</v>
      </c>
      <c r="D154" s="13">
        <v>118990</v>
      </c>
      <c r="E154" s="14">
        <v>1.7999999999999999E-2</v>
      </c>
      <c r="F154" s="32">
        <v>0.03</v>
      </c>
      <c r="G154" s="16">
        <v>2141.8199999999997</v>
      </c>
      <c r="H154" s="17">
        <v>3569.7</v>
      </c>
      <c r="I154" s="51"/>
      <c r="J154" s="12" t="s">
        <v>177</v>
      </c>
      <c r="K154" s="12"/>
      <c r="L154" s="12"/>
      <c r="M154" s="12"/>
      <c r="N154" s="12"/>
      <c r="O154" s="12"/>
      <c r="P154" s="108"/>
      <c r="Q154" s="108">
        <f t="shared" si="8"/>
        <v>0</v>
      </c>
      <c r="R154" s="109">
        <f t="shared" si="9"/>
        <v>0</v>
      </c>
      <c r="S154" s="12" t="s">
        <v>177</v>
      </c>
      <c r="T154" s="12">
        <v>1</v>
      </c>
      <c r="U154" s="12"/>
      <c r="V154" s="12"/>
      <c r="W154" s="12"/>
      <c r="X154" s="12"/>
      <c r="Y154" s="12"/>
      <c r="Z154" s="12"/>
      <c r="AA154" s="12"/>
      <c r="AB154" s="9"/>
    </row>
    <row r="155" spans="1:28" ht="14.4" customHeight="1" x14ac:dyDescent="0.3">
      <c r="A155" s="236"/>
      <c r="B155" s="43">
        <v>1510001655</v>
      </c>
      <c r="C155" s="25" t="s">
        <v>412</v>
      </c>
      <c r="D155" s="13">
        <v>149990</v>
      </c>
      <c r="E155" s="14">
        <v>2.4E-2</v>
      </c>
      <c r="F155" s="27">
        <v>0.04</v>
      </c>
      <c r="G155" s="16">
        <v>3599.76</v>
      </c>
      <c r="H155" s="17">
        <v>5999.6</v>
      </c>
      <c r="I155" s="51"/>
      <c r="J155" s="12"/>
      <c r="K155" s="12"/>
      <c r="L155" s="12"/>
      <c r="M155" s="12"/>
      <c r="N155" s="12"/>
      <c r="O155" s="12"/>
      <c r="P155" s="108"/>
      <c r="Q155" s="108">
        <f t="shared" si="8"/>
        <v>0</v>
      </c>
      <c r="R155" s="109">
        <f t="shared" si="9"/>
        <v>0</v>
      </c>
      <c r="S155" s="12"/>
      <c r="T155" s="12"/>
      <c r="U155" s="12"/>
      <c r="V155" s="12"/>
      <c r="W155" s="12"/>
      <c r="X155" s="12"/>
      <c r="Y155" s="12"/>
      <c r="Z155" s="12"/>
      <c r="AA155" s="12"/>
      <c r="AB155" s="9"/>
    </row>
    <row r="156" spans="1:28" ht="14.4" customHeight="1" x14ac:dyDescent="0.3">
      <c r="A156" s="236"/>
      <c r="B156" s="43">
        <v>1510001319</v>
      </c>
      <c r="C156" s="25" t="s">
        <v>69</v>
      </c>
      <c r="D156" s="13">
        <v>171990</v>
      </c>
      <c r="E156" s="14">
        <v>0.03</v>
      </c>
      <c r="F156" s="32">
        <v>0.05</v>
      </c>
      <c r="G156" s="16">
        <v>5159.7</v>
      </c>
      <c r="H156" s="17">
        <v>8599.5</v>
      </c>
      <c r="I156" s="51"/>
      <c r="J156" s="12" t="s">
        <v>178</v>
      </c>
      <c r="K156" s="12"/>
      <c r="L156" s="12" t="s">
        <v>260</v>
      </c>
      <c r="M156" s="12"/>
      <c r="N156" s="12"/>
      <c r="O156" s="12"/>
      <c r="P156" s="108"/>
      <c r="Q156" s="108">
        <f t="shared" si="8"/>
        <v>0</v>
      </c>
      <c r="R156" s="109">
        <f t="shared" si="9"/>
        <v>0</v>
      </c>
      <c r="S156" s="12" t="s">
        <v>178</v>
      </c>
      <c r="T156" s="12">
        <v>1</v>
      </c>
      <c r="U156" s="12" t="s">
        <v>5315</v>
      </c>
      <c r="V156" s="12">
        <v>1</v>
      </c>
      <c r="W156" s="12" t="s">
        <v>260</v>
      </c>
      <c r="X156" s="12">
        <v>1</v>
      </c>
      <c r="Y156" s="12" t="s">
        <v>69</v>
      </c>
      <c r="Z156" s="12"/>
      <c r="AA156" s="12"/>
      <c r="AB156" s="9"/>
    </row>
    <row r="157" spans="1:28" ht="15" customHeight="1" thickBot="1" x14ac:dyDescent="0.35">
      <c r="A157" s="237"/>
      <c r="B157" s="44">
        <v>1510001687</v>
      </c>
      <c r="C157" s="36" t="s">
        <v>70</v>
      </c>
      <c r="D157" s="13">
        <v>150990</v>
      </c>
      <c r="E157" s="14">
        <v>2.4E-2</v>
      </c>
      <c r="F157" s="37">
        <v>0.04</v>
      </c>
      <c r="G157" s="28">
        <v>3623.76</v>
      </c>
      <c r="H157" s="29">
        <v>6039.6</v>
      </c>
      <c r="I157" s="52"/>
      <c r="J157" s="53"/>
      <c r="K157" s="53"/>
      <c r="L157" s="53" t="s">
        <v>261</v>
      </c>
      <c r="M157" s="53" t="s">
        <v>70</v>
      </c>
      <c r="N157" s="53"/>
      <c r="O157" s="53"/>
      <c r="P157" s="108"/>
      <c r="Q157" s="108">
        <f t="shared" si="8"/>
        <v>0</v>
      </c>
      <c r="R157" s="109">
        <f t="shared" si="9"/>
        <v>0</v>
      </c>
      <c r="S157" s="12"/>
      <c r="T157" s="12"/>
      <c r="U157" s="12"/>
      <c r="V157" s="12"/>
      <c r="W157" s="12" t="s">
        <v>261</v>
      </c>
      <c r="X157" s="12">
        <v>1</v>
      </c>
      <c r="Y157" s="12" t="s">
        <v>70</v>
      </c>
      <c r="Z157" s="12"/>
      <c r="AA157" s="12"/>
      <c r="AB157" s="9"/>
    </row>
    <row r="158" spans="1:28" ht="28.95" customHeight="1" thickBot="1" x14ac:dyDescent="0.35">
      <c r="A158" s="243" t="s">
        <v>5943</v>
      </c>
      <c r="B158" s="244"/>
      <c r="C158" s="244"/>
      <c r="D158" s="244"/>
      <c r="E158" s="244"/>
      <c r="F158" s="244"/>
      <c r="G158" s="244"/>
      <c r="H158" s="244"/>
      <c r="I158" s="105"/>
      <c r="J158" s="105"/>
      <c r="K158" s="105"/>
      <c r="L158" s="105"/>
      <c r="M158" s="105"/>
      <c r="N158" s="105"/>
      <c r="O158" s="105"/>
      <c r="P158" s="106">
        <f>SUM(P136:P157)</f>
        <v>0</v>
      </c>
      <c r="Q158" s="106">
        <f>SUM(Q136:Q157)</f>
        <v>0</v>
      </c>
      <c r="R158" s="106">
        <f>SUM(R136:R157)</f>
        <v>0</v>
      </c>
      <c r="S158" s="12"/>
      <c r="T158" s="12"/>
      <c r="U158" s="12"/>
      <c r="V158" s="12"/>
      <c r="W158" s="12"/>
      <c r="X158" s="12"/>
      <c r="Y158" s="12"/>
      <c r="Z158" s="12"/>
      <c r="AA158" s="151" t="s">
        <v>5963</v>
      </c>
      <c r="AB158" s="9"/>
    </row>
    <row r="159" spans="1:28" s="12" customFormat="1" ht="42" customHeight="1" x14ac:dyDescent="0.3">
      <c r="A159" s="238" t="s">
        <v>5913</v>
      </c>
      <c r="B159" s="139" t="s">
        <v>5995</v>
      </c>
      <c r="C159" s="140"/>
      <c r="D159" s="140"/>
      <c r="E159" s="140"/>
      <c r="F159" s="140"/>
      <c r="G159" s="140"/>
      <c r="H159" s="141"/>
      <c r="I159" s="137"/>
      <c r="J159" s="138"/>
      <c r="K159" s="138"/>
      <c r="L159" s="138"/>
      <c r="M159" s="138"/>
      <c r="N159" s="138"/>
      <c r="O159" s="138"/>
      <c r="P159" s="75" t="s">
        <v>405</v>
      </c>
      <c r="Q159" s="76" t="s">
        <v>406</v>
      </c>
      <c r="R159" s="77" t="s">
        <v>407</v>
      </c>
    </row>
    <row r="160" spans="1:28" s="12" customFormat="1" ht="15" customHeight="1" outlineLevel="1" x14ac:dyDescent="0.3">
      <c r="A160" s="239"/>
      <c r="B160" s="102">
        <v>2100124925</v>
      </c>
      <c r="C160" s="103" t="s">
        <v>5900</v>
      </c>
      <c r="D160" s="13">
        <v>64490</v>
      </c>
      <c r="E160" s="14">
        <v>0.03</v>
      </c>
      <c r="F160" s="38">
        <v>0.05</v>
      </c>
      <c r="G160" s="16">
        <v>1934.6999999999998</v>
      </c>
      <c r="H160" s="17">
        <v>3224.5</v>
      </c>
      <c r="I160" s="51"/>
      <c r="P160" s="108"/>
      <c r="Q160" s="108">
        <f t="shared" ref="Q160:Q236" si="10">P160*G160</f>
        <v>0</v>
      </c>
      <c r="R160" s="109">
        <f t="shared" si="9"/>
        <v>0</v>
      </c>
    </row>
    <row r="161" spans="1:25" s="12" customFormat="1" ht="15" customHeight="1" outlineLevel="1" x14ac:dyDescent="0.3">
      <c r="A161" s="239"/>
      <c r="B161" s="102">
        <v>2100123178</v>
      </c>
      <c r="C161" s="103" t="s">
        <v>5901</v>
      </c>
      <c r="D161" s="13">
        <v>49990</v>
      </c>
      <c r="E161" s="14">
        <v>0.03</v>
      </c>
      <c r="F161" s="38">
        <v>0.05</v>
      </c>
      <c r="G161" s="16">
        <v>1499.7</v>
      </c>
      <c r="H161" s="17">
        <v>2499.5</v>
      </c>
      <c r="I161" s="51"/>
      <c r="P161" s="108"/>
      <c r="Q161" s="108">
        <f t="shared" si="10"/>
        <v>0</v>
      </c>
      <c r="R161" s="109">
        <f t="shared" si="9"/>
        <v>0</v>
      </c>
    </row>
    <row r="162" spans="1:25" s="12" customFormat="1" ht="15" customHeight="1" outlineLevel="1" x14ac:dyDescent="0.3">
      <c r="A162" s="239"/>
      <c r="B162" s="102">
        <v>9100033278</v>
      </c>
      <c r="C162" s="103">
        <v>4180850</v>
      </c>
      <c r="D162" s="13">
        <v>49990</v>
      </c>
      <c r="E162" s="14">
        <v>0.03</v>
      </c>
      <c r="F162" s="38">
        <v>0.05</v>
      </c>
      <c r="G162" s="16">
        <v>1499.7</v>
      </c>
      <c r="H162" s="17">
        <v>2499.5</v>
      </c>
      <c r="I162" s="51"/>
      <c r="P162" s="108"/>
      <c r="Q162" s="108">
        <f t="shared" si="10"/>
        <v>0</v>
      </c>
      <c r="R162" s="109">
        <f t="shared" si="9"/>
        <v>0</v>
      </c>
    </row>
    <row r="163" spans="1:25" s="12" customFormat="1" ht="18.899999999999999" customHeight="1" outlineLevel="1" x14ac:dyDescent="0.3">
      <c r="A163" s="239"/>
      <c r="B163" s="102">
        <v>2100136922</v>
      </c>
      <c r="C163" s="103" t="s">
        <v>5954</v>
      </c>
      <c r="D163" s="13">
        <v>33990</v>
      </c>
      <c r="E163" s="14">
        <v>1.7999999999999999E-2</v>
      </c>
      <c r="F163" s="38">
        <v>0.03</v>
      </c>
      <c r="G163" s="16">
        <v>611.81999999999994</v>
      </c>
      <c r="H163" s="17">
        <v>1019.6999999999999</v>
      </c>
      <c r="I163" s="51"/>
      <c r="P163" s="108"/>
      <c r="Q163" s="108">
        <f t="shared" si="10"/>
        <v>0</v>
      </c>
      <c r="R163" s="109">
        <f t="shared" ref="R163:R242" si="11">P163*H163</f>
        <v>0</v>
      </c>
    </row>
    <row r="164" spans="1:25" s="12" customFormat="1" ht="18.899999999999999" customHeight="1" outlineLevel="1" x14ac:dyDescent="0.3">
      <c r="A164" s="239"/>
      <c r="B164" s="102">
        <v>2100136981</v>
      </c>
      <c r="C164" s="103" t="s">
        <v>5955</v>
      </c>
      <c r="D164" s="13">
        <v>33990</v>
      </c>
      <c r="E164" s="14">
        <v>1.7999999999999999E-2</v>
      </c>
      <c r="F164" s="38">
        <v>0.03</v>
      </c>
      <c r="G164" s="16">
        <v>611.81999999999994</v>
      </c>
      <c r="H164" s="17">
        <v>1019.6999999999999</v>
      </c>
      <c r="I164" s="51"/>
      <c r="P164" s="108"/>
      <c r="Q164" s="108">
        <f t="shared" si="10"/>
        <v>0</v>
      </c>
      <c r="R164" s="109">
        <f t="shared" si="11"/>
        <v>0</v>
      </c>
    </row>
    <row r="165" spans="1:25" s="12" customFormat="1" ht="18.899999999999999" customHeight="1" outlineLevel="1" x14ac:dyDescent="0.3">
      <c r="A165" s="239"/>
      <c r="B165" s="102">
        <v>2100136977</v>
      </c>
      <c r="C165" s="103" t="s">
        <v>5956</v>
      </c>
      <c r="D165" s="13">
        <v>33990</v>
      </c>
      <c r="E165" s="14">
        <v>1.7999999999999999E-2</v>
      </c>
      <c r="F165" s="38">
        <v>0.03</v>
      </c>
      <c r="G165" s="16">
        <v>611.81999999999994</v>
      </c>
      <c r="H165" s="17">
        <v>1019.6999999999999</v>
      </c>
      <c r="I165" s="51"/>
      <c r="P165" s="108"/>
      <c r="Q165" s="108">
        <f t="shared" si="10"/>
        <v>0</v>
      </c>
      <c r="R165" s="109">
        <f t="shared" si="11"/>
        <v>0</v>
      </c>
    </row>
    <row r="166" spans="1:25" s="12" customFormat="1" ht="18.899999999999999" customHeight="1" outlineLevel="1" x14ac:dyDescent="0.3">
      <c r="A166" s="239"/>
      <c r="B166" s="102">
        <v>2100136978</v>
      </c>
      <c r="C166" s="103" t="s">
        <v>5957</v>
      </c>
      <c r="D166" s="13">
        <v>36990</v>
      </c>
      <c r="E166" s="14">
        <v>1.7999999999999999E-2</v>
      </c>
      <c r="F166" s="38">
        <v>0.03</v>
      </c>
      <c r="G166" s="16">
        <v>665.81999999999994</v>
      </c>
      <c r="H166" s="17">
        <v>1109.7</v>
      </c>
      <c r="I166" s="51"/>
      <c r="P166" s="108"/>
      <c r="Q166" s="108">
        <f t="shared" si="10"/>
        <v>0</v>
      </c>
      <c r="R166" s="109">
        <f t="shared" si="11"/>
        <v>0</v>
      </c>
    </row>
    <row r="167" spans="1:25" s="12" customFormat="1" ht="18.899999999999999" customHeight="1" outlineLevel="1" x14ac:dyDescent="0.3">
      <c r="A167" s="239"/>
      <c r="B167" s="102">
        <v>2100136980</v>
      </c>
      <c r="C167" s="103" t="s">
        <v>5958</v>
      </c>
      <c r="D167" s="13">
        <v>36990</v>
      </c>
      <c r="E167" s="14">
        <v>1.7999999999999999E-2</v>
      </c>
      <c r="F167" s="38">
        <v>0.03</v>
      </c>
      <c r="G167" s="16">
        <v>665.81999999999994</v>
      </c>
      <c r="H167" s="17">
        <v>1109.7</v>
      </c>
      <c r="I167" s="51"/>
      <c r="P167" s="108"/>
      <c r="Q167" s="108">
        <f t="shared" si="10"/>
        <v>0</v>
      </c>
      <c r="R167" s="109">
        <f t="shared" si="11"/>
        <v>0</v>
      </c>
    </row>
    <row r="168" spans="1:25" s="12" customFormat="1" ht="18.899999999999999" customHeight="1" outlineLevel="1" x14ac:dyDescent="0.3">
      <c r="A168" s="239"/>
      <c r="B168" s="102">
        <v>2100136982</v>
      </c>
      <c r="C168" s="103" t="s">
        <v>5959</v>
      </c>
      <c r="D168" s="13">
        <v>36990</v>
      </c>
      <c r="E168" s="14">
        <v>1.7999999999999999E-2</v>
      </c>
      <c r="F168" s="38">
        <v>0.03</v>
      </c>
      <c r="G168" s="16">
        <v>665.81999999999994</v>
      </c>
      <c r="H168" s="17">
        <v>1109.7</v>
      </c>
      <c r="I168" s="51"/>
      <c r="P168" s="108"/>
      <c r="Q168" s="108">
        <f t="shared" si="10"/>
        <v>0</v>
      </c>
      <c r="R168" s="109">
        <f t="shared" si="11"/>
        <v>0</v>
      </c>
    </row>
    <row r="169" spans="1:25" s="12" customFormat="1" ht="18.899999999999999" customHeight="1" outlineLevel="1" x14ac:dyDescent="0.3">
      <c r="A169" s="239"/>
      <c r="B169" s="102">
        <v>2100136220</v>
      </c>
      <c r="C169" s="103" t="s">
        <v>5960</v>
      </c>
      <c r="D169" s="13">
        <v>70990</v>
      </c>
      <c r="E169" s="14">
        <v>0.03</v>
      </c>
      <c r="F169" s="38">
        <v>0.05</v>
      </c>
      <c r="G169" s="16">
        <v>2129.6999999999998</v>
      </c>
      <c r="H169" s="17">
        <v>3549.5</v>
      </c>
      <c r="I169" s="51"/>
      <c r="P169" s="108"/>
      <c r="Q169" s="108">
        <f t="shared" si="10"/>
        <v>0</v>
      </c>
      <c r="R169" s="109">
        <f t="shared" si="11"/>
        <v>0</v>
      </c>
    </row>
    <row r="170" spans="1:25" s="12" customFormat="1" ht="18.899999999999999" customHeight="1" outlineLevel="1" x14ac:dyDescent="0.3">
      <c r="A170" s="239"/>
      <c r="B170" s="102">
        <v>2100139800</v>
      </c>
      <c r="C170" s="103" t="s">
        <v>6006</v>
      </c>
      <c r="D170" s="13">
        <v>83990</v>
      </c>
      <c r="E170" s="14">
        <v>0.03</v>
      </c>
      <c r="F170" s="38">
        <v>0.05</v>
      </c>
      <c r="G170" s="16">
        <v>2519.6999999999998</v>
      </c>
      <c r="H170" s="17">
        <v>4199.5</v>
      </c>
      <c r="I170" s="51"/>
      <c r="P170" s="108"/>
      <c r="Q170" s="108">
        <f t="shared" si="10"/>
        <v>0</v>
      </c>
      <c r="R170" s="109">
        <f t="shared" ref="R170:R171" si="12">H170*P170</f>
        <v>0</v>
      </c>
    </row>
    <row r="171" spans="1:25" s="12" customFormat="1" ht="18.899999999999999" customHeight="1" outlineLevel="1" x14ac:dyDescent="0.3">
      <c r="A171" s="239"/>
      <c r="B171" s="102">
        <v>2100139801</v>
      </c>
      <c r="C171" s="103" t="s">
        <v>6007</v>
      </c>
      <c r="D171" s="13">
        <v>89990</v>
      </c>
      <c r="E171" s="14">
        <v>0.03</v>
      </c>
      <c r="F171" s="38">
        <v>0.05</v>
      </c>
      <c r="G171" s="16">
        <v>2699.7</v>
      </c>
      <c r="H171" s="17">
        <v>4499.5</v>
      </c>
      <c r="I171" s="51"/>
      <c r="P171" s="108"/>
      <c r="Q171" s="108">
        <f t="shared" si="10"/>
        <v>0</v>
      </c>
      <c r="R171" s="109">
        <f t="shared" si="12"/>
        <v>0</v>
      </c>
    </row>
    <row r="172" spans="1:25" s="12" customFormat="1" ht="18.899999999999999" customHeight="1" outlineLevel="1" x14ac:dyDescent="0.3">
      <c r="A172" s="239"/>
      <c r="B172" s="102">
        <v>2100124930</v>
      </c>
      <c r="C172" s="103" t="s">
        <v>5961</v>
      </c>
      <c r="D172" s="13">
        <v>118990</v>
      </c>
      <c r="E172" s="14">
        <v>3.5999999999999997E-2</v>
      </c>
      <c r="F172" s="38">
        <v>0.06</v>
      </c>
      <c r="G172" s="16">
        <v>4283.6399999999994</v>
      </c>
      <c r="H172" s="17">
        <v>7139.4</v>
      </c>
      <c r="I172" s="51"/>
      <c r="P172" s="108"/>
      <c r="Q172" s="108">
        <f t="shared" si="10"/>
        <v>0</v>
      </c>
      <c r="R172" s="109">
        <f t="shared" si="11"/>
        <v>0</v>
      </c>
    </row>
    <row r="173" spans="1:25" s="12" customFormat="1" ht="18.899999999999999" customHeight="1" outlineLevel="1" x14ac:dyDescent="0.3">
      <c r="A173" s="239"/>
      <c r="B173" s="102">
        <v>2100127762</v>
      </c>
      <c r="C173" s="103" t="s">
        <v>5962</v>
      </c>
      <c r="D173" s="13">
        <v>74990</v>
      </c>
      <c r="E173" s="14">
        <v>0.03</v>
      </c>
      <c r="F173" s="38">
        <v>0.05</v>
      </c>
      <c r="G173" s="16">
        <v>2249.6999999999998</v>
      </c>
      <c r="H173" s="17">
        <v>3749.5</v>
      </c>
      <c r="I173" s="51"/>
      <c r="P173" s="108"/>
      <c r="Q173" s="108">
        <f t="shared" si="10"/>
        <v>0</v>
      </c>
      <c r="R173" s="109">
        <f t="shared" si="11"/>
        <v>0</v>
      </c>
    </row>
    <row r="174" spans="1:25" s="12" customFormat="1" ht="15" customHeight="1" outlineLevel="1" x14ac:dyDescent="0.3">
      <c r="A174" s="239"/>
      <c r="B174" s="102">
        <v>2100116195</v>
      </c>
      <c r="C174" s="103" t="s">
        <v>84</v>
      </c>
      <c r="D174" s="13">
        <v>66990</v>
      </c>
      <c r="E174" s="14">
        <v>0.03</v>
      </c>
      <c r="F174" s="38">
        <v>0.05</v>
      </c>
      <c r="G174" s="16">
        <v>2009.6999999999998</v>
      </c>
      <c r="H174" s="17">
        <v>3349.5</v>
      </c>
      <c r="I174" s="51"/>
      <c r="J174" s="12" t="s">
        <v>191</v>
      </c>
      <c r="K174" s="12" t="s">
        <v>332</v>
      </c>
      <c r="L174" s="12" t="s">
        <v>266</v>
      </c>
      <c r="M174" s="12" t="s">
        <v>84</v>
      </c>
      <c r="P174" s="108"/>
      <c r="Q174" s="108">
        <f t="shared" si="10"/>
        <v>0</v>
      </c>
      <c r="R174" s="109">
        <f t="shared" si="11"/>
        <v>0</v>
      </c>
      <c r="S174" s="12" t="s">
        <v>191</v>
      </c>
      <c r="T174" s="12">
        <v>1</v>
      </c>
      <c r="U174" s="12" t="s">
        <v>1186</v>
      </c>
      <c r="V174" s="12">
        <v>1</v>
      </c>
      <c r="W174" s="12" t="s">
        <v>266</v>
      </c>
      <c r="X174" s="12">
        <v>1</v>
      </c>
      <c r="Y174" s="12" t="s">
        <v>84</v>
      </c>
    </row>
    <row r="175" spans="1:25" s="12" customFormat="1" ht="15" customHeight="1" outlineLevel="1" x14ac:dyDescent="0.3">
      <c r="A175" s="239"/>
      <c r="B175" s="102">
        <v>2100115982</v>
      </c>
      <c r="C175" s="103" t="s">
        <v>85</v>
      </c>
      <c r="D175" s="13">
        <v>88990</v>
      </c>
      <c r="E175" s="14">
        <v>0.03</v>
      </c>
      <c r="F175" s="38">
        <v>0.05</v>
      </c>
      <c r="G175" s="16">
        <v>2669.7</v>
      </c>
      <c r="H175" s="17">
        <v>4449.5</v>
      </c>
      <c r="I175" s="51"/>
      <c r="J175" s="12" t="s">
        <v>192</v>
      </c>
      <c r="K175" s="12" t="s">
        <v>333</v>
      </c>
      <c r="L175" s="12" t="s">
        <v>267</v>
      </c>
      <c r="M175" s="12" t="s">
        <v>85</v>
      </c>
      <c r="P175" s="108"/>
      <c r="Q175" s="108">
        <f t="shared" si="10"/>
        <v>0</v>
      </c>
      <c r="R175" s="109">
        <f t="shared" si="11"/>
        <v>0</v>
      </c>
      <c r="S175" s="12" t="s">
        <v>192</v>
      </c>
      <c r="T175" s="12">
        <v>1</v>
      </c>
      <c r="U175" s="12" t="s">
        <v>333</v>
      </c>
      <c r="V175" s="12">
        <v>1</v>
      </c>
      <c r="W175" s="12" t="s">
        <v>267</v>
      </c>
      <c r="X175" s="12">
        <v>1</v>
      </c>
      <c r="Y175" s="12" t="s">
        <v>85</v>
      </c>
    </row>
    <row r="176" spans="1:25" s="12" customFormat="1" ht="15" customHeight="1" outlineLevel="1" x14ac:dyDescent="0.3">
      <c r="A176" s="239"/>
      <c r="B176" s="102">
        <v>2100118288</v>
      </c>
      <c r="C176" s="103" t="s">
        <v>87</v>
      </c>
      <c r="D176" s="13">
        <v>44990</v>
      </c>
      <c r="E176" s="14">
        <v>0.03</v>
      </c>
      <c r="F176" s="38">
        <v>0.05</v>
      </c>
      <c r="G176" s="16">
        <v>1349.7</v>
      </c>
      <c r="H176" s="17">
        <v>2249.5</v>
      </c>
      <c r="I176" s="51"/>
      <c r="J176" s="12" t="s">
        <v>193</v>
      </c>
      <c r="K176" s="12" t="s">
        <v>334</v>
      </c>
      <c r="L176" s="12" t="s">
        <v>268</v>
      </c>
      <c r="M176" s="12" t="s">
        <v>87</v>
      </c>
      <c r="P176" s="108"/>
      <c r="Q176" s="108">
        <f t="shared" si="10"/>
        <v>0</v>
      </c>
      <c r="R176" s="109">
        <f t="shared" si="11"/>
        <v>0</v>
      </c>
      <c r="S176" s="12" t="s">
        <v>193</v>
      </c>
      <c r="T176" s="12">
        <v>1</v>
      </c>
      <c r="U176" s="12" t="s">
        <v>1233</v>
      </c>
      <c r="V176" s="12">
        <v>1</v>
      </c>
      <c r="W176" s="12" t="s">
        <v>268</v>
      </c>
      <c r="X176" s="12">
        <v>1</v>
      </c>
      <c r="Y176" s="12" t="s">
        <v>87</v>
      </c>
    </row>
    <row r="177" spans="1:25" s="12" customFormat="1" ht="15" customHeight="1" outlineLevel="1" x14ac:dyDescent="0.3">
      <c r="A177" s="239"/>
      <c r="B177" s="102">
        <v>2100118289</v>
      </c>
      <c r="C177" s="103" t="s">
        <v>88</v>
      </c>
      <c r="D177" s="13">
        <v>46990</v>
      </c>
      <c r="E177" s="14">
        <v>0.03</v>
      </c>
      <c r="F177" s="38">
        <v>0.05</v>
      </c>
      <c r="G177" s="16">
        <v>1409.7</v>
      </c>
      <c r="H177" s="17">
        <v>2349.5</v>
      </c>
      <c r="I177" s="51"/>
      <c r="J177" s="12" t="s">
        <v>194</v>
      </c>
      <c r="K177" s="12" t="s">
        <v>335</v>
      </c>
      <c r="L177" s="12" t="s">
        <v>269</v>
      </c>
      <c r="M177" s="12" t="s">
        <v>88</v>
      </c>
      <c r="P177" s="108"/>
      <c r="Q177" s="108">
        <f t="shared" si="10"/>
        <v>0</v>
      </c>
      <c r="R177" s="109">
        <f t="shared" si="11"/>
        <v>0</v>
      </c>
      <c r="S177" s="12" t="s">
        <v>194</v>
      </c>
      <c r="T177" s="12">
        <v>1</v>
      </c>
      <c r="U177" s="12" t="s">
        <v>1234</v>
      </c>
      <c r="V177" s="12">
        <v>1</v>
      </c>
      <c r="W177" s="12" t="s">
        <v>269</v>
      </c>
      <c r="X177" s="12">
        <v>1</v>
      </c>
      <c r="Y177" s="12" t="s">
        <v>88</v>
      </c>
    </row>
    <row r="178" spans="1:25" s="12" customFormat="1" ht="15" customHeight="1" outlineLevel="1" x14ac:dyDescent="0.3">
      <c r="A178" s="239"/>
      <c r="B178" s="102">
        <v>2100118290</v>
      </c>
      <c r="C178" s="103" t="s">
        <v>89</v>
      </c>
      <c r="D178" s="13">
        <v>47990</v>
      </c>
      <c r="E178" s="14">
        <v>0.03</v>
      </c>
      <c r="F178" s="38">
        <v>0.05</v>
      </c>
      <c r="G178" s="16">
        <v>1439.7</v>
      </c>
      <c r="H178" s="17">
        <v>2399.5</v>
      </c>
      <c r="I178" s="51"/>
      <c r="J178" s="12" t="s">
        <v>195</v>
      </c>
      <c r="K178" s="12" t="s">
        <v>336</v>
      </c>
      <c r="L178" s="12" t="s">
        <v>270</v>
      </c>
      <c r="M178" s="12" t="s">
        <v>89</v>
      </c>
      <c r="P178" s="108"/>
      <c r="Q178" s="108">
        <f t="shared" si="10"/>
        <v>0</v>
      </c>
      <c r="R178" s="109">
        <f t="shared" si="11"/>
        <v>0</v>
      </c>
      <c r="S178" s="12" t="s">
        <v>195</v>
      </c>
      <c r="T178" s="12">
        <v>1</v>
      </c>
      <c r="U178" s="12" t="s">
        <v>1235</v>
      </c>
      <c r="V178" s="12">
        <v>1</v>
      </c>
      <c r="W178" s="12" t="s">
        <v>270</v>
      </c>
      <c r="X178" s="12">
        <v>1</v>
      </c>
      <c r="Y178" s="12" t="s">
        <v>89</v>
      </c>
    </row>
    <row r="179" spans="1:25" s="12" customFormat="1" ht="15" customHeight="1" outlineLevel="1" x14ac:dyDescent="0.3">
      <c r="A179" s="239"/>
      <c r="B179" s="102">
        <v>2100118286</v>
      </c>
      <c r="C179" s="103" t="s">
        <v>90</v>
      </c>
      <c r="D179" s="13">
        <v>51990</v>
      </c>
      <c r="E179" s="14">
        <v>0.03</v>
      </c>
      <c r="F179" s="38">
        <v>0.05</v>
      </c>
      <c r="G179" s="16">
        <v>1559.7</v>
      </c>
      <c r="H179" s="17">
        <v>2599.5</v>
      </c>
      <c r="I179" s="51"/>
      <c r="J179" s="12" t="s">
        <v>196</v>
      </c>
      <c r="K179" s="12" t="s">
        <v>337</v>
      </c>
      <c r="L179" s="12" t="s">
        <v>271</v>
      </c>
      <c r="M179" s="12" t="s">
        <v>90</v>
      </c>
      <c r="P179" s="108"/>
      <c r="Q179" s="108">
        <f t="shared" si="10"/>
        <v>0</v>
      </c>
      <c r="R179" s="109">
        <f t="shared" si="11"/>
        <v>0</v>
      </c>
      <c r="S179" s="12" t="s">
        <v>196</v>
      </c>
      <c r="T179" s="12">
        <v>1</v>
      </c>
      <c r="U179" s="12" t="s">
        <v>1236</v>
      </c>
      <c r="V179" s="12">
        <v>1</v>
      </c>
      <c r="W179" s="12" t="s">
        <v>271</v>
      </c>
      <c r="X179" s="12">
        <v>1</v>
      </c>
      <c r="Y179" s="12" t="s">
        <v>90</v>
      </c>
    </row>
    <row r="180" spans="1:25" s="12" customFormat="1" ht="15" customHeight="1" outlineLevel="1" x14ac:dyDescent="0.3">
      <c r="A180" s="239"/>
      <c r="B180" s="102">
        <v>2100118321</v>
      </c>
      <c r="C180" s="103" t="s">
        <v>91</v>
      </c>
      <c r="D180" s="13">
        <v>57990</v>
      </c>
      <c r="E180" s="14">
        <v>0.03</v>
      </c>
      <c r="F180" s="38">
        <v>0.05</v>
      </c>
      <c r="G180" s="16">
        <v>1739.7</v>
      </c>
      <c r="H180" s="17">
        <v>2899.5</v>
      </c>
      <c r="I180" s="51"/>
      <c r="J180" s="12" t="s">
        <v>197</v>
      </c>
      <c r="K180" s="12" t="s">
        <v>338</v>
      </c>
      <c r="L180" s="12" t="s">
        <v>272</v>
      </c>
      <c r="P180" s="108"/>
      <c r="Q180" s="108">
        <f t="shared" si="10"/>
        <v>0</v>
      </c>
      <c r="R180" s="109">
        <f t="shared" si="11"/>
        <v>0</v>
      </c>
      <c r="S180" s="12" t="s">
        <v>197</v>
      </c>
      <c r="T180" s="12">
        <v>1</v>
      </c>
      <c r="U180" s="12" t="s">
        <v>1238</v>
      </c>
      <c r="V180" s="12">
        <v>1</v>
      </c>
      <c r="W180" s="12" t="s">
        <v>272</v>
      </c>
      <c r="X180" s="12">
        <v>1</v>
      </c>
    </row>
    <row r="181" spans="1:25" s="12" customFormat="1" ht="15" customHeight="1" outlineLevel="1" x14ac:dyDescent="0.3">
      <c r="A181" s="239"/>
      <c r="B181" s="102">
        <v>2100118285</v>
      </c>
      <c r="C181" s="103" t="s">
        <v>92</v>
      </c>
      <c r="D181" s="13">
        <v>40990</v>
      </c>
      <c r="E181" s="14">
        <v>0.03</v>
      </c>
      <c r="F181" s="38">
        <v>0.05</v>
      </c>
      <c r="G181" s="16">
        <v>1229.7</v>
      </c>
      <c r="H181" s="17">
        <v>2049.5</v>
      </c>
      <c r="I181" s="51"/>
      <c r="J181" s="12" t="s">
        <v>198</v>
      </c>
      <c r="K181" s="12" t="s">
        <v>339</v>
      </c>
      <c r="L181" s="12" t="s">
        <v>273</v>
      </c>
      <c r="M181" s="12" t="s">
        <v>92</v>
      </c>
      <c r="P181" s="108"/>
      <c r="Q181" s="108">
        <f t="shared" si="10"/>
        <v>0</v>
      </c>
      <c r="R181" s="109">
        <f t="shared" si="11"/>
        <v>0</v>
      </c>
      <c r="S181" s="12" t="s">
        <v>198</v>
      </c>
      <c r="T181" s="12">
        <v>1</v>
      </c>
      <c r="U181" s="12" t="s">
        <v>1239</v>
      </c>
      <c r="V181" s="12">
        <v>1</v>
      </c>
      <c r="W181" s="12" t="s">
        <v>5329</v>
      </c>
      <c r="X181" s="12">
        <v>1</v>
      </c>
      <c r="Y181" s="12" t="s">
        <v>92</v>
      </c>
    </row>
    <row r="182" spans="1:25" s="12" customFormat="1" ht="15" customHeight="1" outlineLevel="1" x14ac:dyDescent="0.3">
      <c r="A182" s="239"/>
      <c r="B182" s="102">
        <v>2100128310</v>
      </c>
      <c r="C182" s="103" t="s">
        <v>5884</v>
      </c>
      <c r="D182" s="13">
        <v>40990</v>
      </c>
      <c r="E182" s="14">
        <v>0.03</v>
      </c>
      <c r="F182" s="38">
        <v>0.05</v>
      </c>
      <c r="G182" s="16">
        <v>1229.7</v>
      </c>
      <c r="H182" s="17">
        <v>2049.5</v>
      </c>
      <c r="I182" s="51"/>
      <c r="P182" s="108"/>
      <c r="Q182" s="108">
        <f t="shared" si="10"/>
        <v>0</v>
      </c>
      <c r="R182" s="109">
        <f t="shared" si="11"/>
        <v>0</v>
      </c>
    </row>
    <row r="183" spans="1:25" s="12" customFormat="1" ht="15" customHeight="1" outlineLevel="1" x14ac:dyDescent="0.3">
      <c r="A183" s="239"/>
      <c r="B183" s="102">
        <v>2100128313</v>
      </c>
      <c r="C183" s="103" t="s">
        <v>5885</v>
      </c>
      <c r="D183" s="13">
        <v>39990</v>
      </c>
      <c r="E183" s="14">
        <v>0.03</v>
      </c>
      <c r="F183" s="38">
        <v>0.05</v>
      </c>
      <c r="G183" s="16">
        <v>1199.7</v>
      </c>
      <c r="H183" s="17">
        <v>1999.5</v>
      </c>
      <c r="I183" s="51"/>
      <c r="P183" s="108"/>
      <c r="Q183" s="108">
        <f t="shared" si="10"/>
        <v>0</v>
      </c>
      <c r="R183" s="109">
        <f t="shared" si="11"/>
        <v>0</v>
      </c>
    </row>
    <row r="184" spans="1:25" s="12" customFormat="1" ht="15" customHeight="1" outlineLevel="1" x14ac:dyDescent="0.3">
      <c r="A184" s="239"/>
      <c r="B184" s="102">
        <v>2100128312</v>
      </c>
      <c r="C184" s="103" t="s">
        <v>5886</v>
      </c>
      <c r="D184" s="13">
        <v>37990</v>
      </c>
      <c r="E184" s="14">
        <v>0.03</v>
      </c>
      <c r="F184" s="38">
        <v>0.05</v>
      </c>
      <c r="G184" s="16">
        <v>1139.7</v>
      </c>
      <c r="H184" s="17">
        <v>1899.5</v>
      </c>
      <c r="I184" s="51"/>
      <c r="P184" s="108"/>
      <c r="Q184" s="108">
        <f t="shared" si="10"/>
        <v>0</v>
      </c>
      <c r="R184" s="109">
        <f t="shared" si="11"/>
        <v>0</v>
      </c>
    </row>
    <row r="185" spans="1:25" s="12" customFormat="1" ht="15" customHeight="1" outlineLevel="1" x14ac:dyDescent="0.3">
      <c r="A185" s="239"/>
      <c r="B185" s="102">
        <v>2100128311</v>
      </c>
      <c r="C185" s="103" t="s">
        <v>5887</v>
      </c>
      <c r="D185" s="13">
        <v>35990</v>
      </c>
      <c r="E185" s="14">
        <v>0.03</v>
      </c>
      <c r="F185" s="38">
        <v>0.05</v>
      </c>
      <c r="G185" s="16">
        <v>1079.7</v>
      </c>
      <c r="H185" s="17">
        <v>1799.5</v>
      </c>
      <c r="I185" s="51"/>
      <c r="P185" s="108"/>
      <c r="Q185" s="108">
        <f t="shared" si="10"/>
        <v>0</v>
      </c>
      <c r="R185" s="109">
        <f t="shared" si="11"/>
        <v>0</v>
      </c>
    </row>
    <row r="186" spans="1:25" s="12" customFormat="1" ht="15" customHeight="1" outlineLevel="1" x14ac:dyDescent="0.3">
      <c r="A186" s="239"/>
      <c r="B186" s="102">
        <v>2100122932</v>
      </c>
      <c r="C186" s="103" t="s">
        <v>2002</v>
      </c>
      <c r="D186" s="13">
        <v>108990</v>
      </c>
      <c r="E186" s="14">
        <v>3.3000000000000002E-2</v>
      </c>
      <c r="F186" s="38">
        <v>5.5E-2</v>
      </c>
      <c r="G186" s="16">
        <v>3596.67</v>
      </c>
      <c r="H186" s="17">
        <v>5994.45</v>
      </c>
      <c r="I186" s="51"/>
      <c r="O186" s="21" t="s">
        <v>5652</v>
      </c>
      <c r="P186" s="108"/>
      <c r="Q186" s="108">
        <f t="shared" si="10"/>
        <v>0</v>
      </c>
      <c r="R186" s="109">
        <f t="shared" si="11"/>
        <v>0</v>
      </c>
    </row>
    <row r="187" spans="1:25" s="12" customFormat="1" ht="15" customHeight="1" outlineLevel="1" x14ac:dyDescent="0.3">
      <c r="A187" s="239"/>
      <c r="B187" s="102">
        <v>2100122747</v>
      </c>
      <c r="C187" s="103" t="s">
        <v>418</v>
      </c>
      <c r="D187" s="13">
        <v>65990</v>
      </c>
      <c r="E187" s="14">
        <v>0.03</v>
      </c>
      <c r="F187" s="38">
        <v>0.05</v>
      </c>
      <c r="G187" s="16">
        <v>1979.6999999999998</v>
      </c>
      <c r="H187" s="17">
        <v>3299.5</v>
      </c>
      <c r="I187" s="51"/>
      <c r="O187" s="21" t="s">
        <v>5652</v>
      </c>
      <c r="P187" s="108"/>
      <c r="Q187" s="108">
        <f t="shared" si="10"/>
        <v>0</v>
      </c>
      <c r="R187" s="109">
        <f t="shared" si="11"/>
        <v>0</v>
      </c>
    </row>
    <row r="188" spans="1:25" s="12" customFormat="1" ht="15" customHeight="1" x14ac:dyDescent="0.3">
      <c r="A188" s="239"/>
      <c r="B188" s="118">
        <v>2100118829</v>
      </c>
      <c r="C188" s="61" t="s">
        <v>427</v>
      </c>
      <c r="D188" s="13">
        <v>68990</v>
      </c>
      <c r="E188" s="14">
        <v>0.03</v>
      </c>
      <c r="F188" s="38">
        <v>0.05</v>
      </c>
      <c r="G188" s="16">
        <v>2069.6999999999998</v>
      </c>
      <c r="H188" s="17">
        <v>3449.5</v>
      </c>
      <c r="I188" s="51"/>
      <c r="P188" s="108"/>
      <c r="Q188" s="108">
        <f t="shared" si="10"/>
        <v>0</v>
      </c>
      <c r="R188" s="109">
        <f t="shared" si="11"/>
        <v>0</v>
      </c>
      <c r="U188" s="12" t="s">
        <v>1321</v>
      </c>
      <c r="V188" s="12">
        <v>1</v>
      </c>
      <c r="W188" s="12" t="s">
        <v>2001</v>
      </c>
      <c r="X188" s="12">
        <v>1</v>
      </c>
    </row>
    <row r="189" spans="1:25" s="12" customFormat="1" ht="15" customHeight="1" x14ac:dyDescent="0.3">
      <c r="A189" s="239"/>
      <c r="B189" s="118">
        <v>2100122333</v>
      </c>
      <c r="C189" s="61" t="s">
        <v>5559</v>
      </c>
      <c r="D189" s="13">
        <v>75990</v>
      </c>
      <c r="E189" s="14">
        <v>0.03</v>
      </c>
      <c r="F189" s="38">
        <v>0.05</v>
      </c>
      <c r="G189" s="16">
        <v>2279.6999999999998</v>
      </c>
      <c r="H189" s="17">
        <v>3799.5</v>
      </c>
      <c r="I189" s="51"/>
      <c r="P189" s="108"/>
      <c r="Q189" s="108">
        <f t="shared" si="10"/>
        <v>0</v>
      </c>
      <c r="R189" s="109">
        <f t="shared" si="11"/>
        <v>0</v>
      </c>
      <c r="W189" s="12" t="s">
        <v>5643</v>
      </c>
      <c r="X189" s="12">
        <v>1</v>
      </c>
    </row>
    <row r="190" spans="1:25" s="12" customFormat="1" ht="15" customHeight="1" x14ac:dyDescent="0.3">
      <c r="A190" s="239"/>
      <c r="B190" s="118">
        <v>2100121274</v>
      </c>
      <c r="C190" s="61" t="s">
        <v>5651</v>
      </c>
      <c r="D190" s="13">
        <v>103990</v>
      </c>
      <c r="E190" s="14">
        <v>3.3000000000000002E-2</v>
      </c>
      <c r="F190" s="38">
        <v>5.5E-2</v>
      </c>
      <c r="G190" s="16">
        <v>3431.67</v>
      </c>
      <c r="H190" s="17">
        <v>5719.45</v>
      </c>
      <c r="I190" s="51"/>
      <c r="P190" s="108"/>
      <c r="Q190" s="108">
        <f t="shared" si="10"/>
        <v>0</v>
      </c>
      <c r="R190" s="109">
        <f t="shared" si="11"/>
        <v>0</v>
      </c>
    </row>
    <row r="191" spans="1:25" s="12" customFormat="1" ht="15" customHeight="1" x14ac:dyDescent="0.3">
      <c r="A191" s="239"/>
      <c r="B191" s="118">
        <v>2100125392</v>
      </c>
      <c r="C191" s="61" t="s">
        <v>399</v>
      </c>
      <c r="D191" s="13">
        <v>77990</v>
      </c>
      <c r="E191" s="14">
        <v>0.03</v>
      </c>
      <c r="F191" s="38">
        <v>0.05</v>
      </c>
      <c r="G191" s="16">
        <v>2339.6999999999998</v>
      </c>
      <c r="H191" s="17">
        <v>3899.5</v>
      </c>
      <c r="I191" s="51"/>
      <c r="P191" s="108"/>
      <c r="Q191" s="108">
        <f t="shared" si="10"/>
        <v>0</v>
      </c>
      <c r="R191" s="109">
        <f t="shared" si="11"/>
        <v>0</v>
      </c>
      <c r="S191" s="12" t="s">
        <v>3743</v>
      </c>
      <c r="T191" s="12">
        <v>1</v>
      </c>
      <c r="U191" s="12" t="s">
        <v>1743</v>
      </c>
      <c r="V191" s="12">
        <v>1</v>
      </c>
    </row>
    <row r="192" spans="1:25" s="12" customFormat="1" ht="15" customHeight="1" x14ac:dyDescent="0.3">
      <c r="A192" s="239"/>
      <c r="B192" s="119">
        <v>2100121373</v>
      </c>
      <c r="C192" s="21" t="s">
        <v>400</v>
      </c>
      <c r="D192" s="13">
        <v>72990</v>
      </c>
      <c r="E192" s="14">
        <v>0.03</v>
      </c>
      <c r="F192" s="38">
        <v>0.05</v>
      </c>
      <c r="G192" s="16">
        <v>2189.6999999999998</v>
      </c>
      <c r="H192" s="17">
        <v>3649.5</v>
      </c>
      <c r="I192" s="51"/>
      <c r="P192" s="108"/>
      <c r="Q192" s="108">
        <f t="shared" si="10"/>
        <v>0</v>
      </c>
      <c r="R192" s="109">
        <f t="shared" si="11"/>
        <v>0</v>
      </c>
      <c r="S192" s="12" t="s">
        <v>3431</v>
      </c>
      <c r="T192" s="12">
        <v>1</v>
      </c>
    </row>
    <row r="193" spans="1:28" s="12" customFormat="1" ht="15" customHeight="1" x14ac:dyDescent="0.3">
      <c r="A193" s="239"/>
      <c r="B193" s="119">
        <v>2100100887</v>
      </c>
      <c r="C193" s="21" t="s">
        <v>402</v>
      </c>
      <c r="D193" s="13">
        <v>72990</v>
      </c>
      <c r="E193" s="14">
        <v>0.03</v>
      </c>
      <c r="F193" s="38">
        <v>0.05</v>
      </c>
      <c r="G193" s="16">
        <v>2189.6999999999998</v>
      </c>
      <c r="H193" s="17">
        <v>3649.5</v>
      </c>
      <c r="I193" s="51"/>
      <c r="P193" s="108"/>
      <c r="Q193" s="108">
        <f t="shared" si="10"/>
        <v>0</v>
      </c>
      <c r="R193" s="109">
        <f t="shared" si="11"/>
        <v>0</v>
      </c>
      <c r="U193" s="12" t="s">
        <v>710</v>
      </c>
      <c r="V193" s="12">
        <v>1</v>
      </c>
      <c r="W193" s="12" t="s">
        <v>5644</v>
      </c>
      <c r="X193" s="12">
        <v>1</v>
      </c>
    </row>
    <row r="194" spans="1:28" s="12" customFormat="1" ht="15" customHeight="1" thickBot="1" x14ac:dyDescent="0.35">
      <c r="A194" s="240"/>
      <c r="B194" s="120">
        <v>2100118168</v>
      </c>
      <c r="C194" s="121" t="s">
        <v>437</v>
      </c>
      <c r="D194" s="13">
        <v>47990</v>
      </c>
      <c r="E194" s="14">
        <v>0.03</v>
      </c>
      <c r="F194" s="38">
        <v>0.05</v>
      </c>
      <c r="G194" s="28">
        <v>1439.7</v>
      </c>
      <c r="H194" s="29">
        <v>2399.5</v>
      </c>
      <c r="I194" s="52"/>
      <c r="J194" s="53"/>
      <c r="K194" s="53"/>
      <c r="L194" s="53"/>
      <c r="M194" s="53"/>
      <c r="N194" s="53"/>
      <c r="O194" s="53"/>
      <c r="P194" s="108"/>
      <c r="Q194" s="108">
        <f t="shared" si="10"/>
        <v>0</v>
      </c>
      <c r="R194" s="109">
        <f t="shared" si="11"/>
        <v>0</v>
      </c>
      <c r="S194" s="12" t="s">
        <v>3330</v>
      </c>
      <c r="T194" s="12">
        <v>1</v>
      </c>
      <c r="U194" s="12" t="s">
        <v>1237</v>
      </c>
      <c r="V194" s="12">
        <v>1</v>
      </c>
      <c r="W194" s="12" t="s">
        <v>5335</v>
      </c>
      <c r="X194" s="12">
        <v>1</v>
      </c>
    </row>
    <row r="195" spans="1:28" s="107" customFormat="1" ht="15.75" customHeight="1" thickBot="1" x14ac:dyDescent="0.35">
      <c r="A195" s="243" t="s">
        <v>5942</v>
      </c>
      <c r="B195" s="244"/>
      <c r="C195" s="244"/>
      <c r="D195" s="244"/>
      <c r="E195" s="244"/>
      <c r="F195" s="244"/>
      <c r="G195" s="244"/>
      <c r="H195" s="244"/>
      <c r="I195" s="105"/>
      <c r="J195" s="105"/>
      <c r="K195" s="105"/>
      <c r="L195" s="105"/>
      <c r="M195" s="105"/>
      <c r="N195" s="105"/>
      <c r="O195" s="105"/>
      <c r="P195" s="106">
        <f t="shared" ref="P195:Z195" si="13">SUM(P160:P194)</f>
        <v>0</v>
      </c>
      <c r="Q195" s="106">
        <f t="shared" si="13"/>
        <v>0</v>
      </c>
      <c r="R195" s="106">
        <f t="shared" si="13"/>
        <v>0</v>
      </c>
      <c r="S195" s="106">
        <f t="shared" si="13"/>
        <v>0</v>
      </c>
      <c r="T195" s="106">
        <f t="shared" si="13"/>
        <v>11</v>
      </c>
      <c r="U195" s="106">
        <f t="shared" si="13"/>
        <v>0</v>
      </c>
      <c r="V195" s="106">
        <f t="shared" si="13"/>
        <v>12</v>
      </c>
      <c r="W195" s="106">
        <f t="shared" si="13"/>
        <v>0</v>
      </c>
      <c r="X195" s="106">
        <f t="shared" si="13"/>
        <v>12</v>
      </c>
      <c r="Y195" s="106">
        <f t="shared" si="13"/>
        <v>0</v>
      </c>
      <c r="Z195" s="106">
        <f t="shared" si="13"/>
        <v>0</v>
      </c>
      <c r="AA195" s="151" t="s">
        <v>5963</v>
      </c>
    </row>
    <row r="196" spans="1:28" ht="12.9" customHeight="1" x14ac:dyDescent="0.3">
      <c r="A196" s="235" t="s">
        <v>5909</v>
      </c>
      <c r="B196" s="142" t="s">
        <v>117</v>
      </c>
      <c r="C196" s="143"/>
      <c r="D196" s="143"/>
      <c r="E196" s="143"/>
      <c r="F196" s="143"/>
      <c r="G196" s="143"/>
      <c r="H196" s="144"/>
      <c r="I196" s="137"/>
      <c r="J196" s="138"/>
      <c r="K196" s="138"/>
      <c r="L196" s="138"/>
      <c r="M196" s="138"/>
      <c r="N196" s="138"/>
      <c r="O196" s="138"/>
      <c r="P196" s="75" t="s">
        <v>405</v>
      </c>
      <c r="Q196" s="76" t="s">
        <v>406</v>
      </c>
      <c r="R196" s="77" t="s">
        <v>407</v>
      </c>
      <c r="S196" s="12"/>
      <c r="T196" s="12"/>
      <c r="U196" s="12"/>
      <c r="V196" s="12"/>
      <c r="W196" s="12"/>
      <c r="X196" s="12"/>
      <c r="Y196" s="12"/>
      <c r="Z196" s="12"/>
      <c r="AA196" s="12"/>
      <c r="AB196" s="9"/>
    </row>
    <row r="197" spans="1:28" ht="15" customHeight="1" x14ac:dyDescent="0.3">
      <c r="A197" s="236"/>
      <c r="B197" s="176">
        <v>7211419366</v>
      </c>
      <c r="C197" s="177" t="s">
        <v>5892</v>
      </c>
      <c r="D197" s="178">
        <v>598990</v>
      </c>
      <c r="E197" s="179">
        <v>7.0000000000000007E-2</v>
      </c>
      <c r="F197" s="179">
        <v>7.0000000000000007E-2</v>
      </c>
      <c r="G197" s="180">
        <v>41929.300000000003</v>
      </c>
      <c r="H197" s="181">
        <v>41929.300000000003</v>
      </c>
      <c r="I197" s="182" t="s">
        <v>5879</v>
      </c>
      <c r="J197" s="55"/>
      <c r="K197" s="55"/>
      <c r="L197" s="55"/>
      <c r="M197" s="55"/>
      <c r="N197" s="55"/>
      <c r="O197" s="55"/>
      <c r="P197" s="183"/>
      <c r="Q197" s="183">
        <f t="shared" si="10"/>
        <v>0</v>
      </c>
      <c r="R197" s="184">
        <f t="shared" si="11"/>
        <v>0</v>
      </c>
      <c r="S197" s="55"/>
      <c r="T197" s="55"/>
      <c r="U197" s="55"/>
      <c r="V197" s="55"/>
      <c r="W197" s="55"/>
      <c r="X197" s="55"/>
      <c r="Y197" s="55"/>
      <c r="Z197" s="55"/>
      <c r="AA197" s="185" t="s">
        <v>5972</v>
      </c>
      <c r="AB197" s="186" t="s">
        <v>5998</v>
      </c>
    </row>
    <row r="198" spans="1:28" ht="15" customHeight="1" x14ac:dyDescent="0.3">
      <c r="A198" s="236"/>
      <c r="B198" s="187">
        <v>8010001279</v>
      </c>
      <c r="C198" s="188" t="s">
        <v>5916</v>
      </c>
      <c r="D198" s="178">
        <v>128990</v>
      </c>
      <c r="E198" s="179">
        <v>0.04</v>
      </c>
      <c r="F198" s="179">
        <v>0.04</v>
      </c>
      <c r="G198" s="180">
        <v>5159.6000000000004</v>
      </c>
      <c r="H198" s="181">
        <v>5159.6000000000004</v>
      </c>
      <c r="I198" s="182"/>
      <c r="J198" s="55"/>
      <c r="K198" s="55"/>
      <c r="L198" s="55"/>
      <c r="M198" s="55"/>
      <c r="N198" s="55"/>
      <c r="O198" s="55"/>
      <c r="P198" s="183"/>
      <c r="Q198" s="183">
        <f t="shared" si="10"/>
        <v>0</v>
      </c>
      <c r="R198" s="184">
        <f t="shared" si="11"/>
        <v>0</v>
      </c>
      <c r="S198" s="55"/>
      <c r="T198" s="55"/>
      <c r="U198" s="55"/>
      <c r="V198" s="55"/>
      <c r="W198" s="55"/>
      <c r="X198" s="55"/>
      <c r="Y198" s="55"/>
      <c r="Z198" s="55"/>
      <c r="AA198" s="185" t="s">
        <v>5972</v>
      </c>
      <c r="AB198" s="186" t="s">
        <v>5998</v>
      </c>
    </row>
    <row r="199" spans="1:28" ht="15" customHeight="1" x14ac:dyDescent="0.3">
      <c r="A199" s="236"/>
      <c r="B199" s="189">
        <v>7211419215</v>
      </c>
      <c r="C199" s="188" t="s">
        <v>5951</v>
      </c>
      <c r="D199" s="178">
        <v>256990</v>
      </c>
      <c r="E199" s="179">
        <v>0.05</v>
      </c>
      <c r="F199" s="179">
        <v>0.05</v>
      </c>
      <c r="G199" s="180">
        <v>12849.5</v>
      </c>
      <c r="H199" s="181">
        <v>12849.5</v>
      </c>
      <c r="I199" s="182"/>
      <c r="J199" s="55"/>
      <c r="K199" s="55"/>
      <c r="L199" s="55"/>
      <c r="M199" s="55"/>
      <c r="N199" s="55"/>
      <c r="O199" s="55"/>
      <c r="P199" s="183"/>
      <c r="Q199" s="183">
        <f t="shared" si="10"/>
        <v>0</v>
      </c>
      <c r="R199" s="184">
        <f t="shared" si="11"/>
        <v>0</v>
      </c>
      <c r="S199" s="55"/>
      <c r="T199" s="55"/>
      <c r="U199" s="55"/>
      <c r="V199" s="55"/>
      <c r="W199" s="55"/>
      <c r="X199" s="55"/>
      <c r="Y199" s="55"/>
      <c r="Z199" s="55"/>
      <c r="AA199" s="185" t="s">
        <v>5972</v>
      </c>
      <c r="AB199" s="186" t="s">
        <v>5998</v>
      </c>
    </row>
    <row r="200" spans="1:28" ht="15" customHeight="1" x14ac:dyDescent="0.3">
      <c r="A200" s="236"/>
      <c r="B200" s="190">
        <v>7211419245</v>
      </c>
      <c r="C200" s="191" t="s">
        <v>5952</v>
      </c>
      <c r="D200" s="178">
        <v>231990</v>
      </c>
      <c r="E200" s="179">
        <v>0.05</v>
      </c>
      <c r="F200" s="179">
        <v>0.05</v>
      </c>
      <c r="G200" s="180">
        <v>11599.5</v>
      </c>
      <c r="H200" s="181">
        <v>11599.5</v>
      </c>
      <c r="I200" s="182"/>
      <c r="J200" s="55"/>
      <c r="K200" s="55"/>
      <c r="L200" s="55"/>
      <c r="M200" s="55"/>
      <c r="N200" s="55"/>
      <c r="O200" s="55"/>
      <c r="P200" s="183"/>
      <c r="Q200" s="183">
        <f t="shared" si="10"/>
        <v>0</v>
      </c>
      <c r="R200" s="184">
        <f t="shared" si="11"/>
        <v>0</v>
      </c>
      <c r="S200" s="55"/>
      <c r="T200" s="55"/>
      <c r="U200" s="55"/>
      <c r="V200" s="55"/>
      <c r="W200" s="55"/>
      <c r="X200" s="55"/>
      <c r="Y200" s="55"/>
      <c r="Z200" s="55"/>
      <c r="AA200" s="185" t="s">
        <v>5972</v>
      </c>
      <c r="AB200" s="186" t="s">
        <v>5998</v>
      </c>
    </row>
    <row r="201" spans="1:28" ht="15" customHeight="1" x14ac:dyDescent="0.3">
      <c r="A201" s="236"/>
      <c r="B201" s="190">
        <v>7211419210</v>
      </c>
      <c r="C201" s="191" t="s">
        <v>5953</v>
      </c>
      <c r="D201" s="178">
        <v>191990</v>
      </c>
      <c r="E201" s="179">
        <v>0.04</v>
      </c>
      <c r="F201" s="179">
        <v>0.04</v>
      </c>
      <c r="G201" s="180">
        <v>7679.6</v>
      </c>
      <c r="H201" s="181">
        <v>7679.6</v>
      </c>
      <c r="I201" s="182"/>
      <c r="J201" s="55"/>
      <c r="K201" s="55"/>
      <c r="L201" s="55"/>
      <c r="M201" s="55"/>
      <c r="N201" s="55"/>
      <c r="O201" s="55"/>
      <c r="P201" s="183"/>
      <c r="Q201" s="183">
        <f t="shared" si="10"/>
        <v>0</v>
      </c>
      <c r="R201" s="184">
        <f t="shared" si="11"/>
        <v>0</v>
      </c>
      <c r="S201" s="55"/>
      <c r="T201" s="55"/>
      <c r="U201" s="55"/>
      <c r="V201" s="55"/>
      <c r="W201" s="55"/>
      <c r="X201" s="55"/>
      <c r="Y201" s="55"/>
      <c r="Z201" s="55"/>
      <c r="AA201" s="185" t="s">
        <v>5972</v>
      </c>
      <c r="AB201" s="186" t="s">
        <v>5998</v>
      </c>
    </row>
    <row r="202" spans="1:28" ht="15" customHeight="1" x14ac:dyDescent="0.3">
      <c r="A202" s="236"/>
      <c r="B202" s="192">
        <v>8010001069</v>
      </c>
      <c r="C202" s="193" t="s">
        <v>3</v>
      </c>
      <c r="D202" s="178">
        <v>414990</v>
      </c>
      <c r="E202" s="194">
        <v>0.05</v>
      </c>
      <c r="F202" s="194">
        <v>0.05</v>
      </c>
      <c r="G202" s="180">
        <v>20749.5</v>
      </c>
      <c r="H202" s="181">
        <v>20749.5</v>
      </c>
      <c r="I202" s="182"/>
      <c r="J202" s="55" t="s">
        <v>130</v>
      </c>
      <c r="K202" s="55" t="s">
        <v>283</v>
      </c>
      <c r="L202" s="55" t="s">
        <v>221</v>
      </c>
      <c r="M202" s="55" t="s">
        <v>3</v>
      </c>
      <c r="N202" s="55"/>
      <c r="O202" s="55"/>
      <c r="P202" s="183"/>
      <c r="Q202" s="183">
        <f t="shared" si="10"/>
        <v>0</v>
      </c>
      <c r="R202" s="184">
        <f t="shared" si="11"/>
        <v>0</v>
      </c>
      <c r="S202" s="55" t="s">
        <v>130</v>
      </c>
      <c r="T202" s="55">
        <v>1</v>
      </c>
      <c r="U202" s="55" t="s">
        <v>5294</v>
      </c>
      <c r="V202" s="55">
        <v>1</v>
      </c>
      <c r="W202" s="55" t="s">
        <v>221</v>
      </c>
      <c r="X202" s="55">
        <v>1</v>
      </c>
      <c r="Y202" s="55" t="s">
        <v>3</v>
      </c>
      <c r="Z202" s="55"/>
      <c r="AA202" s="185" t="s">
        <v>5972</v>
      </c>
      <c r="AB202" s="186" t="s">
        <v>5998</v>
      </c>
    </row>
    <row r="203" spans="1:28" ht="15" customHeight="1" x14ac:dyDescent="0.3">
      <c r="A203" s="236"/>
      <c r="B203" s="145" t="s">
        <v>93</v>
      </c>
      <c r="C203" s="146"/>
      <c r="D203" s="146"/>
      <c r="E203" s="146"/>
      <c r="F203" s="147"/>
      <c r="G203" s="147"/>
      <c r="H203" s="148"/>
      <c r="I203" s="135"/>
      <c r="J203" s="136"/>
      <c r="K203" s="136"/>
      <c r="L203" s="136"/>
      <c r="M203" s="136"/>
      <c r="N203" s="136"/>
      <c r="O203" s="136"/>
      <c r="P203" s="108"/>
      <c r="Q203" s="108">
        <f t="shared" si="10"/>
        <v>0</v>
      </c>
      <c r="R203" s="109">
        <f t="shared" si="11"/>
        <v>0</v>
      </c>
      <c r="S203" s="12"/>
      <c r="T203" s="12"/>
      <c r="U203" s="12"/>
      <c r="V203" s="12"/>
      <c r="W203" s="12"/>
      <c r="X203" s="12"/>
      <c r="Y203" s="12"/>
      <c r="Z203" s="12"/>
      <c r="AA203" s="12"/>
      <c r="AB203" s="9"/>
    </row>
    <row r="204" spans="1:28" ht="15" customHeight="1" x14ac:dyDescent="0.3">
      <c r="A204" s="236"/>
      <c r="B204" s="104">
        <v>1830007933</v>
      </c>
      <c r="C204" s="34" t="s">
        <v>98</v>
      </c>
      <c r="D204" s="13">
        <v>71990</v>
      </c>
      <c r="E204" s="14">
        <v>2.4E-2</v>
      </c>
      <c r="F204" s="40">
        <v>0.04</v>
      </c>
      <c r="G204" s="16">
        <v>1727.76</v>
      </c>
      <c r="H204" s="17">
        <v>2879.6</v>
      </c>
      <c r="I204" s="51"/>
      <c r="J204" s="12" t="s">
        <v>199</v>
      </c>
      <c r="K204" s="12" t="s">
        <v>340</v>
      </c>
      <c r="L204" s="12" t="s">
        <v>274</v>
      </c>
      <c r="M204" s="12" t="s">
        <v>94</v>
      </c>
      <c r="N204" s="12"/>
      <c r="O204" s="12"/>
      <c r="P204" s="108"/>
      <c r="Q204" s="108">
        <f t="shared" si="10"/>
        <v>0</v>
      </c>
      <c r="R204" s="109">
        <f t="shared" si="11"/>
        <v>0</v>
      </c>
      <c r="S204" s="12"/>
      <c r="T204" s="12"/>
      <c r="U204" s="12" t="s">
        <v>345</v>
      </c>
      <c r="V204" s="12">
        <v>1</v>
      </c>
      <c r="W204" s="12" t="s">
        <v>277</v>
      </c>
      <c r="X204" s="12">
        <v>1</v>
      </c>
      <c r="Y204" s="12" t="s">
        <v>98</v>
      </c>
      <c r="Z204" s="12"/>
      <c r="AA204" s="12"/>
      <c r="AB204" s="9"/>
    </row>
    <row r="205" spans="1:28" ht="15" customHeight="1" x14ac:dyDescent="0.3">
      <c r="A205" s="236"/>
      <c r="B205" s="104">
        <v>1830008559</v>
      </c>
      <c r="C205" s="34" t="s">
        <v>5978</v>
      </c>
      <c r="D205" s="13">
        <v>47990</v>
      </c>
      <c r="E205" s="14">
        <v>2.4E-2</v>
      </c>
      <c r="F205" s="40">
        <v>0.04</v>
      </c>
      <c r="G205" s="16">
        <v>1151.76</v>
      </c>
      <c r="H205" s="17">
        <v>1919.6000000000001</v>
      </c>
      <c r="I205" s="51"/>
      <c r="J205" s="12"/>
      <c r="K205" s="12"/>
      <c r="L205" s="12"/>
      <c r="M205" s="12"/>
      <c r="N205" s="12"/>
      <c r="O205" s="12"/>
      <c r="P205" s="108"/>
      <c r="Q205" s="108">
        <f t="shared" si="10"/>
        <v>0</v>
      </c>
      <c r="R205" s="109">
        <f t="shared" si="11"/>
        <v>0</v>
      </c>
      <c r="S205" s="12"/>
      <c r="T205" s="12"/>
      <c r="U205" s="12"/>
      <c r="V205" s="12"/>
      <c r="W205" s="12"/>
      <c r="X205" s="12"/>
      <c r="Y205" s="12"/>
      <c r="Z205" s="12"/>
      <c r="AA205" s="12" t="s">
        <v>5879</v>
      </c>
      <c r="AB205" s="9"/>
    </row>
    <row r="206" spans="1:28" ht="15" customHeight="1" x14ac:dyDescent="0.3">
      <c r="A206" s="236"/>
      <c r="B206" s="104">
        <v>1830008556</v>
      </c>
      <c r="C206" s="34" t="s">
        <v>1633</v>
      </c>
      <c r="D206" s="13">
        <v>42990</v>
      </c>
      <c r="E206" s="14">
        <v>2.4E-2</v>
      </c>
      <c r="F206" s="40">
        <v>0.04</v>
      </c>
      <c r="G206" s="16">
        <v>1031.76</v>
      </c>
      <c r="H206" s="17">
        <v>1719.6000000000001</v>
      </c>
      <c r="I206" s="51"/>
      <c r="J206" s="12"/>
      <c r="K206" s="12"/>
      <c r="L206" s="12"/>
      <c r="M206" s="12"/>
      <c r="N206" s="12"/>
      <c r="O206" s="12"/>
      <c r="P206" s="108"/>
      <c r="Q206" s="108">
        <f t="shared" si="10"/>
        <v>0</v>
      </c>
      <c r="R206" s="109">
        <f t="shared" si="11"/>
        <v>0</v>
      </c>
      <c r="S206" s="12"/>
      <c r="T206" s="12"/>
      <c r="U206" s="12"/>
      <c r="V206" s="12"/>
      <c r="W206" s="12"/>
      <c r="X206" s="12"/>
      <c r="Y206" s="12"/>
      <c r="Z206" s="12"/>
      <c r="AA206" s="12" t="s">
        <v>5879</v>
      </c>
      <c r="AB206" s="9"/>
    </row>
    <row r="207" spans="1:28" ht="15" customHeight="1" x14ac:dyDescent="0.3">
      <c r="A207" s="236"/>
      <c r="B207" s="214">
        <v>1830010039</v>
      </c>
      <c r="C207" s="215" t="s">
        <v>6010</v>
      </c>
      <c r="D207" s="216">
        <v>59990</v>
      </c>
      <c r="E207" s="168">
        <v>0.05</v>
      </c>
      <c r="F207" s="217">
        <v>0.05</v>
      </c>
      <c r="G207" s="169">
        <v>2999.5</v>
      </c>
      <c r="H207" s="170">
        <v>2999.5</v>
      </c>
      <c r="I207" s="171"/>
      <c r="J207" s="92"/>
      <c r="K207" s="92"/>
      <c r="L207" s="92"/>
      <c r="M207" s="92"/>
      <c r="N207" s="92"/>
      <c r="O207" s="92"/>
      <c r="P207" s="172"/>
      <c r="Q207" s="172"/>
      <c r="R207" s="173"/>
      <c r="S207" s="92"/>
      <c r="T207" s="92"/>
      <c r="U207" s="92"/>
      <c r="V207" s="92"/>
      <c r="W207" s="92"/>
      <c r="X207" s="92"/>
      <c r="Y207" s="92"/>
      <c r="Z207" s="92"/>
      <c r="AA207" s="92"/>
      <c r="AB207" s="175" t="s">
        <v>5879</v>
      </c>
    </row>
    <row r="208" spans="1:28" ht="15" customHeight="1" x14ac:dyDescent="0.3">
      <c r="A208" s="236"/>
      <c r="B208" s="214">
        <v>1830009985</v>
      </c>
      <c r="C208" s="215" t="s">
        <v>6011</v>
      </c>
      <c r="D208" s="216">
        <v>69990</v>
      </c>
      <c r="E208" s="168">
        <v>0.05</v>
      </c>
      <c r="F208" s="217">
        <v>0.05</v>
      </c>
      <c r="G208" s="169">
        <v>3499.5</v>
      </c>
      <c r="H208" s="170">
        <v>3499.5</v>
      </c>
      <c r="I208" s="171"/>
      <c r="J208" s="92"/>
      <c r="K208" s="92"/>
      <c r="L208" s="92"/>
      <c r="M208" s="92"/>
      <c r="N208" s="92"/>
      <c r="O208" s="92"/>
      <c r="P208" s="172"/>
      <c r="Q208" s="172"/>
      <c r="R208" s="173"/>
      <c r="S208" s="92"/>
      <c r="T208" s="92"/>
      <c r="U208" s="92"/>
      <c r="V208" s="92"/>
      <c r="W208" s="92"/>
      <c r="X208" s="92"/>
      <c r="Y208" s="92"/>
      <c r="Z208" s="92"/>
      <c r="AA208" s="92"/>
      <c r="AB208" s="175" t="s">
        <v>5879</v>
      </c>
    </row>
    <row r="209" spans="1:28" ht="15" customHeight="1" x14ac:dyDescent="0.3">
      <c r="A209" s="236"/>
      <c r="B209" s="104">
        <v>1830008532</v>
      </c>
      <c r="C209" s="34" t="s">
        <v>1694</v>
      </c>
      <c r="D209" s="13">
        <v>44990</v>
      </c>
      <c r="E209" s="14">
        <v>2.4E-2</v>
      </c>
      <c r="F209" s="40">
        <v>0.04</v>
      </c>
      <c r="G209" s="16">
        <v>1079.76</v>
      </c>
      <c r="H209" s="17">
        <v>1799.6000000000001</v>
      </c>
      <c r="I209" s="51"/>
      <c r="J209" s="12"/>
      <c r="K209" s="12"/>
      <c r="L209" s="12"/>
      <c r="M209" s="12"/>
      <c r="N209" s="12"/>
      <c r="O209" s="12"/>
      <c r="P209" s="108"/>
      <c r="Q209" s="108">
        <f t="shared" si="10"/>
        <v>0</v>
      </c>
      <c r="R209" s="109">
        <f t="shared" si="11"/>
        <v>0</v>
      </c>
      <c r="S209" s="12"/>
      <c r="T209" s="12"/>
      <c r="U209" s="12"/>
      <c r="V209" s="12"/>
      <c r="W209" s="12"/>
      <c r="X209" s="12"/>
      <c r="Y209" s="12"/>
      <c r="Z209" s="12"/>
      <c r="AA209" s="12" t="s">
        <v>5879</v>
      </c>
      <c r="AB209" s="9"/>
    </row>
    <row r="210" spans="1:28" ht="15" customHeight="1" x14ac:dyDescent="0.3">
      <c r="A210" s="236"/>
      <c r="B210" s="104">
        <v>1830009470</v>
      </c>
      <c r="C210" s="34" t="s">
        <v>5979</v>
      </c>
      <c r="D210" s="13">
        <v>45990</v>
      </c>
      <c r="E210" s="14">
        <v>2.4E-2</v>
      </c>
      <c r="F210" s="40">
        <v>0.04</v>
      </c>
      <c r="G210" s="16">
        <v>1103.76</v>
      </c>
      <c r="H210" s="17">
        <v>1839.6000000000001</v>
      </c>
      <c r="I210" s="51"/>
      <c r="J210" s="12"/>
      <c r="K210" s="12"/>
      <c r="L210" s="12"/>
      <c r="M210" s="12"/>
      <c r="N210" s="12"/>
      <c r="O210" s="12"/>
      <c r="P210" s="108"/>
      <c r="Q210" s="108">
        <f t="shared" si="10"/>
        <v>0</v>
      </c>
      <c r="R210" s="109">
        <f t="shared" si="11"/>
        <v>0</v>
      </c>
      <c r="S210" s="12"/>
      <c r="T210" s="12"/>
      <c r="U210" s="12"/>
      <c r="V210" s="12"/>
      <c r="W210" s="12"/>
      <c r="X210" s="12"/>
      <c r="Y210" s="12"/>
      <c r="Z210" s="12"/>
      <c r="AA210" s="12" t="s">
        <v>5879</v>
      </c>
      <c r="AB210" s="9"/>
    </row>
    <row r="211" spans="1:28" ht="15" customHeight="1" x14ac:dyDescent="0.3">
      <c r="A211" s="236"/>
      <c r="B211" s="104">
        <v>1830008499</v>
      </c>
      <c r="C211" s="34" t="s">
        <v>1962</v>
      </c>
      <c r="D211" s="13">
        <v>43990</v>
      </c>
      <c r="E211" s="14">
        <v>2.4E-2</v>
      </c>
      <c r="F211" s="40">
        <v>0.04</v>
      </c>
      <c r="G211" s="16">
        <v>1055.76</v>
      </c>
      <c r="H211" s="17">
        <v>1759.6000000000001</v>
      </c>
      <c r="I211" s="51"/>
      <c r="J211" s="12"/>
      <c r="K211" s="12"/>
      <c r="L211" s="12"/>
      <c r="M211" s="12"/>
      <c r="N211" s="12"/>
      <c r="O211" s="12"/>
      <c r="P211" s="108"/>
      <c r="Q211" s="108">
        <f t="shared" si="10"/>
        <v>0</v>
      </c>
      <c r="R211" s="109">
        <f t="shared" si="11"/>
        <v>0</v>
      </c>
      <c r="S211" s="12"/>
      <c r="T211" s="12"/>
      <c r="U211" s="12"/>
      <c r="V211" s="12"/>
      <c r="W211" s="12"/>
      <c r="X211" s="12"/>
      <c r="Y211" s="12"/>
      <c r="Z211" s="12"/>
      <c r="AA211" s="12" t="s">
        <v>5879</v>
      </c>
      <c r="AB211" s="9"/>
    </row>
    <row r="212" spans="1:28" ht="15" customHeight="1" x14ac:dyDescent="0.3">
      <c r="A212" s="236"/>
      <c r="B212" s="104">
        <v>1830008705</v>
      </c>
      <c r="C212" s="34" t="s">
        <v>5602</v>
      </c>
      <c r="D212" s="13">
        <v>48990</v>
      </c>
      <c r="E212" s="14">
        <v>2.4E-2</v>
      </c>
      <c r="F212" s="40">
        <v>0.04</v>
      </c>
      <c r="G212" s="16">
        <v>1175.76</v>
      </c>
      <c r="H212" s="17">
        <v>1959.6000000000001</v>
      </c>
      <c r="I212" s="51"/>
      <c r="J212" s="12"/>
      <c r="K212" s="12"/>
      <c r="L212" s="12"/>
      <c r="M212" s="12"/>
      <c r="N212" s="12"/>
      <c r="O212" s="12"/>
      <c r="P212" s="108"/>
      <c r="Q212" s="108">
        <f t="shared" si="10"/>
        <v>0</v>
      </c>
      <c r="R212" s="109">
        <f t="shared" si="11"/>
        <v>0</v>
      </c>
      <c r="S212" s="12"/>
      <c r="T212" s="12"/>
      <c r="U212" s="12"/>
      <c r="V212" s="12"/>
      <c r="W212" s="12"/>
      <c r="X212" s="12"/>
      <c r="Y212" s="12"/>
      <c r="Z212" s="12"/>
      <c r="AA212" s="12" t="s">
        <v>5879</v>
      </c>
      <c r="AB212" s="9"/>
    </row>
    <row r="213" spans="1:28" ht="15" customHeight="1" x14ac:dyDescent="0.3">
      <c r="A213" s="236"/>
      <c r="B213" s="104">
        <v>1830008765</v>
      </c>
      <c r="C213" s="34" t="s">
        <v>441</v>
      </c>
      <c r="D213" s="13">
        <v>43990</v>
      </c>
      <c r="E213" s="14">
        <v>2.4E-2</v>
      </c>
      <c r="F213" s="40">
        <v>0.04</v>
      </c>
      <c r="G213" s="16">
        <v>1055.76</v>
      </c>
      <c r="H213" s="17">
        <v>1759.6000000000001</v>
      </c>
      <c r="I213" s="51"/>
      <c r="J213" s="12"/>
      <c r="K213" s="12"/>
      <c r="L213" s="12"/>
      <c r="M213" s="12"/>
      <c r="N213" s="12"/>
      <c r="O213" s="12"/>
      <c r="P213" s="108"/>
      <c r="Q213" s="108">
        <f t="shared" si="10"/>
        <v>0</v>
      </c>
      <c r="R213" s="109">
        <f t="shared" si="11"/>
        <v>0</v>
      </c>
      <c r="S213" s="12"/>
      <c r="T213" s="12"/>
      <c r="U213" s="12"/>
      <c r="V213" s="12"/>
      <c r="W213" s="12"/>
      <c r="X213" s="12"/>
      <c r="Y213" s="12"/>
      <c r="Z213" s="12"/>
      <c r="AA213" s="12" t="s">
        <v>5879</v>
      </c>
      <c r="AB213" s="9"/>
    </row>
    <row r="214" spans="1:28" ht="15" customHeight="1" x14ac:dyDescent="0.3">
      <c r="A214" s="236"/>
      <c r="B214" s="104">
        <v>1830009250</v>
      </c>
      <c r="C214" s="34" t="s">
        <v>5987</v>
      </c>
      <c r="D214" s="13">
        <v>51990</v>
      </c>
      <c r="E214" s="14">
        <v>2.4E-2</v>
      </c>
      <c r="F214" s="40">
        <v>0.04</v>
      </c>
      <c r="G214" s="16">
        <v>1247.76</v>
      </c>
      <c r="H214" s="17">
        <v>2079.6</v>
      </c>
      <c r="I214" s="51"/>
      <c r="J214" s="12"/>
      <c r="K214" s="12"/>
      <c r="L214" s="12"/>
      <c r="M214" s="12"/>
      <c r="N214" s="12"/>
      <c r="O214" s="12"/>
      <c r="P214" s="108"/>
      <c r="Q214" s="108">
        <f t="shared" si="10"/>
        <v>0</v>
      </c>
      <c r="R214" s="109">
        <f t="shared" si="11"/>
        <v>0</v>
      </c>
      <c r="S214" s="12"/>
      <c r="T214" s="12"/>
      <c r="U214" s="12"/>
      <c r="V214" s="12"/>
      <c r="W214" s="12"/>
      <c r="X214" s="12"/>
      <c r="Y214" s="12"/>
      <c r="Z214" s="12"/>
      <c r="AA214" s="12"/>
      <c r="AB214" s="9"/>
    </row>
    <row r="215" spans="1:28" ht="15" customHeight="1" x14ac:dyDescent="0.3">
      <c r="A215" s="236"/>
      <c r="B215" s="104">
        <v>1830009251</v>
      </c>
      <c r="C215" s="34" t="s">
        <v>5988</v>
      </c>
      <c r="D215" s="13">
        <v>70990</v>
      </c>
      <c r="E215" s="14">
        <v>2.4E-2</v>
      </c>
      <c r="F215" s="40">
        <v>0.04</v>
      </c>
      <c r="G215" s="16">
        <v>1703.76</v>
      </c>
      <c r="H215" s="17">
        <v>2839.6</v>
      </c>
      <c r="I215" s="51"/>
      <c r="J215" s="12"/>
      <c r="K215" s="12"/>
      <c r="L215" s="12"/>
      <c r="M215" s="12"/>
      <c r="N215" s="12"/>
      <c r="O215" s="12"/>
      <c r="P215" s="108"/>
      <c r="Q215" s="108">
        <f t="shared" si="10"/>
        <v>0</v>
      </c>
      <c r="R215" s="109">
        <f t="shared" ref="R215:R221" si="14">H215*P215</f>
        <v>0</v>
      </c>
      <c r="S215" s="12"/>
      <c r="T215" s="12"/>
      <c r="U215" s="12"/>
      <c r="V215" s="12"/>
      <c r="W215" s="12"/>
      <c r="X215" s="12"/>
      <c r="Y215" s="12"/>
      <c r="Z215" s="12"/>
      <c r="AA215" s="12"/>
      <c r="AB215" s="9"/>
    </row>
    <row r="216" spans="1:28" ht="15" customHeight="1" x14ac:dyDescent="0.3">
      <c r="A216" s="236"/>
      <c r="B216" s="104">
        <v>1830009467</v>
      </c>
      <c r="C216" s="34" t="s">
        <v>5989</v>
      </c>
      <c r="D216" s="13">
        <v>103990</v>
      </c>
      <c r="E216" s="14">
        <v>2.4E-2</v>
      </c>
      <c r="F216" s="40">
        <v>0.04</v>
      </c>
      <c r="G216" s="16">
        <v>2495.7600000000002</v>
      </c>
      <c r="H216" s="17">
        <v>4159.6000000000004</v>
      </c>
      <c r="I216" s="51"/>
      <c r="J216" s="12"/>
      <c r="K216" s="12"/>
      <c r="L216" s="12"/>
      <c r="M216" s="12"/>
      <c r="N216" s="12"/>
      <c r="O216" s="12"/>
      <c r="P216" s="108"/>
      <c r="Q216" s="108">
        <f t="shared" si="10"/>
        <v>0</v>
      </c>
      <c r="R216" s="109">
        <f t="shared" si="14"/>
        <v>0</v>
      </c>
      <c r="S216" s="12"/>
      <c r="T216" s="12"/>
      <c r="U216" s="12"/>
      <c r="V216" s="12"/>
      <c r="W216" s="12"/>
      <c r="X216" s="12"/>
      <c r="Y216" s="12"/>
      <c r="Z216" s="12"/>
      <c r="AA216" s="12"/>
      <c r="AB216" s="9"/>
    </row>
    <row r="217" spans="1:28" ht="15" customHeight="1" x14ac:dyDescent="0.3">
      <c r="A217" s="236"/>
      <c r="B217" s="104">
        <v>1830009729</v>
      </c>
      <c r="C217" s="34" t="s">
        <v>5990</v>
      </c>
      <c r="D217" s="13">
        <v>41990</v>
      </c>
      <c r="E217" s="14">
        <v>2.4E-2</v>
      </c>
      <c r="F217" s="40">
        <v>0.04</v>
      </c>
      <c r="G217" s="16">
        <v>1007.76</v>
      </c>
      <c r="H217" s="17">
        <v>1679.6000000000001</v>
      </c>
      <c r="I217" s="51"/>
      <c r="J217" s="12"/>
      <c r="K217" s="12"/>
      <c r="L217" s="12"/>
      <c r="M217" s="12"/>
      <c r="N217" s="12"/>
      <c r="O217" s="12"/>
      <c r="P217" s="108"/>
      <c r="Q217" s="108">
        <f t="shared" si="10"/>
        <v>0</v>
      </c>
      <c r="R217" s="109">
        <f t="shared" si="14"/>
        <v>0</v>
      </c>
      <c r="S217" s="12"/>
      <c r="T217" s="12"/>
      <c r="U217" s="12"/>
      <c r="V217" s="12"/>
      <c r="W217" s="12"/>
      <c r="X217" s="12"/>
      <c r="Y217" s="12"/>
      <c r="Z217" s="12"/>
      <c r="AA217" s="12"/>
      <c r="AB217" s="9"/>
    </row>
    <row r="218" spans="1:28" ht="15" customHeight="1" x14ac:dyDescent="0.3">
      <c r="A218" s="236"/>
      <c r="B218" s="104">
        <v>1830009730</v>
      </c>
      <c r="C218" s="34" t="s">
        <v>5991</v>
      </c>
      <c r="D218" s="13">
        <v>41990</v>
      </c>
      <c r="E218" s="14">
        <v>2.4E-2</v>
      </c>
      <c r="F218" s="40">
        <v>0.04</v>
      </c>
      <c r="G218" s="16">
        <v>1007.76</v>
      </c>
      <c r="H218" s="17">
        <v>1679.6000000000001</v>
      </c>
      <c r="I218" s="51"/>
      <c r="J218" s="12"/>
      <c r="K218" s="12"/>
      <c r="L218" s="12"/>
      <c r="M218" s="12"/>
      <c r="N218" s="12"/>
      <c r="O218" s="12"/>
      <c r="P218" s="108"/>
      <c r="Q218" s="108">
        <f t="shared" si="10"/>
        <v>0</v>
      </c>
      <c r="R218" s="109">
        <f t="shared" si="14"/>
        <v>0</v>
      </c>
      <c r="S218" s="12"/>
      <c r="T218" s="12"/>
      <c r="U218" s="12"/>
      <c r="V218" s="12"/>
      <c r="W218" s="12"/>
      <c r="X218" s="12"/>
      <c r="Y218" s="12"/>
      <c r="Z218" s="12"/>
      <c r="AA218" s="12"/>
      <c r="AB218" s="9"/>
    </row>
    <row r="219" spans="1:28" ht="15" customHeight="1" x14ac:dyDescent="0.3">
      <c r="A219" s="236"/>
      <c r="B219" s="104">
        <v>1830009728</v>
      </c>
      <c r="C219" s="34" t="s">
        <v>5992</v>
      </c>
      <c r="D219" s="13">
        <v>41990</v>
      </c>
      <c r="E219" s="14">
        <v>2.4E-2</v>
      </c>
      <c r="F219" s="40">
        <v>0.04</v>
      </c>
      <c r="G219" s="16">
        <v>1007.76</v>
      </c>
      <c r="H219" s="17">
        <v>1679.6000000000001</v>
      </c>
      <c r="I219" s="51"/>
      <c r="J219" s="12"/>
      <c r="K219" s="12"/>
      <c r="L219" s="12"/>
      <c r="M219" s="12"/>
      <c r="N219" s="12"/>
      <c r="O219" s="12"/>
      <c r="P219" s="108"/>
      <c r="Q219" s="108">
        <f t="shared" si="10"/>
        <v>0</v>
      </c>
      <c r="R219" s="109">
        <f t="shared" si="14"/>
        <v>0</v>
      </c>
      <c r="S219" s="12"/>
      <c r="T219" s="12"/>
      <c r="U219" s="12"/>
      <c r="V219" s="12"/>
      <c r="W219" s="12"/>
      <c r="X219" s="12"/>
      <c r="Y219" s="12"/>
      <c r="Z219" s="12"/>
      <c r="AA219" s="12"/>
      <c r="AB219" s="9"/>
    </row>
    <row r="220" spans="1:28" ht="15" customHeight="1" x14ac:dyDescent="0.3">
      <c r="A220" s="236"/>
      <c r="B220" s="104">
        <v>1830009438</v>
      </c>
      <c r="C220" s="34" t="s">
        <v>5993</v>
      </c>
      <c r="D220" s="13">
        <v>41990</v>
      </c>
      <c r="E220" s="14">
        <v>2.4E-2</v>
      </c>
      <c r="F220" s="40">
        <v>0.04</v>
      </c>
      <c r="G220" s="16">
        <v>1007.76</v>
      </c>
      <c r="H220" s="17">
        <v>1679.6000000000001</v>
      </c>
      <c r="I220" s="51"/>
      <c r="J220" s="12"/>
      <c r="K220" s="12"/>
      <c r="L220" s="12"/>
      <c r="M220" s="12"/>
      <c r="N220" s="12"/>
      <c r="O220" s="12"/>
      <c r="P220" s="108"/>
      <c r="Q220" s="108">
        <f t="shared" si="10"/>
        <v>0</v>
      </c>
      <c r="R220" s="109">
        <f t="shared" si="14"/>
        <v>0</v>
      </c>
      <c r="S220" s="12"/>
      <c r="T220" s="12"/>
      <c r="U220" s="12"/>
      <c r="V220" s="12"/>
      <c r="W220" s="12"/>
      <c r="X220" s="12"/>
      <c r="Y220" s="12"/>
      <c r="Z220" s="12"/>
      <c r="AA220" s="12"/>
      <c r="AB220" s="9"/>
    </row>
    <row r="221" spans="1:28" ht="15" customHeight="1" x14ac:dyDescent="0.3">
      <c r="A221" s="236"/>
      <c r="B221" s="104">
        <v>1830009197</v>
      </c>
      <c r="C221" s="34" t="s">
        <v>5994</v>
      </c>
      <c r="D221" s="13">
        <v>64990</v>
      </c>
      <c r="E221" s="14">
        <v>2.4E-2</v>
      </c>
      <c r="F221" s="40">
        <v>0.04</v>
      </c>
      <c r="G221" s="16">
        <v>1559.76</v>
      </c>
      <c r="H221" s="17">
        <v>2599.6</v>
      </c>
      <c r="I221" s="51"/>
      <c r="J221" s="12"/>
      <c r="K221" s="12"/>
      <c r="L221" s="12"/>
      <c r="M221" s="12"/>
      <c r="N221" s="12"/>
      <c r="O221" s="12"/>
      <c r="P221" s="108"/>
      <c r="Q221" s="108">
        <f t="shared" si="10"/>
        <v>0</v>
      </c>
      <c r="R221" s="109">
        <f t="shared" si="14"/>
        <v>0</v>
      </c>
      <c r="S221" s="12"/>
      <c r="T221" s="12"/>
      <c r="U221" s="12"/>
      <c r="V221" s="12"/>
      <c r="W221" s="12"/>
      <c r="X221" s="12"/>
      <c r="Y221" s="12"/>
      <c r="Z221" s="12"/>
      <c r="AA221" s="12"/>
      <c r="AB221" s="9"/>
    </row>
    <row r="222" spans="1:28" ht="15" customHeight="1" x14ac:dyDescent="0.3">
      <c r="A222" s="236"/>
      <c r="B222" s="104">
        <v>1830008521</v>
      </c>
      <c r="C222" s="34" t="s">
        <v>1651</v>
      </c>
      <c r="D222" s="13">
        <v>53990</v>
      </c>
      <c r="E222" s="14">
        <v>2.4E-2</v>
      </c>
      <c r="F222" s="40">
        <v>0.04</v>
      </c>
      <c r="G222" s="16">
        <v>1295.76</v>
      </c>
      <c r="H222" s="17">
        <v>2159.6</v>
      </c>
      <c r="I222" s="51"/>
      <c r="J222" s="12"/>
      <c r="K222" s="12"/>
      <c r="L222" s="12"/>
      <c r="M222" s="12"/>
      <c r="N222" s="12"/>
      <c r="O222" s="12"/>
      <c r="P222" s="108"/>
      <c r="Q222" s="108">
        <f t="shared" si="10"/>
        <v>0</v>
      </c>
      <c r="R222" s="109">
        <f t="shared" si="11"/>
        <v>0</v>
      </c>
      <c r="S222" s="12"/>
      <c r="T222" s="12"/>
      <c r="U222" s="12"/>
      <c r="V222" s="12"/>
      <c r="W222" s="12"/>
      <c r="X222" s="12"/>
      <c r="Y222" s="12"/>
      <c r="Z222" s="12"/>
      <c r="AA222" s="12" t="s">
        <v>5879</v>
      </c>
      <c r="AB222" s="9"/>
    </row>
    <row r="223" spans="1:28" ht="15" customHeight="1" x14ac:dyDescent="0.3">
      <c r="A223" s="236"/>
      <c r="B223" s="104">
        <v>1830008581</v>
      </c>
      <c r="C223" s="34" t="s">
        <v>1627</v>
      </c>
      <c r="D223" s="13">
        <v>41990</v>
      </c>
      <c r="E223" s="14">
        <v>2.4E-2</v>
      </c>
      <c r="F223" s="40">
        <v>0.04</v>
      </c>
      <c r="G223" s="16">
        <v>1007.76</v>
      </c>
      <c r="H223" s="17">
        <v>1679.6000000000001</v>
      </c>
      <c r="I223" s="51"/>
      <c r="J223" s="12"/>
      <c r="K223" s="12"/>
      <c r="L223" s="12"/>
      <c r="M223" s="12"/>
      <c r="N223" s="12"/>
      <c r="O223" s="12"/>
      <c r="P223" s="108"/>
      <c r="Q223" s="108">
        <f t="shared" si="10"/>
        <v>0</v>
      </c>
      <c r="R223" s="109">
        <f t="shared" si="11"/>
        <v>0</v>
      </c>
      <c r="S223" s="12"/>
      <c r="T223" s="12"/>
      <c r="U223" s="12"/>
      <c r="V223" s="12"/>
      <c r="W223" s="12"/>
      <c r="X223" s="12"/>
      <c r="Y223" s="12"/>
      <c r="Z223" s="12"/>
      <c r="AA223" s="12" t="s">
        <v>5879</v>
      </c>
      <c r="AB223" s="9"/>
    </row>
    <row r="224" spans="1:28" ht="15" customHeight="1" x14ac:dyDescent="0.3">
      <c r="A224" s="236"/>
      <c r="B224" s="102">
        <v>1830009259</v>
      </c>
      <c r="C224" s="103" t="s">
        <v>5919</v>
      </c>
      <c r="D224" s="13">
        <v>62990</v>
      </c>
      <c r="E224" s="14">
        <v>0.03</v>
      </c>
      <c r="F224" s="38">
        <v>0.04</v>
      </c>
      <c r="G224" s="16">
        <v>1889.6999999999998</v>
      </c>
      <c r="H224" s="17">
        <v>2519.6</v>
      </c>
      <c r="I224" s="115"/>
      <c r="J224" s="116"/>
      <c r="K224" s="116"/>
      <c r="L224" s="116"/>
      <c r="M224" s="116"/>
      <c r="N224" s="116"/>
      <c r="O224" s="116"/>
      <c r="P224" s="108"/>
      <c r="Q224" s="108">
        <f t="shared" si="10"/>
        <v>0</v>
      </c>
      <c r="R224" s="109">
        <f t="shared" si="11"/>
        <v>0</v>
      </c>
      <c r="S224" s="12"/>
      <c r="T224" s="12"/>
      <c r="U224" s="12"/>
      <c r="V224" s="12"/>
      <c r="W224" s="12"/>
      <c r="X224" s="12"/>
      <c r="Y224" s="12"/>
      <c r="Z224" s="12"/>
      <c r="AA224" s="12"/>
      <c r="AB224" s="9"/>
    </row>
    <row r="225" spans="1:28" ht="15" customHeight="1" x14ac:dyDescent="0.3">
      <c r="A225" s="236"/>
      <c r="B225" s="102">
        <v>1830009261</v>
      </c>
      <c r="C225" s="103" t="s">
        <v>5969</v>
      </c>
      <c r="D225" s="13">
        <v>62990</v>
      </c>
      <c r="E225" s="14">
        <v>0.03</v>
      </c>
      <c r="F225" s="38">
        <v>0.04</v>
      </c>
      <c r="G225" s="16">
        <v>1889.6999999999998</v>
      </c>
      <c r="H225" s="17">
        <v>2519.6</v>
      </c>
      <c r="I225" s="115"/>
      <c r="J225" s="116"/>
      <c r="K225" s="116"/>
      <c r="L225" s="116"/>
      <c r="M225" s="116"/>
      <c r="N225" s="116"/>
      <c r="O225" s="116"/>
      <c r="P225" s="108"/>
      <c r="Q225" s="108">
        <f t="shared" si="10"/>
        <v>0</v>
      </c>
      <c r="R225" s="109">
        <f t="shared" si="11"/>
        <v>0</v>
      </c>
      <c r="S225" s="12"/>
      <c r="T225" s="12"/>
      <c r="U225" s="12"/>
      <c r="V225" s="12"/>
      <c r="W225" s="12"/>
      <c r="X225" s="12"/>
      <c r="Y225" s="12"/>
      <c r="Z225" s="12"/>
      <c r="AA225" s="93" t="s">
        <v>5879</v>
      </c>
      <c r="AB225" s="9"/>
    </row>
    <row r="226" spans="1:28" ht="15" customHeight="1" x14ac:dyDescent="0.3">
      <c r="A226" s="236"/>
      <c r="B226" s="102">
        <v>1830009260</v>
      </c>
      <c r="C226" s="103" t="s">
        <v>5970</v>
      </c>
      <c r="D226" s="13">
        <v>62990</v>
      </c>
      <c r="E226" s="14">
        <v>0.03</v>
      </c>
      <c r="F226" s="38">
        <v>0.04</v>
      </c>
      <c r="G226" s="16">
        <v>1889.6999999999998</v>
      </c>
      <c r="H226" s="17">
        <v>2519.6</v>
      </c>
      <c r="I226" s="115"/>
      <c r="J226" s="116"/>
      <c r="K226" s="116"/>
      <c r="L226" s="116"/>
      <c r="M226" s="116"/>
      <c r="N226" s="116"/>
      <c r="O226" s="116"/>
      <c r="P226" s="108"/>
      <c r="Q226" s="108">
        <f t="shared" si="10"/>
        <v>0</v>
      </c>
      <c r="R226" s="109">
        <f t="shared" si="11"/>
        <v>0</v>
      </c>
      <c r="S226" s="12"/>
      <c r="T226" s="12"/>
      <c r="U226" s="12"/>
      <c r="V226" s="12"/>
      <c r="W226" s="12"/>
      <c r="X226" s="12"/>
      <c r="Y226" s="12"/>
      <c r="Z226" s="12"/>
      <c r="AA226" s="93" t="s">
        <v>5879</v>
      </c>
      <c r="AB226" s="9"/>
    </row>
    <row r="227" spans="1:28" ht="15" customHeight="1" x14ac:dyDescent="0.3">
      <c r="A227" s="236"/>
      <c r="B227" s="102">
        <v>1830009168</v>
      </c>
      <c r="C227" s="103" t="s">
        <v>5920</v>
      </c>
      <c r="D227" s="13">
        <v>75990</v>
      </c>
      <c r="E227" s="14">
        <v>0.03</v>
      </c>
      <c r="F227" s="38">
        <v>0.05</v>
      </c>
      <c r="G227" s="16">
        <v>2279.6999999999998</v>
      </c>
      <c r="H227" s="17">
        <v>3799.5</v>
      </c>
      <c r="I227" s="115"/>
      <c r="J227" s="116"/>
      <c r="K227" s="116"/>
      <c r="L227" s="116"/>
      <c r="M227" s="116"/>
      <c r="N227" s="116"/>
      <c r="O227" s="116"/>
      <c r="P227" s="108"/>
      <c r="Q227" s="108">
        <f t="shared" si="10"/>
        <v>0</v>
      </c>
      <c r="R227" s="109">
        <f t="shared" si="11"/>
        <v>0</v>
      </c>
      <c r="S227" s="12"/>
      <c r="T227" s="12"/>
      <c r="U227" s="12"/>
      <c r="V227" s="12"/>
      <c r="W227" s="12"/>
      <c r="X227" s="12"/>
      <c r="Y227" s="12"/>
      <c r="Z227" s="12"/>
      <c r="AA227" s="12"/>
      <c r="AB227" s="9"/>
    </row>
    <row r="228" spans="1:28" ht="15" customHeight="1" x14ac:dyDescent="0.3">
      <c r="A228" s="236"/>
      <c r="B228" s="104">
        <v>1830009449</v>
      </c>
      <c r="C228" s="34" t="s">
        <v>5973</v>
      </c>
      <c r="D228" s="13">
        <v>93990</v>
      </c>
      <c r="E228" s="14">
        <v>0.03</v>
      </c>
      <c r="F228" s="40">
        <v>0.05</v>
      </c>
      <c r="G228" s="16">
        <v>2819.7</v>
      </c>
      <c r="H228" s="17">
        <v>4699.5</v>
      </c>
      <c r="I228" s="51"/>
      <c r="J228" s="12"/>
      <c r="K228" s="12"/>
      <c r="L228" s="12"/>
      <c r="M228" s="12"/>
      <c r="N228" s="12"/>
      <c r="O228" s="12"/>
      <c r="P228" s="108"/>
      <c r="Q228" s="108">
        <f t="shared" si="10"/>
        <v>0</v>
      </c>
      <c r="R228" s="109">
        <f t="shared" si="11"/>
        <v>0</v>
      </c>
      <c r="S228" s="92"/>
      <c r="T228" s="92"/>
      <c r="U228" s="92"/>
      <c r="V228" s="92"/>
      <c r="W228" s="92"/>
      <c r="X228" s="92"/>
      <c r="Y228" s="92"/>
      <c r="Z228" s="92"/>
      <c r="AA228" s="12"/>
      <c r="AB228" s="9"/>
    </row>
    <row r="229" spans="1:28" ht="15" customHeight="1" x14ac:dyDescent="0.3">
      <c r="A229" s="236"/>
      <c r="B229" s="104">
        <v>1830009443</v>
      </c>
      <c r="C229" s="34" t="s">
        <v>5933</v>
      </c>
      <c r="D229" s="13">
        <v>93990</v>
      </c>
      <c r="E229" s="14">
        <v>0.03</v>
      </c>
      <c r="F229" s="40">
        <v>0.04</v>
      </c>
      <c r="G229" s="16">
        <v>2819.7</v>
      </c>
      <c r="H229" s="17">
        <v>3759.6</v>
      </c>
      <c r="I229" s="51"/>
      <c r="J229" s="12"/>
      <c r="K229" s="12"/>
      <c r="L229" s="12"/>
      <c r="M229" s="12"/>
      <c r="N229" s="12"/>
      <c r="O229" s="12"/>
      <c r="P229" s="108"/>
      <c r="Q229" s="108">
        <f t="shared" si="10"/>
        <v>0</v>
      </c>
      <c r="R229" s="109">
        <f t="shared" si="11"/>
        <v>0</v>
      </c>
      <c r="S229" s="92"/>
      <c r="T229" s="92"/>
      <c r="U229" s="92"/>
      <c r="V229" s="92"/>
      <c r="W229" s="92"/>
      <c r="X229" s="92"/>
      <c r="Y229" s="92"/>
      <c r="Z229" s="92"/>
      <c r="AA229" s="12"/>
      <c r="AB229" s="9"/>
    </row>
    <row r="230" spans="1:28" ht="15" customHeight="1" x14ac:dyDescent="0.3">
      <c r="A230" s="236"/>
      <c r="B230" s="149" t="s">
        <v>71</v>
      </c>
      <c r="C230" s="146"/>
      <c r="D230" s="146"/>
      <c r="E230" s="146"/>
      <c r="F230" s="147"/>
      <c r="G230" s="147"/>
      <c r="H230" s="148"/>
      <c r="I230" s="135"/>
      <c r="J230" s="136"/>
      <c r="K230" s="136"/>
      <c r="L230" s="136"/>
      <c r="M230" s="136"/>
      <c r="N230" s="136"/>
      <c r="O230" s="136"/>
      <c r="P230" s="108"/>
      <c r="Q230" s="108">
        <f t="shared" si="10"/>
        <v>0</v>
      </c>
      <c r="R230" s="109">
        <f t="shared" si="11"/>
        <v>0</v>
      </c>
      <c r="S230" s="12"/>
      <c r="T230" s="12"/>
      <c r="U230" s="12"/>
      <c r="V230" s="12"/>
      <c r="W230" s="12"/>
      <c r="X230" s="12"/>
      <c r="Y230" s="12"/>
      <c r="Z230" s="12"/>
      <c r="AA230" s="12"/>
      <c r="AB230" s="9"/>
    </row>
    <row r="231" spans="1:28" ht="15" customHeight="1" x14ac:dyDescent="0.3">
      <c r="A231" s="236"/>
      <c r="B231" s="43">
        <v>7211003245</v>
      </c>
      <c r="C231" s="25" t="s">
        <v>72</v>
      </c>
      <c r="D231" s="13">
        <v>136990</v>
      </c>
      <c r="E231" s="14">
        <v>1.7999999999999999E-2</v>
      </c>
      <c r="F231" s="32">
        <v>0.03</v>
      </c>
      <c r="G231" s="16">
        <v>2465.8199999999997</v>
      </c>
      <c r="H231" s="17">
        <v>4109.7</v>
      </c>
      <c r="I231" s="51"/>
      <c r="J231" s="12" t="s">
        <v>179</v>
      </c>
      <c r="K231" s="12" t="s">
        <v>321</v>
      </c>
      <c r="L231" s="12" t="s">
        <v>262</v>
      </c>
      <c r="M231" s="12" t="s">
        <v>72</v>
      </c>
      <c r="N231" s="12"/>
      <c r="O231" s="12"/>
      <c r="P231" s="108"/>
      <c r="Q231" s="108">
        <f t="shared" si="10"/>
        <v>0</v>
      </c>
      <c r="R231" s="109">
        <f t="shared" si="11"/>
        <v>0</v>
      </c>
      <c r="S231" s="12" t="s">
        <v>179</v>
      </c>
      <c r="T231" s="12">
        <v>1</v>
      </c>
      <c r="U231" s="12" t="s">
        <v>5268</v>
      </c>
      <c r="V231" s="12">
        <v>1</v>
      </c>
      <c r="W231" s="12" t="s">
        <v>262</v>
      </c>
      <c r="X231" s="12">
        <v>1</v>
      </c>
      <c r="Y231" s="12" t="s">
        <v>72</v>
      </c>
      <c r="Z231" s="12"/>
      <c r="AA231" s="12"/>
      <c r="AB231" s="9"/>
    </row>
    <row r="232" spans="1:28" ht="15" customHeight="1" x14ac:dyDescent="0.3">
      <c r="A232" s="236"/>
      <c r="B232" s="43">
        <v>7211003242</v>
      </c>
      <c r="C232" s="25" t="s">
        <v>3714</v>
      </c>
      <c r="D232" s="13">
        <v>127990</v>
      </c>
      <c r="E232" s="14">
        <v>1.7999999999999999E-2</v>
      </c>
      <c r="F232" s="32">
        <v>0.03</v>
      </c>
      <c r="G232" s="16">
        <v>2303.8199999999997</v>
      </c>
      <c r="H232" s="17">
        <v>3839.7</v>
      </c>
      <c r="I232" s="51"/>
      <c r="J232" s="12"/>
      <c r="K232" s="12"/>
      <c r="L232" s="12"/>
      <c r="M232" s="12"/>
      <c r="N232" s="12"/>
      <c r="O232" s="12"/>
      <c r="P232" s="108"/>
      <c r="Q232" s="108">
        <f t="shared" si="10"/>
        <v>0</v>
      </c>
      <c r="R232" s="109">
        <f t="shared" si="11"/>
        <v>0</v>
      </c>
      <c r="S232" s="12" t="s">
        <v>3715</v>
      </c>
      <c r="T232" s="12">
        <v>1</v>
      </c>
      <c r="U232" s="12"/>
      <c r="V232" s="12"/>
      <c r="W232" s="12"/>
      <c r="X232" s="12"/>
      <c r="Y232" s="12"/>
      <c r="Z232" s="12"/>
      <c r="AA232" s="12"/>
      <c r="AB232" s="9"/>
    </row>
    <row r="233" spans="1:28" ht="15" customHeight="1" x14ac:dyDescent="0.3">
      <c r="A233" s="236"/>
      <c r="B233" s="43">
        <v>7211003820</v>
      </c>
      <c r="C233" s="25" t="s">
        <v>121</v>
      </c>
      <c r="D233" s="13">
        <v>93990</v>
      </c>
      <c r="E233" s="14">
        <v>1.7999999999999999E-2</v>
      </c>
      <c r="F233" s="32">
        <v>0.03</v>
      </c>
      <c r="G233" s="16">
        <v>1691.82</v>
      </c>
      <c r="H233" s="17">
        <v>2819.7</v>
      </c>
      <c r="I233" s="51"/>
      <c r="J233" s="12"/>
      <c r="K233" s="12" t="s">
        <v>322</v>
      </c>
      <c r="L233" s="12"/>
      <c r="M233" s="12"/>
      <c r="N233" s="12"/>
      <c r="O233" s="12"/>
      <c r="P233" s="108"/>
      <c r="Q233" s="108">
        <f t="shared" si="10"/>
        <v>0</v>
      </c>
      <c r="R233" s="109">
        <f t="shared" si="11"/>
        <v>0</v>
      </c>
      <c r="S233" s="12" t="s">
        <v>3690</v>
      </c>
      <c r="T233" s="12">
        <v>1</v>
      </c>
      <c r="U233" s="12" t="s">
        <v>5287</v>
      </c>
      <c r="V233" s="12">
        <v>1</v>
      </c>
      <c r="W233" s="12"/>
      <c r="X233" s="12"/>
      <c r="Y233" s="12"/>
      <c r="Z233" s="12"/>
      <c r="AA233" s="12"/>
      <c r="AB233" s="9"/>
    </row>
    <row r="234" spans="1:28" ht="15" customHeight="1" x14ac:dyDescent="0.3">
      <c r="A234" s="236"/>
      <c r="B234" s="43">
        <v>7211003938</v>
      </c>
      <c r="C234" s="25" t="s">
        <v>73</v>
      </c>
      <c r="D234" s="13">
        <v>169990</v>
      </c>
      <c r="E234" s="14">
        <v>2.4E-2</v>
      </c>
      <c r="F234" s="32">
        <v>0.04</v>
      </c>
      <c r="G234" s="16">
        <v>4079.76</v>
      </c>
      <c r="H234" s="17">
        <v>6799.6</v>
      </c>
      <c r="I234" s="51"/>
      <c r="J234" s="12" t="s">
        <v>180</v>
      </c>
      <c r="K234" s="12" t="s">
        <v>323</v>
      </c>
      <c r="L234" s="12" t="s">
        <v>263</v>
      </c>
      <c r="M234" s="12" t="s">
        <v>73</v>
      </c>
      <c r="N234" s="12"/>
      <c r="O234" s="12"/>
      <c r="P234" s="108"/>
      <c r="Q234" s="108">
        <f t="shared" si="10"/>
        <v>0</v>
      </c>
      <c r="R234" s="109">
        <f t="shared" si="11"/>
        <v>0</v>
      </c>
      <c r="S234" s="12" t="s">
        <v>180</v>
      </c>
      <c r="T234" s="12">
        <v>1</v>
      </c>
      <c r="U234" s="12" t="s">
        <v>5276</v>
      </c>
      <c r="V234" s="12">
        <v>1</v>
      </c>
      <c r="W234" s="12" t="s">
        <v>263</v>
      </c>
      <c r="X234" s="12">
        <v>1</v>
      </c>
      <c r="Y234" s="12" t="s">
        <v>73</v>
      </c>
      <c r="Z234" s="12"/>
      <c r="AA234" s="12"/>
      <c r="AB234" s="9"/>
    </row>
    <row r="235" spans="1:28" ht="15" customHeight="1" x14ac:dyDescent="0.3">
      <c r="A235" s="236"/>
      <c r="B235" s="43">
        <v>8000035826</v>
      </c>
      <c r="C235" s="25" t="s">
        <v>362</v>
      </c>
      <c r="D235" s="13">
        <v>70990</v>
      </c>
      <c r="E235" s="14">
        <v>1.2E-2</v>
      </c>
      <c r="F235" s="32">
        <v>0.02</v>
      </c>
      <c r="G235" s="16">
        <v>851.88</v>
      </c>
      <c r="H235" s="17">
        <v>1419.8</v>
      </c>
      <c r="I235" s="51"/>
      <c r="J235" s="12" t="s">
        <v>364</v>
      </c>
      <c r="K235" s="12" t="s">
        <v>364</v>
      </c>
      <c r="L235" s="12" t="s">
        <v>364</v>
      </c>
      <c r="M235" s="12" t="s">
        <v>364</v>
      </c>
      <c r="N235" s="12"/>
      <c r="O235" s="12"/>
      <c r="P235" s="108"/>
      <c r="Q235" s="108">
        <f t="shared" si="10"/>
        <v>0</v>
      </c>
      <c r="R235" s="109">
        <f t="shared" si="11"/>
        <v>0</v>
      </c>
      <c r="S235" s="12" t="s">
        <v>364</v>
      </c>
      <c r="T235" s="12">
        <v>1</v>
      </c>
      <c r="U235" s="12" t="s">
        <v>5275</v>
      </c>
      <c r="V235" s="12">
        <v>1</v>
      </c>
      <c r="W235" s="12" t="s">
        <v>2176</v>
      </c>
      <c r="X235" s="12">
        <v>1</v>
      </c>
      <c r="Y235" s="12" t="s">
        <v>362</v>
      </c>
      <c r="Z235" s="12"/>
      <c r="AA235" s="12"/>
      <c r="AB235" s="9"/>
    </row>
    <row r="236" spans="1:28" ht="15" customHeight="1" x14ac:dyDescent="0.3">
      <c r="A236" s="236"/>
      <c r="B236" s="150" t="s">
        <v>45</v>
      </c>
      <c r="C236" s="146"/>
      <c r="D236" s="146"/>
      <c r="E236" s="146"/>
      <c r="F236" s="146"/>
      <c r="G236" s="147"/>
      <c r="H236" s="148"/>
      <c r="I236" s="135"/>
      <c r="J236" s="136"/>
      <c r="K236" s="136"/>
      <c r="L236" s="136"/>
      <c r="M236" s="136"/>
      <c r="N236" s="136"/>
      <c r="O236" s="136"/>
      <c r="P236" s="108"/>
      <c r="Q236" s="108">
        <f t="shared" si="10"/>
        <v>0</v>
      </c>
      <c r="R236" s="109">
        <f t="shared" si="11"/>
        <v>0</v>
      </c>
      <c r="S236" s="12"/>
      <c r="T236" s="12"/>
      <c r="U236" s="12"/>
      <c r="V236" s="12"/>
      <c r="W236" s="12"/>
      <c r="X236" s="12"/>
      <c r="Y236" s="12"/>
      <c r="Z236" s="12"/>
      <c r="AA236" s="12"/>
      <c r="AB236" s="9"/>
    </row>
    <row r="237" spans="1:28" ht="15" customHeight="1" x14ac:dyDescent="0.3">
      <c r="A237" s="236"/>
      <c r="B237" s="110">
        <v>7211419359</v>
      </c>
      <c r="C237" s="111" t="s">
        <v>5895</v>
      </c>
      <c r="D237" s="13">
        <v>341990</v>
      </c>
      <c r="E237" s="14">
        <v>0.03</v>
      </c>
      <c r="F237" s="165">
        <v>0.05</v>
      </c>
      <c r="G237" s="16">
        <v>10259.699999999999</v>
      </c>
      <c r="H237" s="17">
        <v>17099.5</v>
      </c>
      <c r="I237" s="51"/>
      <c r="J237" s="12"/>
      <c r="K237" s="12"/>
      <c r="L237" s="12"/>
      <c r="M237" s="12"/>
      <c r="N237" s="12"/>
      <c r="O237" s="12"/>
      <c r="P237" s="108"/>
      <c r="Q237" s="108">
        <f t="shared" ref="Q237:Q243" si="15">P237*G237</f>
        <v>0</v>
      </c>
      <c r="R237" s="109">
        <f t="shared" si="11"/>
        <v>0</v>
      </c>
      <c r="S237" s="12"/>
      <c r="T237" s="12"/>
      <c r="U237" s="12"/>
      <c r="V237" s="12"/>
      <c r="W237" s="12"/>
      <c r="X237" s="12"/>
      <c r="Y237" s="12"/>
      <c r="Z237" s="12"/>
      <c r="AA237" s="12"/>
      <c r="AB237" s="9"/>
    </row>
    <row r="238" spans="1:28" ht="15" customHeight="1" x14ac:dyDescent="0.3">
      <c r="A238" s="236"/>
      <c r="B238" s="43">
        <v>7211003968</v>
      </c>
      <c r="C238" s="25" t="s">
        <v>47</v>
      </c>
      <c r="D238" s="13">
        <v>99990</v>
      </c>
      <c r="E238" s="14">
        <v>2.4E-2</v>
      </c>
      <c r="F238" s="32">
        <v>0.04</v>
      </c>
      <c r="G238" s="16">
        <v>2399.7600000000002</v>
      </c>
      <c r="H238" s="17">
        <v>3999.6</v>
      </c>
      <c r="I238" s="51"/>
      <c r="J238" s="12"/>
      <c r="K238" s="12" t="s">
        <v>311</v>
      </c>
      <c r="L238" s="12" t="s">
        <v>247</v>
      </c>
      <c r="M238" s="12" t="s">
        <v>47</v>
      </c>
      <c r="N238" s="12"/>
      <c r="O238" s="12"/>
      <c r="P238" s="108"/>
      <c r="Q238" s="108">
        <f t="shared" si="15"/>
        <v>0</v>
      </c>
      <c r="R238" s="109">
        <f t="shared" si="11"/>
        <v>0</v>
      </c>
      <c r="S238" s="12" t="s">
        <v>3788</v>
      </c>
      <c r="T238" s="12">
        <v>1</v>
      </c>
      <c r="U238" s="12" t="s">
        <v>311</v>
      </c>
      <c r="V238" s="12">
        <v>1</v>
      </c>
      <c r="W238" s="12" t="s">
        <v>247</v>
      </c>
      <c r="X238" s="12">
        <v>1</v>
      </c>
      <c r="Y238" s="12" t="s">
        <v>47</v>
      </c>
      <c r="Z238" s="12"/>
      <c r="AA238" s="12"/>
      <c r="AB238" s="9"/>
    </row>
    <row r="239" spans="1:28" ht="15" customHeight="1" x14ac:dyDescent="0.3">
      <c r="A239" s="236"/>
      <c r="B239" s="43">
        <v>7211419982</v>
      </c>
      <c r="C239" s="25" t="s">
        <v>5928</v>
      </c>
      <c r="D239" s="13">
        <v>258990</v>
      </c>
      <c r="E239" s="14">
        <v>0.03</v>
      </c>
      <c r="F239" s="32">
        <v>0.05</v>
      </c>
      <c r="G239" s="16">
        <v>7769.7</v>
      </c>
      <c r="H239" s="17">
        <v>12949.5</v>
      </c>
      <c r="I239" s="51"/>
      <c r="J239" s="12"/>
      <c r="K239" s="12"/>
      <c r="L239" s="12"/>
      <c r="M239" s="12"/>
      <c r="N239" s="12"/>
      <c r="O239" s="12"/>
      <c r="P239" s="108"/>
      <c r="Q239" s="108">
        <f t="shared" si="15"/>
        <v>0</v>
      </c>
      <c r="R239" s="109">
        <f t="shared" si="11"/>
        <v>0</v>
      </c>
      <c r="S239" s="12" t="s">
        <v>2551</v>
      </c>
      <c r="T239" s="12">
        <v>1</v>
      </c>
      <c r="U239" s="12" t="s">
        <v>541</v>
      </c>
      <c r="V239" s="12">
        <v>1</v>
      </c>
      <c r="W239" s="12" t="s">
        <v>1955</v>
      </c>
      <c r="X239" s="12">
        <v>1</v>
      </c>
      <c r="Y239" s="12" t="s">
        <v>425</v>
      </c>
      <c r="Z239" s="12"/>
      <c r="AA239" s="12"/>
      <c r="AB239" s="9"/>
    </row>
    <row r="240" spans="1:28" ht="15" customHeight="1" x14ac:dyDescent="0.3">
      <c r="A240" s="236"/>
      <c r="B240" s="43">
        <v>7211004348</v>
      </c>
      <c r="C240" s="25" t="s">
        <v>1960</v>
      </c>
      <c r="D240" s="13">
        <v>137990</v>
      </c>
      <c r="E240" s="14">
        <v>1.7999999999999999E-2</v>
      </c>
      <c r="F240" s="32">
        <v>0.03</v>
      </c>
      <c r="G240" s="16">
        <v>2483.8199999999997</v>
      </c>
      <c r="H240" s="17">
        <v>4139.7</v>
      </c>
      <c r="I240" s="51"/>
      <c r="J240" s="12"/>
      <c r="K240" s="12"/>
      <c r="L240" s="12"/>
      <c r="M240" s="12"/>
      <c r="N240" s="12"/>
      <c r="O240" s="12"/>
      <c r="P240" s="108"/>
      <c r="Q240" s="108">
        <f t="shared" si="15"/>
        <v>0</v>
      </c>
      <c r="R240" s="109">
        <f t="shared" si="11"/>
        <v>0</v>
      </c>
      <c r="S240" s="12"/>
      <c r="T240" s="12"/>
      <c r="U240" s="12" t="s">
        <v>4664</v>
      </c>
      <c r="V240" s="12">
        <v>1</v>
      </c>
      <c r="W240" s="12" t="s">
        <v>1961</v>
      </c>
      <c r="X240" s="12">
        <v>1</v>
      </c>
      <c r="Y240" s="12" t="s">
        <v>1960</v>
      </c>
      <c r="Z240" s="12"/>
      <c r="AA240" s="12"/>
      <c r="AB240" s="9"/>
    </row>
    <row r="241" spans="1:28" ht="15" customHeight="1" x14ac:dyDescent="0.3">
      <c r="A241" s="236"/>
      <c r="B241" s="43">
        <v>7211003109</v>
      </c>
      <c r="C241" s="25" t="s">
        <v>48</v>
      </c>
      <c r="D241" s="13">
        <v>170990</v>
      </c>
      <c r="E241" s="14">
        <v>2.1000000000000001E-2</v>
      </c>
      <c r="F241" s="32">
        <v>3.5000000000000003E-2</v>
      </c>
      <c r="G241" s="16">
        <v>3590.7900000000004</v>
      </c>
      <c r="H241" s="17">
        <v>5984.6500000000005</v>
      </c>
      <c r="I241" s="51"/>
      <c r="J241" s="12" t="s">
        <v>161</v>
      </c>
      <c r="K241" s="12"/>
      <c r="L241" s="12"/>
      <c r="M241" s="12"/>
      <c r="N241" s="12"/>
      <c r="O241" s="12"/>
      <c r="P241" s="108"/>
      <c r="Q241" s="108">
        <f t="shared" si="15"/>
        <v>0</v>
      </c>
      <c r="R241" s="109">
        <f t="shared" si="11"/>
        <v>0</v>
      </c>
      <c r="S241" s="12" t="s">
        <v>161</v>
      </c>
      <c r="T241" s="12">
        <v>1</v>
      </c>
      <c r="U241" s="12"/>
      <c r="V241" s="12"/>
      <c r="W241" s="12"/>
      <c r="X241" s="12"/>
      <c r="Y241" s="12"/>
      <c r="Z241" s="12"/>
      <c r="AA241" s="12"/>
      <c r="AB241" s="9"/>
    </row>
    <row r="242" spans="1:28" ht="15" customHeight="1" x14ac:dyDescent="0.3">
      <c r="A242" s="236"/>
      <c r="B242" s="43">
        <v>7211004463</v>
      </c>
      <c r="C242" s="25" t="s">
        <v>110</v>
      </c>
      <c r="D242" s="13">
        <v>254990</v>
      </c>
      <c r="E242" s="14">
        <v>0.03</v>
      </c>
      <c r="F242" s="32">
        <v>0.05</v>
      </c>
      <c r="G242" s="16">
        <v>7649.7</v>
      </c>
      <c r="H242" s="17">
        <v>12749.5</v>
      </c>
      <c r="I242" s="51"/>
      <c r="J242" s="12" t="s">
        <v>162</v>
      </c>
      <c r="K242" s="12"/>
      <c r="L242" s="12" t="s">
        <v>248</v>
      </c>
      <c r="M242" s="12"/>
      <c r="N242" s="12"/>
      <c r="O242" s="12"/>
      <c r="P242" s="108"/>
      <c r="Q242" s="108">
        <f t="shared" si="15"/>
        <v>0</v>
      </c>
      <c r="R242" s="109">
        <f t="shared" si="11"/>
        <v>0</v>
      </c>
      <c r="S242" s="12" t="s">
        <v>162</v>
      </c>
      <c r="T242" s="12">
        <v>1</v>
      </c>
      <c r="U242" s="12" t="s">
        <v>1676</v>
      </c>
      <c r="V242" s="12">
        <v>1</v>
      </c>
      <c r="W242" s="12" t="s">
        <v>248</v>
      </c>
      <c r="X242" s="12">
        <v>1</v>
      </c>
      <c r="Y242" s="12"/>
      <c r="Z242" s="12"/>
      <c r="AA242" s="12"/>
      <c r="AB242" s="9"/>
    </row>
    <row r="243" spans="1:28" ht="15.75" customHeight="1" thickBot="1" x14ac:dyDescent="0.35">
      <c r="A243" s="236"/>
      <c r="B243" s="122">
        <v>7211003399</v>
      </c>
      <c r="C243" s="123" t="s">
        <v>50</v>
      </c>
      <c r="D243" s="13">
        <v>191990</v>
      </c>
      <c r="E243" s="63">
        <v>2.4E-2</v>
      </c>
      <c r="F243" s="42">
        <v>0.04</v>
      </c>
      <c r="G243" s="64">
        <v>4607.76</v>
      </c>
      <c r="H243" s="65">
        <v>7679.6</v>
      </c>
      <c r="I243" s="51"/>
      <c r="J243" s="12" t="s">
        <v>163</v>
      </c>
      <c r="K243" s="12"/>
      <c r="L243" s="12" t="s">
        <v>249</v>
      </c>
      <c r="M243" s="12" t="s">
        <v>50</v>
      </c>
      <c r="N243" s="12"/>
      <c r="O243" s="12"/>
      <c r="P243" s="124"/>
      <c r="Q243" s="108">
        <f t="shared" si="15"/>
        <v>0</v>
      </c>
      <c r="R243" s="109">
        <f>P243*H243</f>
        <v>0</v>
      </c>
      <c r="S243" s="12" t="s">
        <v>163</v>
      </c>
      <c r="T243" s="12">
        <v>1</v>
      </c>
      <c r="U243" s="12" t="s">
        <v>5635</v>
      </c>
      <c r="V243" s="12">
        <v>1</v>
      </c>
      <c r="W243" s="12" t="s">
        <v>249</v>
      </c>
      <c r="X243" s="12">
        <v>1</v>
      </c>
      <c r="Y243" s="12" t="s">
        <v>50</v>
      </c>
      <c r="Z243" s="12"/>
      <c r="AA243" s="12"/>
      <c r="AB243" s="9"/>
    </row>
    <row r="244" spans="1:28" s="107" customFormat="1" ht="15.75" customHeight="1" thickBot="1" x14ac:dyDescent="0.35">
      <c r="A244" s="243" t="s">
        <v>5940</v>
      </c>
      <c r="B244" s="244"/>
      <c r="C244" s="244"/>
      <c r="D244" s="244"/>
      <c r="E244" s="244"/>
      <c r="F244" s="244"/>
      <c r="G244" s="244"/>
      <c r="H244" s="244"/>
      <c r="I244" s="105"/>
      <c r="J244" s="105"/>
      <c r="K244" s="105"/>
      <c r="L244" s="105"/>
      <c r="M244" s="105"/>
      <c r="N244" s="105"/>
      <c r="O244" s="105"/>
      <c r="P244" s="106">
        <f t="shared" ref="P244:Z244" si="16">SUM(P197:P243)</f>
        <v>0</v>
      </c>
      <c r="Q244" s="106">
        <f t="shared" si="16"/>
        <v>0</v>
      </c>
      <c r="R244" s="126">
        <f t="shared" si="16"/>
        <v>0</v>
      </c>
      <c r="S244" s="127">
        <f t="shared" si="16"/>
        <v>0</v>
      </c>
      <c r="T244" s="106">
        <f t="shared" si="16"/>
        <v>11</v>
      </c>
      <c r="U244" s="106">
        <f t="shared" si="16"/>
        <v>0</v>
      </c>
      <c r="V244" s="106">
        <f t="shared" si="16"/>
        <v>11</v>
      </c>
      <c r="W244" s="106">
        <f t="shared" si="16"/>
        <v>0</v>
      </c>
      <c r="X244" s="106">
        <f t="shared" si="16"/>
        <v>10</v>
      </c>
      <c r="Y244" s="106">
        <f t="shared" si="16"/>
        <v>0</v>
      </c>
      <c r="Z244" s="106">
        <f t="shared" si="16"/>
        <v>0</v>
      </c>
      <c r="AA244" s="151" t="s">
        <v>5963</v>
      </c>
    </row>
    <row r="245" spans="1:28" ht="18.600000000000001" thickBot="1" x14ac:dyDescent="0.4">
      <c r="E245" s="227" t="s">
        <v>5941</v>
      </c>
      <c r="F245" s="228"/>
      <c r="G245" s="228"/>
      <c r="H245" s="229"/>
      <c r="I245" s="153"/>
      <c r="J245" s="154"/>
      <c r="K245" s="154"/>
      <c r="L245" s="154"/>
      <c r="M245" s="154"/>
      <c r="N245" s="154"/>
      <c r="O245" s="154"/>
      <c r="P245" s="155">
        <f t="shared" ref="P245:Z245" si="17">SUM(P244,P195,P158,P134,P111,P63,P22)</f>
        <v>0</v>
      </c>
      <c r="Q245" s="155">
        <f t="shared" si="17"/>
        <v>0</v>
      </c>
      <c r="R245" s="156">
        <f t="shared" si="17"/>
        <v>0</v>
      </c>
      <c r="S245" s="152" t="e">
        <f t="shared" si="17"/>
        <v>#REF!</v>
      </c>
      <c r="T245" s="125" t="e">
        <f t="shared" si="17"/>
        <v>#REF!</v>
      </c>
      <c r="U245" s="125" t="e">
        <f t="shared" si="17"/>
        <v>#REF!</v>
      </c>
      <c r="V245" s="125" t="e">
        <f t="shared" si="17"/>
        <v>#REF!</v>
      </c>
      <c r="W245" s="125" t="e">
        <f t="shared" si="17"/>
        <v>#REF!</v>
      </c>
      <c r="X245" s="125" t="e">
        <f t="shared" si="17"/>
        <v>#REF!</v>
      </c>
      <c r="Y245" s="125" t="e">
        <f t="shared" si="17"/>
        <v>#REF!</v>
      </c>
      <c r="Z245" s="125" t="e">
        <f t="shared" si="17"/>
        <v>#REF!</v>
      </c>
      <c r="AA245" s="151" t="s">
        <v>5963</v>
      </c>
      <c r="AB245" s="9"/>
    </row>
  </sheetData>
  <protectedRanges>
    <protectedRange algorithmName="SHA-512" hashValue="WkYS8Z2cl3F0QvomD5flL+lQEfnyjgLkHp4EpidatPWa6UUc82Cm6H3u0MuU2daH9cpPB9kB2TiPTUqhuJW3oQ==" saltValue="ENnmySvoG278GMW1UPQU1Q==" spinCount="100000" sqref="C38:C45 C58:C62 C32:C33" name="PM_TM_5_4_1"/>
    <protectedRange algorithmName="SHA-512" hashValue="WkYS8Z2cl3F0QvomD5flL+lQEfnyjgLkHp4EpidatPWa6UUc82Cm6H3u0MuU2daH9cpPB9kB2TiPTUqhuJW3oQ==" saltValue="ENnmySvoG278GMW1UPQU1Q==" spinCount="100000" sqref="B95:B102 B58:B62 B85:B89 B68:B71 B38:B45 B32:B33" name="PM_TM_5_7_1"/>
    <protectedRange algorithmName="SHA-512" hashValue="WkYS8Z2cl3F0QvomD5flL+lQEfnyjgLkHp4EpidatPWa6UUc82Cm6H3u0MuU2daH9cpPB9kB2TiPTUqhuJW3oQ==" saltValue="ENnmySvoG278GMW1UPQU1Q==" spinCount="100000" sqref="C191" name="PM_TM_5_1_1_1"/>
  </protectedRanges>
  <autoFilter ref="O2:AB245" xr:uid="{E7183676-7790-43E0-BA32-CAB2DD851A25}"/>
  <mergeCells count="15">
    <mergeCell ref="E245:H245"/>
    <mergeCell ref="A64:A110"/>
    <mergeCell ref="A1:A21"/>
    <mergeCell ref="A196:A243"/>
    <mergeCell ref="A112:A133"/>
    <mergeCell ref="A159:A194"/>
    <mergeCell ref="A135:A157"/>
    <mergeCell ref="A24:A62"/>
    <mergeCell ref="A63:H63"/>
    <mergeCell ref="A22:H22"/>
    <mergeCell ref="A244:H244"/>
    <mergeCell ref="A195:H195"/>
    <mergeCell ref="A158:H158"/>
    <mergeCell ref="A134:H134"/>
    <mergeCell ref="A111:H111"/>
  </mergeCells>
  <conditionalFormatting sqref="B1:B1048576">
    <cfRule type="duplicateValues" dxfId="147" priority="5080"/>
  </conditionalFormatting>
  <conditionalFormatting sqref="B27">
    <cfRule type="duplicateValues" dxfId="146" priority="14"/>
  </conditionalFormatting>
  <conditionalFormatting sqref="B105:B106">
    <cfRule type="duplicateValues" dxfId="145" priority="10"/>
  </conditionalFormatting>
  <conditionalFormatting sqref="B228:B229">
    <cfRule type="duplicateValues" dxfId="144" priority="6333"/>
    <cfRule type="duplicateValues" dxfId="143" priority="6332"/>
    <cfRule type="duplicateValues" dxfId="142" priority="6330"/>
    <cfRule type="duplicateValues" dxfId="141" priority="6331"/>
    <cfRule type="duplicateValues" dxfId="140" priority="6334"/>
  </conditionalFormatting>
  <conditionalFormatting sqref="B245:B1048576 B230:B243 B196:B227 B159:B194 B135:B157 B23:B26 B28:B62 B107:B110 B112:B133 B64:B104 B1:B21">
    <cfRule type="duplicateValues" dxfId="139" priority="63"/>
  </conditionalFormatting>
  <conditionalFormatting sqref="C2">
    <cfRule type="duplicateValues" dxfId="138" priority="248"/>
    <cfRule type="duplicateValues" dxfId="137" priority="249"/>
  </conditionalFormatting>
  <conditionalFormatting sqref="C3:C6">
    <cfRule type="duplicateValues" dxfId="136" priority="9302"/>
    <cfRule type="duplicateValues" dxfId="135" priority="9303"/>
  </conditionalFormatting>
  <conditionalFormatting sqref="C6:C21">
    <cfRule type="duplicateValues" dxfId="134" priority="263"/>
    <cfRule type="duplicateValues" dxfId="133" priority="262"/>
  </conditionalFormatting>
  <conditionalFormatting sqref="C23">
    <cfRule type="duplicateValues" dxfId="132" priority="255"/>
    <cfRule type="duplicateValues" dxfId="131" priority="254"/>
  </conditionalFormatting>
  <conditionalFormatting sqref="C25:C26 C28:C62">
    <cfRule type="duplicateValues" dxfId="130" priority="9489"/>
    <cfRule type="duplicateValues" dxfId="129" priority="9490"/>
  </conditionalFormatting>
  <conditionalFormatting sqref="C27">
    <cfRule type="duplicateValues" dxfId="128" priority="15"/>
    <cfRule type="duplicateValues" dxfId="127" priority="18"/>
    <cfRule type="duplicateValues" dxfId="126" priority="17"/>
    <cfRule type="duplicateValues" dxfId="125" priority="16"/>
  </conditionalFormatting>
  <conditionalFormatting sqref="C65:C73">
    <cfRule type="duplicateValues" dxfId="124" priority="8513"/>
  </conditionalFormatting>
  <conditionalFormatting sqref="C75:C78">
    <cfRule type="duplicateValues" dxfId="123" priority="5"/>
    <cfRule type="duplicateValues" dxfId="122" priority="6"/>
  </conditionalFormatting>
  <conditionalFormatting sqref="C105:C106">
    <cfRule type="duplicateValues" dxfId="121" priority="11"/>
    <cfRule type="duplicateValues" dxfId="120" priority="12"/>
    <cfRule type="duplicateValues" dxfId="119" priority="13"/>
  </conditionalFormatting>
  <conditionalFormatting sqref="C107:C110 C79:C104 C65:C73">
    <cfRule type="duplicateValues" dxfId="118" priority="5213"/>
  </conditionalFormatting>
  <conditionalFormatting sqref="C121:C133 C113:C119">
    <cfRule type="duplicateValues" dxfId="117" priority="1835"/>
    <cfRule type="duplicateValues" dxfId="116" priority="5072"/>
  </conditionalFormatting>
  <conditionalFormatting sqref="C136:C148">
    <cfRule type="duplicateValues" dxfId="115" priority="8791"/>
    <cfRule type="duplicateValues" dxfId="114" priority="8790"/>
  </conditionalFormatting>
  <conditionalFormatting sqref="C150:C157">
    <cfRule type="duplicateValues" dxfId="113" priority="133"/>
    <cfRule type="duplicateValues" dxfId="112" priority="134"/>
  </conditionalFormatting>
  <conditionalFormatting sqref="C160:C194">
    <cfRule type="duplicateValues" dxfId="111" priority="9655"/>
    <cfRule type="duplicateValues" dxfId="110" priority="9656"/>
  </conditionalFormatting>
  <conditionalFormatting sqref="C197:C202">
    <cfRule type="duplicateValues" dxfId="109" priority="1201"/>
    <cfRule type="duplicateValues" dxfId="108" priority="1202"/>
  </conditionalFormatting>
  <conditionalFormatting sqref="C204:C227">
    <cfRule type="duplicateValues" dxfId="107" priority="8838"/>
    <cfRule type="duplicateValues" dxfId="106" priority="8837"/>
  </conditionalFormatting>
  <conditionalFormatting sqref="C228:C229">
    <cfRule type="duplicateValues" dxfId="105" priority="6340"/>
    <cfRule type="duplicateValues" dxfId="104" priority="6339"/>
    <cfRule type="duplicateValues" dxfId="103" priority="6338"/>
    <cfRule type="duplicateValues" dxfId="102" priority="6337"/>
    <cfRule type="duplicateValues" dxfId="101" priority="6336"/>
    <cfRule type="duplicateValues" dxfId="100" priority="6335"/>
  </conditionalFormatting>
  <conditionalFormatting sqref="C231:C235">
    <cfRule type="duplicateValues" dxfId="99" priority="204"/>
    <cfRule type="duplicateValues" dxfId="98" priority="1085"/>
    <cfRule type="duplicateValues" dxfId="97" priority="205"/>
  </conditionalFormatting>
  <conditionalFormatting sqref="C237">
    <cfRule type="duplicateValues" dxfId="96" priority="192"/>
    <cfRule type="duplicateValues" dxfId="95" priority="193"/>
  </conditionalFormatting>
  <conditionalFormatting sqref="C238:C243">
    <cfRule type="duplicateValues" dxfId="94" priority="7853"/>
    <cfRule type="duplicateValues" dxfId="93" priority="7854"/>
  </conditionalFormatting>
  <conditionalFormatting sqref="C245:C1048576 C196:C243 C159:C194 C135:C157 C23:C26 C28:C62 C107:C110 C112:C133 C79:C104 C64:C74 C1:C21 E74 E149:F149 D203:E203 D236:F236 D230:E230 D120:E120">
    <cfRule type="duplicateValues" dxfId="92" priority="5062"/>
    <cfRule type="duplicateValues" dxfId="91" priority="4628"/>
  </conditionalFormatting>
  <conditionalFormatting sqref="C245:C1048576 C231:C235 C237:C243 C197:C202 C136:C157 C204:C227 C25:C26 C79:C104 C113:C119 C159:C194 C23 C28:C62 C107:C110 C121:C133 C65:C73 C1:C21 E149:F149">
    <cfRule type="duplicateValues" dxfId="90" priority="5045"/>
    <cfRule type="duplicateValues" dxfId="89" priority="1819"/>
  </conditionalFormatting>
  <conditionalFormatting sqref="C1:C1048576 E149 D203:E203 D236:E236 D230:E230 D120:E120">
    <cfRule type="duplicateValues" dxfId="88" priority="8516"/>
  </conditionalFormatting>
  <conditionalFormatting sqref="C79:C1048576 AA1:AA1048576 C1:C74 E149:F149 D203:E203 D236:F236 D230:E230 D120:E120">
    <cfRule type="duplicateValues" dxfId="87" priority="8"/>
  </conditionalFormatting>
  <conditionalFormatting sqref="S134:T134">
    <cfRule type="duplicateValues" dxfId="86" priority="26"/>
  </conditionalFormatting>
  <conditionalFormatting sqref="S159:T194">
    <cfRule type="duplicateValues" dxfId="85" priority="9754"/>
  </conditionalFormatting>
  <conditionalFormatting sqref="S203:T227">
    <cfRule type="duplicateValues" dxfId="84" priority="8923"/>
  </conditionalFormatting>
  <conditionalFormatting sqref="S228:T229">
    <cfRule type="duplicateValues" dxfId="83" priority="6341"/>
  </conditionalFormatting>
  <conditionalFormatting sqref="S238:T243">
    <cfRule type="duplicateValues" dxfId="82" priority="7919"/>
  </conditionalFormatting>
  <conditionalFormatting sqref="S236:Z236">
    <cfRule type="duplicateValues" dxfId="81" priority="203"/>
  </conditionalFormatting>
  <conditionalFormatting sqref="S237:Z237">
    <cfRule type="duplicateValues" dxfId="80" priority="195"/>
  </conditionalFormatting>
  <conditionalFormatting sqref="U41:U45 U32:V33">
    <cfRule type="duplicateValues" dxfId="79" priority="9064"/>
  </conditionalFormatting>
  <conditionalFormatting sqref="U19:V19 U13:V15">
    <cfRule type="duplicateValues" dxfId="78" priority="273"/>
  </conditionalFormatting>
  <conditionalFormatting sqref="U59:V60">
    <cfRule type="duplicateValues" dxfId="77" priority="110"/>
  </conditionalFormatting>
  <conditionalFormatting sqref="U109:V110 U104:V106">
    <cfRule type="duplicateValues" dxfId="76" priority="299"/>
  </conditionalFormatting>
  <conditionalFormatting sqref="U134:V134">
    <cfRule type="duplicateValues" dxfId="75" priority="27"/>
  </conditionalFormatting>
  <conditionalFormatting sqref="U145:V145">
    <cfRule type="duplicateValues" dxfId="74" priority="155"/>
  </conditionalFormatting>
  <conditionalFormatting sqref="U157:V158 U154:V155 U152:V152">
    <cfRule type="duplicateValues" dxfId="73" priority="142"/>
  </conditionalFormatting>
  <conditionalFormatting sqref="U192:V192 U189:V190 U159:V159">
    <cfRule type="duplicateValues" dxfId="72" priority="127"/>
  </conditionalFormatting>
  <conditionalFormatting sqref="U196:V201">
    <cfRule type="duplicateValues" dxfId="71" priority="247"/>
  </conditionalFormatting>
  <conditionalFormatting sqref="U203:V203">
    <cfRule type="duplicateValues" dxfId="70" priority="6711"/>
  </conditionalFormatting>
  <conditionalFormatting sqref="U232:V232">
    <cfRule type="duplicateValues" dxfId="69" priority="216"/>
  </conditionalFormatting>
  <conditionalFormatting sqref="U241:V241 U239:U240">
    <cfRule type="duplicateValues" dxfId="68" priority="190"/>
  </conditionalFormatting>
  <conditionalFormatting sqref="U2:X6 Z2:Z6 Y2:Y21 S2:T21">
    <cfRule type="duplicateValues" dxfId="67" priority="9424"/>
  </conditionalFormatting>
  <conditionalFormatting sqref="U120:X133 U112:Z112 Y119:Y132 S112:T133 Z120:Z132">
    <cfRule type="duplicateValues" dxfId="66" priority="5075"/>
  </conditionalFormatting>
  <conditionalFormatting sqref="U24:Y24 S24:T62">
    <cfRule type="duplicateValues" dxfId="65" priority="9603"/>
  </conditionalFormatting>
  <conditionalFormatting sqref="U74:Y80 S64:Y64 S65:T110">
    <cfRule type="duplicateValues" dxfId="64" priority="9257"/>
  </conditionalFormatting>
  <conditionalFormatting sqref="U149:Z149 S149:T158">
    <cfRule type="duplicateValues" dxfId="63" priority="141"/>
  </conditionalFormatting>
  <conditionalFormatting sqref="U230:Z230 S230:T235">
    <cfRule type="duplicateValues" dxfId="62" priority="215"/>
  </conditionalFormatting>
  <conditionalFormatting sqref="W41:W45">
    <cfRule type="duplicateValues" dxfId="61" priority="9084"/>
  </conditionalFormatting>
  <conditionalFormatting sqref="W238 X238:X240 W242:X243">
    <cfRule type="duplicateValues" dxfId="60" priority="183"/>
  </conditionalFormatting>
  <conditionalFormatting sqref="W7:X8 W12:X12 W15:X15 W20:X20">
    <cfRule type="duplicateValues" dxfId="59" priority="268"/>
  </conditionalFormatting>
  <conditionalFormatting sqref="W21:X21 W16:X19 W13:X14 W9:X11">
    <cfRule type="duplicateValues" dxfId="58" priority="271"/>
  </conditionalFormatting>
  <conditionalFormatting sqref="W56:X57">
    <cfRule type="duplicateValues" dxfId="57" priority="3792"/>
  </conditionalFormatting>
  <conditionalFormatting sqref="W58:X60 W46 W25:X40 X41:X46 W47:X55 W62:X62">
    <cfRule type="duplicateValues" dxfId="56" priority="3688"/>
  </conditionalFormatting>
  <conditionalFormatting sqref="W61:X61">
    <cfRule type="duplicateValues" dxfId="55" priority="3697"/>
  </conditionalFormatting>
  <conditionalFormatting sqref="W108:X109 W103:X103 W92:X92">
    <cfRule type="duplicateValues" dxfId="54" priority="2772"/>
  </conditionalFormatting>
  <conditionalFormatting sqref="W110:X110 W65:X73 W93:X102 W104:X107 W81:X91">
    <cfRule type="duplicateValues" dxfId="53" priority="294"/>
  </conditionalFormatting>
  <conditionalFormatting sqref="W113:X119">
    <cfRule type="duplicateValues" dxfId="52" priority="8206"/>
  </conditionalFormatting>
  <conditionalFormatting sqref="W134:X134">
    <cfRule type="duplicateValues" dxfId="51" priority="25"/>
  </conditionalFormatting>
  <conditionalFormatting sqref="W139:X144">
    <cfRule type="duplicateValues" dxfId="50" priority="8637"/>
  </conditionalFormatting>
  <conditionalFormatting sqref="W145:X148">
    <cfRule type="duplicateValues" dxfId="49" priority="8771"/>
  </conditionalFormatting>
  <conditionalFormatting sqref="W150:X150 W152:X152 W156:X158">
    <cfRule type="duplicateValues" dxfId="48" priority="138"/>
  </conditionalFormatting>
  <conditionalFormatting sqref="W153:X155 W151:X151">
    <cfRule type="duplicateValues" dxfId="47" priority="140"/>
  </conditionalFormatting>
  <conditionalFormatting sqref="W190:X192 W159:X159">
    <cfRule type="duplicateValues" dxfId="46" priority="128"/>
  </conditionalFormatting>
  <conditionalFormatting sqref="W193:X194 W160:X189">
    <cfRule type="duplicateValues" dxfId="45" priority="126"/>
  </conditionalFormatting>
  <conditionalFormatting sqref="W196:X201">
    <cfRule type="duplicateValues" dxfId="44" priority="1209"/>
  </conditionalFormatting>
  <conditionalFormatting sqref="W202:X202">
    <cfRule type="duplicateValues" dxfId="43" priority="1208"/>
  </conditionalFormatting>
  <conditionalFormatting sqref="W203:X203">
    <cfRule type="duplicateValues" dxfId="42" priority="6714"/>
  </conditionalFormatting>
  <conditionalFormatting sqref="W204:X227">
    <cfRule type="duplicateValues" dxfId="41" priority="8929"/>
  </conditionalFormatting>
  <conditionalFormatting sqref="W228:X229">
    <cfRule type="duplicateValues" dxfId="40" priority="6342"/>
  </conditionalFormatting>
  <conditionalFormatting sqref="W231:X231 W234:X235">
    <cfRule type="duplicateValues" dxfId="39" priority="208"/>
  </conditionalFormatting>
  <conditionalFormatting sqref="W232:X233">
    <cfRule type="duplicateValues" dxfId="38" priority="213"/>
  </conditionalFormatting>
  <conditionalFormatting sqref="W241:X241 W239:W240">
    <cfRule type="duplicateValues" dxfId="37" priority="7924"/>
  </conditionalFormatting>
  <conditionalFormatting sqref="Y41:Y50 Y38:Y39 Y32:Y33">
    <cfRule type="duplicateValues" dxfId="36" priority="9107"/>
  </conditionalFormatting>
  <conditionalFormatting sqref="Y56:Y57">
    <cfRule type="duplicateValues" dxfId="35" priority="3813"/>
  </conditionalFormatting>
  <conditionalFormatting sqref="Y58">
    <cfRule type="duplicateValues" dxfId="34" priority="113"/>
  </conditionalFormatting>
  <conditionalFormatting sqref="Y59:Y60">
    <cfRule type="duplicateValues" dxfId="33" priority="111"/>
  </conditionalFormatting>
  <conditionalFormatting sqref="Y62">
    <cfRule type="duplicateValues" dxfId="32" priority="3718"/>
  </conditionalFormatting>
  <conditionalFormatting sqref="Y104:Y109 Y94:Y102">
    <cfRule type="duplicateValues" dxfId="31" priority="5327"/>
  </conditionalFormatting>
  <conditionalFormatting sqref="Y139:Y145">
    <cfRule type="duplicateValues" dxfId="30" priority="8645"/>
  </conditionalFormatting>
  <conditionalFormatting sqref="Y148 U135:Y138 S135:T148">
    <cfRule type="duplicateValues" dxfId="29" priority="154"/>
  </conditionalFormatting>
  <conditionalFormatting sqref="Y153:Y155 Y151">
    <cfRule type="duplicateValues" dxfId="28" priority="139"/>
  </conditionalFormatting>
  <conditionalFormatting sqref="Y182:Y194 Y180 Y159:Y173">
    <cfRule type="duplicateValues" dxfId="27" priority="2685"/>
  </conditionalFormatting>
  <conditionalFormatting sqref="Y196:Y201 S196:T202">
    <cfRule type="duplicateValues" dxfId="26" priority="1213"/>
  </conditionalFormatting>
  <conditionalFormatting sqref="Y203">
    <cfRule type="duplicateValues" dxfId="25" priority="6722"/>
  </conditionalFormatting>
  <conditionalFormatting sqref="Y232:Y233">
    <cfRule type="duplicateValues" dxfId="24" priority="214"/>
  </conditionalFormatting>
  <conditionalFormatting sqref="Y239:Y242">
    <cfRule type="duplicateValues" dxfId="23" priority="7926"/>
  </conditionalFormatting>
  <conditionalFormatting sqref="Z2:Z21">
    <cfRule type="duplicateValues" dxfId="22" priority="9474"/>
  </conditionalFormatting>
  <conditionalFormatting sqref="Z24:Z62">
    <cfRule type="duplicateValues" dxfId="21" priority="9640"/>
  </conditionalFormatting>
  <conditionalFormatting sqref="Z64:Z110">
    <cfRule type="duplicateValues" dxfId="20" priority="9287"/>
  </conditionalFormatting>
  <conditionalFormatting sqref="Z112:Z133">
    <cfRule type="duplicateValues" dxfId="19" priority="8208"/>
  </conditionalFormatting>
  <conditionalFormatting sqref="Z134">
    <cfRule type="duplicateValues" dxfId="18" priority="24"/>
  </conditionalFormatting>
  <conditionalFormatting sqref="Z135:Z148">
    <cfRule type="duplicateValues" dxfId="17" priority="8794"/>
  </conditionalFormatting>
  <conditionalFormatting sqref="Z149:Z158">
    <cfRule type="duplicateValues" dxfId="16" priority="135"/>
  </conditionalFormatting>
  <conditionalFormatting sqref="Z159:Z194">
    <cfRule type="duplicateValues" dxfId="15" priority="9771"/>
  </conditionalFormatting>
  <conditionalFormatting sqref="Z196:Z202">
    <cfRule type="duplicateValues" dxfId="14" priority="1215"/>
  </conditionalFormatting>
  <conditionalFormatting sqref="Z203:Z227">
    <cfRule type="duplicateValues" dxfId="13" priority="8933"/>
  </conditionalFormatting>
  <conditionalFormatting sqref="Z228:Z229">
    <cfRule type="duplicateValues" dxfId="12" priority="6343"/>
  </conditionalFormatting>
  <conditionalFormatting sqref="Z230:Z235">
    <cfRule type="duplicateValues" dxfId="11" priority="206"/>
  </conditionalFormatting>
  <conditionalFormatting sqref="Z236">
    <cfRule type="duplicateValues" dxfId="10" priority="198"/>
  </conditionalFormatting>
  <conditionalFormatting sqref="Z237">
    <cfRule type="duplicateValues" dxfId="9" priority="194"/>
  </conditionalFormatting>
  <conditionalFormatting sqref="Z238:Z243">
    <cfRule type="duplicateValues" dxfId="8" priority="7927"/>
  </conditionalFormatting>
  <conditionalFormatting sqref="AC1:AC1048576 C1:C1048576 E149 D203:E203 D236 D230:E230">
    <cfRule type="duplicateValues" dxfId="7" priority="1"/>
  </conditionalFormatting>
  <conditionalFormatting sqref="AC203:AE231 C79:C1048576 C1:C74 E149:F149 D203:E203 D236:F236 D230:E230 D120:E120">
    <cfRule type="duplicateValues" dxfId="6" priority="7"/>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3933-0058-4F30-BF81-3D1A1EA8AB8F}">
  <dimension ref="A1:J248"/>
  <sheetViews>
    <sheetView topLeftCell="C1" zoomScale="80" zoomScaleNormal="80" workbookViewId="0">
      <selection activeCell="E7" sqref="E7"/>
    </sheetView>
  </sheetViews>
  <sheetFormatPr defaultRowHeight="14.4" x14ac:dyDescent="0.3"/>
  <cols>
    <col min="1" max="1" width="14.44140625" hidden="1" customWidth="1"/>
    <col min="2" max="2" width="27.33203125" hidden="1" customWidth="1"/>
    <col min="3" max="3" width="11" customWidth="1"/>
    <col min="4" max="4" width="16.109375" customWidth="1"/>
    <col min="5" max="5" width="41.88671875" customWidth="1"/>
    <col min="6" max="6" width="12" style="4" customWidth="1"/>
    <col min="7" max="7" width="12" customWidth="1"/>
    <col min="8" max="9" width="12.44140625" customWidth="1"/>
    <col min="10" max="10" width="13.33203125" customWidth="1"/>
    <col min="14" max="14" width="40.44140625" customWidth="1"/>
  </cols>
  <sheetData>
    <row r="1" spans="1:10" x14ac:dyDescent="0.3">
      <c r="A1" s="196" t="s">
        <v>5876</v>
      </c>
      <c r="B1" s="196"/>
      <c r="C1" s="196"/>
      <c r="D1" s="196"/>
      <c r="E1" s="196"/>
      <c r="F1" s="196"/>
      <c r="G1" s="196"/>
      <c r="H1" s="196"/>
      <c r="I1" s="196"/>
      <c r="J1" s="196"/>
    </row>
    <row r="2" spans="1:10" ht="43.2" x14ac:dyDescent="0.3">
      <c r="A2" s="1" t="s">
        <v>5655</v>
      </c>
      <c r="B2" s="1" t="s">
        <v>5656</v>
      </c>
      <c r="C2" s="1" t="s">
        <v>0</v>
      </c>
      <c r="D2" s="5" t="s">
        <v>5657</v>
      </c>
      <c r="E2" s="5" t="s">
        <v>5658</v>
      </c>
      <c r="F2" s="6" t="s">
        <v>5923</v>
      </c>
      <c r="G2" s="7" t="s">
        <v>5659</v>
      </c>
      <c r="H2" s="8" t="s">
        <v>5660</v>
      </c>
      <c r="I2" s="7" t="s">
        <v>406</v>
      </c>
      <c r="J2" s="8" t="s">
        <v>5661</v>
      </c>
    </row>
    <row r="3" spans="1:10" x14ac:dyDescent="0.3">
      <c r="A3" s="1" t="s">
        <v>5663</v>
      </c>
      <c r="B3" s="1" t="s">
        <v>5664</v>
      </c>
      <c r="C3" s="1">
        <v>3201006041</v>
      </c>
      <c r="D3" s="1">
        <v>517405290</v>
      </c>
      <c r="E3" s="1" t="s">
        <v>5665</v>
      </c>
      <c r="F3" s="2">
        <v>652990</v>
      </c>
      <c r="G3" s="3">
        <v>0.03</v>
      </c>
      <c r="H3" s="3">
        <v>0.04</v>
      </c>
      <c r="I3" s="2">
        <f>F3*G3</f>
        <v>19589.7</v>
      </c>
      <c r="J3" s="2">
        <f>F3*H3</f>
        <v>26119.600000000002</v>
      </c>
    </row>
    <row r="4" spans="1:10" x14ac:dyDescent="0.3">
      <c r="A4" s="1" t="s">
        <v>5666</v>
      </c>
      <c r="B4" s="1" t="s">
        <v>5666</v>
      </c>
      <c r="C4" s="1">
        <v>3200000548</v>
      </c>
      <c r="D4" s="1">
        <v>416320771</v>
      </c>
      <c r="E4" s="1" t="s">
        <v>5667</v>
      </c>
      <c r="F4" s="2">
        <v>594990</v>
      </c>
      <c r="G4" s="3">
        <v>0.03</v>
      </c>
      <c r="H4" s="3">
        <v>0.04</v>
      </c>
      <c r="I4" s="2">
        <f t="shared" ref="I4:I67" si="0">F4*G4</f>
        <v>17849.7</v>
      </c>
      <c r="J4" s="2">
        <f t="shared" ref="J4:J67" si="1">F4*H4</f>
        <v>23799.600000000002</v>
      </c>
    </row>
    <row r="5" spans="1:10" x14ac:dyDescent="0.3">
      <c r="A5" s="1" t="s">
        <v>5663</v>
      </c>
      <c r="B5" s="1" t="s">
        <v>5664</v>
      </c>
      <c r="C5" s="1">
        <v>3201006022</v>
      </c>
      <c r="D5" s="1">
        <v>514895290</v>
      </c>
      <c r="E5" s="1" t="s">
        <v>5668</v>
      </c>
      <c r="F5" s="2">
        <v>559990</v>
      </c>
      <c r="G5" s="3">
        <v>0.03</v>
      </c>
      <c r="H5" s="3">
        <v>0.04</v>
      </c>
      <c r="I5" s="2">
        <f t="shared" si="0"/>
        <v>16799.7</v>
      </c>
      <c r="J5" s="2">
        <f t="shared" si="1"/>
        <v>22399.600000000002</v>
      </c>
    </row>
    <row r="6" spans="1:10" x14ac:dyDescent="0.3">
      <c r="A6" s="1" t="s">
        <v>5663</v>
      </c>
      <c r="B6" s="1" t="s">
        <v>5664</v>
      </c>
      <c r="C6" s="1">
        <v>8900535190</v>
      </c>
      <c r="D6" s="1">
        <v>760046380</v>
      </c>
      <c r="E6" s="1" t="s">
        <v>5669</v>
      </c>
      <c r="F6" s="2">
        <v>424990</v>
      </c>
      <c r="G6" s="3">
        <v>0.03</v>
      </c>
      <c r="H6" s="3">
        <v>0.04</v>
      </c>
      <c r="I6" s="2">
        <f t="shared" si="0"/>
        <v>12749.699999999999</v>
      </c>
      <c r="J6" s="2">
        <f t="shared" si="1"/>
        <v>16999.599999999999</v>
      </c>
    </row>
    <row r="7" spans="1:10" x14ac:dyDescent="0.3">
      <c r="A7" s="1" t="s">
        <v>5666</v>
      </c>
      <c r="B7" s="1" t="s">
        <v>5666</v>
      </c>
      <c r="C7" s="1">
        <v>3200001450</v>
      </c>
      <c r="D7" s="1">
        <v>416680771</v>
      </c>
      <c r="E7" s="1" t="s">
        <v>5670</v>
      </c>
      <c r="F7" s="2">
        <v>455990</v>
      </c>
      <c r="G7" s="3">
        <v>0.03</v>
      </c>
      <c r="H7" s="3">
        <v>0.04</v>
      </c>
      <c r="I7" s="2">
        <f t="shared" si="0"/>
        <v>13679.699999999999</v>
      </c>
      <c r="J7" s="2">
        <f t="shared" si="1"/>
        <v>18239.600000000002</v>
      </c>
    </row>
    <row r="8" spans="1:10" x14ac:dyDescent="0.3">
      <c r="A8" s="1" t="s">
        <v>5666</v>
      </c>
      <c r="B8" s="1" t="s">
        <v>5666</v>
      </c>
      <c r="C8" s="1">
        <v>3200001153</v>
      </c>
      <c r="D8" s="1">
        <v>416630711</v>
      </c>
      <c r="E8" s="1" t="s">
        <v>5671</v>
      </c>
      <c r="F8" s="2">
        <v>362990</v>
      </c>
      <c r="G8" s="3">
        <v>0.03</v>
      </c>
      <c r="H8" s="3">
        <v>0.04</v>
      </c>
      <c r="I8" s="2">
        <f t="shared" si="0"/>
        <v>10889.699999999999</v>
      </c>
      <c r="J8" s="2">
        <f t="shared" si="1"/>
        <v>14519.6</v>
      </c>
    </row>
    <row r="9" spans="1:10" x14ac:dyDescent="0.3">
      <c r="A9" s="1" t="s">
        <v>5662</v>
      </c>
      <c r="B9" s="1" t="s">
        <v>5662</v>
      </c>
      <c r="C9" s="1">
        <v>3201002731</v>
      </c>
      <c r="D9" s="1">
        <v>1889669992</v>
      </c>
      <c r="E9" s="1" t="s">
        <v>5672</v>
      </c>
      <c r="F9" s="2">
        <v>414990</v>
      </c>
      <c r="G9" s="3">
        <v>0.03</v>
      </c>
      <c r="H9" s="3">
        <v>0.04</v>
      </c>
      <c r="I9" s="2">
        <f t="shared" si="0"/>
        <v>12449.699999999999</v>
      </c>
      <c r="J9" s="2">
        <f t="shared" si="1"/>
        <v>16599.599999999999</v>
      </c>
    </row>
    <row r="10" spans="1:10" x14ac:dyDescent="0.3">
      <c r="A10" s="1" t="s">
        <v>5666</v>
      </c>
      <c r="B10" s="1" t="s">
        <v>5666</v>
      </c>
      <c r="C10" s="1">
        <v>7211004401</v>
      </c>
      <c r="D10" s="1">
        <v>415560711</v>
      </c>
      <c r="E10" s="1" t="s">
        <v>5673</v>
      </c>
      <c r="F10" s="2">
        <v>284990</v>
      </c>
      <c r="G10" s="3">
        <v>0.03</v>
      </c>
      <c r="H10" s="3">
        <v>0.04</v>
      </c>
      <c r="I10" s="2">
        <f t="shared" si="0"/>
        <v>8549.6999999999989</v>
      </c>
      <c r="J10" s="2">
        <f t="shared" si="1"/>
        <v>11399.6</v>
      </c>
    </row>
    <row r="11" spans="1:10" x14ac:dyDescent="0.3">
      <c r="A11" s="1" t="s">
        <v>5666</v>
      </c>
      <c r="B11" s="1" t="s">
        <v>5666</v>
      </c>
      <c r="C11" s="1">
        <v>3200001772</v>
      </c>
      <c r="D11" s="1">
        <v>417100711</v>
      </c>
      <c r="E11" s="1" t="s">
        <v>5674</v>
      </c>
      <c r="F11" s="2">
        <v>362990</v>
      </c>
      <c r="G11" s="3">
        <v>0.03</v>
      </c>
      <c r="H11" s="3">
        <v>0.04</v>
      </c>
      <c r="I11" s="2">
        <f t="shared" si="0"/>
        <v>10889.699999999999</v>
      </c>
      <c r="J11" s="2">
        <f t="shared" si="1"/>
        <v>14519.6</v>
      </c>
    </row>
    <row r="12" spans="1:10" x14ac:dyDescent="0.3">
      <c r="A12" s="1" t="s">
        <v>5666</v>
      </c>
      <c r="B12" s="1" t="s">
        <v>5666</v>
      </c>
      <c r="C12" s="1">
        <v>3200001159</v>
      </c>
      <c r="D12" s="1">
        <v>415360711</v>
      </c>
      <c r="E12" s="1" t="s">
        <v>5675</v>
      </c>
      <c r="F12" s="2">
        <v>341990</v>
      </c>
      <c r="G12" s="3">
        <v>0.03</v>
      </c>
      <c r="H12" s="3">
        <v>0.04</v>
      </c>
      <c r="I12" s="2">
        <f t="shared" si="0"/>
        <v>10259.699999999999</v>
      </c>
      <c r="J12" s="2">
        <f t="shared" si="1"/>
        <v>13679.6</v>
      </c>
    </row>
    <row r="13" spans="1:10" x14ac:dyDescent="0.3">
      <c r="A13" s="1" t="s">
        <v>5676</v>
      </c>
      <c r="B13" s="1" t="s">
        <v>5677</v>
      </c>
      <c r="C13" s="1">
        <v>3201017822</v>
      </c>
      <c r="D13" s="1">
        <v>1268916342</v>
      </c>
      <c r="E13" s="1" t="s">
        <v>5678</v>
      </c>
      <c r="F13" s="2">
        <v>269990</v>
      </c>
      <c r="G13" s="3">
        <v>0.03</v>
      </c>
      <c r="H13" s="3">
        <v>0.04</v>
      </c>
      <c r="I13" s="2">
        <f t="shared" si="0"/>
        <v>8099.7</v>
      </c>
      <c r="J13" s="2">
        <f t="shared" si="1"/>
        <v>10799.6</v>
      </c>
    </row>
    <row r="14" spans="1:10" x14ac:dyDescent="0.3">
      <c r="A14" s="1" t="s">
        <v>5662</v>
      </c>
      <c r="B14" s="1" t="s">
        <v>5662</v>
      </c>
      <c r="C14" s="1">
        <v>3201000244</v>
      </c>
      <c r="D14" s="1">
        <v>1895379992</v>
      </c>
      <c r="E14" s="1" t="s">
        <v>5679</v>
      </c>
      <c r="F14" s="2">
        <v>322990</v>
      </c>
      <c r="G14" s="3">
        <v>0.03</v>
      </c>
      <c r="H14" s="3">
        <v>0.04</v>
      </c>
      <c r="I14" s="2">
        <f t="shared" si="0"/>
        <v>9689.6999999999989</v>
      </c>
      <c r="J14" s="2">
        <f t="shared" si="1"/>
        <v>12919.6</v>
      </c>
    </row>
    <row r="15" spans="1:10" x14ac:dyDescent="0.3">
      <c r="A15" s="1" t="s">
        <v>5666</v>
      </c>
      <c r="B15" s="1" t="s">
        <v>5666</v>
      </c>
      <c r="C15" s="1">
        <v>3200001209</v>
      </c>
      <c r="D15" s="1">
        <v>412360711</v>
      </c>
      <c r="E15" s="1" t="s">
        <v>5680</v>
      </c>
      <c r="F15" s="2">
        <v>310990</v>
      </c>
      <c r="G15" s="3">
        <v>0.03</v>
      </c>
      <c r="H15" s="3">
        <v>0.04</v>
      </c>
      <c r="I15" s="2">
        <f t="shared" si="0"/>
        <v>9329.6999999999989</v>
      </c>
      <c r="J15" s="2">
        <f t="shared" si="1"/>
        <v>12439.6</v>
      </c>
    </row>
    <row r="16" spans="1:10" x14ac:dyDescent="0.3">
      <c r="A16" s="1" t="s">
        <v>5676</v>
      </c>
      <c r="B16" s="1" t="s">
        <v>5677</v>
      </c>
      <c r="C16" s="1">
        <v>3201004896</v>
      </c>
      <c r="D16" s="1">
        <v>1207916342</v>
      </c>
      <c r="E16" s="1" t="s">
        <v>5681</v>
      </c>
      <c r="F16" s="2">
        <v>289990</v>
      </c>
      <c r="G16" s="3">
        <v>0.03</v>
      </c>
      <c r="H16" s="3">
        <v>0.04</v>
      </c>
      <c r="I16" s="2">
        <f t="shared" si="0"/>
        <v>8699.6999999999989</v>
      </c>
      <c r="J16" s="2">
        <f t="shared" si="1"/>
        <v>11599.6</v>
      </c>
    </row>
    <row r="17" spans="1:10" x14ac:dyDescent="0.3">
      <c r="A17" s="1" t="s">
        <v>5666</v>
      </c>
      <c r="B17" s="1" t="s">
        <v>5666</v>
      </c>
      <c r="C17" s="1">
        <v>3200001810</v>
      </c>
      <c r="D17" s="1">
        <v>414140711</v>
      </c>
      <c r="E17" s="1" t="s">
        <v>5682</v>
      </c>
      <c r="F17" s="2">
        <v>227990</v>
      </c>
      <c r="G17" s="3">
        <v>0.03</v>
      </c>
      <c r="H17" s="3">
        <v>0.04</v>
      </c>
      <c r="I17" s="2">
        <f t="shared" si="0"/>
        <v>6839.7</v>
      </c>
      <c r="J17" s="2">
        <f t="shared" si="1"/>
        <v>9119.6</v>
      </c>
    </row>
    <row r="18" spans="1:10" x14ac:dyDescent="0.3">
      <c r="A18" s="1" t="s">
        <v>5662</v>
      </c>
      <c r="B18" s="1" t="s">
        <v>5662</v>
      </c>
      <c r="C18" s="1">
        <v>3201019525</v>
      </c>
      <c r="D18" s="1">
        <v>1896369993</v>
      </c>
      <c r="E18" s="1" t="s">
        <v>5683</v>
      </c>
      <c r="F18" s="2">
        <v>207990</v>
      </c>
      <c r="G18" s="3">
        <v>0.02</v>
      </c>
      <c r="H18" s="3">
        <v>0.03</v>
      </c>
      <c r="I18" s="2">
        <f t="shared" si="0"/>
        <v>4159.8</v>
      </c>
      <c r="J18" s="2">
        <f t="shared" si="1"/>
        <v>6239.7</v>
      </c>
    </row>
    <row r="19" spans="1:10" x14ac:dyDescent="0.3">
      <c r="A19" s="1" t="s">
        <v>5663</v>
      </c>
      <c r="B19" s="1" t="s">
        <v>5664</v>
      </c>
      <c r="C19" s="1">
        <v>7116001675</v>
      </c>
      <c r="D19" s="1">
        <v>721056380</v>
      </c>
      <c r="E19" s="1" t="s">
        <v>5684</v>
      </c>
      <c r="F19" s="2">
        <v>196990</v>
      </c>
      <c r="G19" s="3">
        <v>0.02</v>
      </c>
      <c r="H19" s="3">
        <v>0.03</v>
      </c>
      <c r="I19" s="2">
        <f t="shared" si="0"/>
        <v>3939.8</v>
      </c>
      <c r="J19" s="2">
        <f t="shared" si="1"/>
        <v>5909.7</v>
      </c>
    </row>
    <row r="20" spans="1:10" x14ac:dyDescent="0.3">
      <c r="A20" s="1" t="s">
        <v>5663</v>
      </c>
      <c r="B20" s="1" t="s">
        <v>5664</v>
      </c>
      <c r="C20" s="1">
        <v>3201006040</v>
      </c>
      <c r="D20" s="1">
        <v>517355290</v>
      </c>
      <c r="E20" s="1" t="s">
        <v>5685</v>
      </c>
      <c r="F20" s="2">
        <v>207990</v>
      </c>
      <c r="G20" s="3">
        <v>0.02</v>
      </c>
      <c r="H20" s="3">
        <v>0.03</v>
      </c>
      <c r="I20" s="2">
        <f t="shared" si="0"/>
        <v>4159.8</v>
      </c>
      <c r="J20" s="2">
        <f t="shared" si="1"/>
        <v>6239.7</v>
      </c>
    </row>
    <row r="21" spans="1:10" x14ac:dyDescent="0.3">
      <c r="A21" s="1" t="s">
        <v>5662</v>
      </c>
      <c r="B21" s="1" t="s">
        <v>5662</v>
      </c>
      <c r="C21" s="1">
        <v>3201019505</v>
      </c>
      <c r="D21" s="1">
        <v>1896259992</v>
      </c>
      <c r="E21" s="1" t="s">
        <v>5686</v>
      </c>
      <c r="F21" s="2">
        <v>227990</v>
      </c>
      <c r="G21" s="3">
        <v>0.03</v>
      </c>
      <c r="H21" s="3">
        <v>0.04</v>
      </c>
      <c r="I21" s="2">
        <f t="shared" si="0"/>
        <v>6839.7</v>
      </c>
      <c r="J21" s="2">
        <f t="shared" si="1"/>
        <v>9119.6</v>
      </c>
    </row>
    <row r="22" spans="1:10" x14ac:dyDescent="0.3">
      <c r="A22" s="1" t="s">
        <v>5666</v>
      </c>
      <c r="B22" s="1" t="s">
        <v>5666</v>
      </c>
      <c r="C22" s="1">
        <v>3200001446</v>
      </c>
      <c r="D22" s="1">
        <v>415480711</v>
      </c>
      <c r="E22" s="1" t="s">
        <v>5687</v>
      </c>
      <c r="F22" s="2">
        <v>207990</v>
      </c>
      <c r="G22" s="3">
        <v>0.02</v>
      </c>
      <c r="H22" s="3">
        <v>0.03</v>
      </c>
      <c r="I22" s="2">
        <f t="shared" si="0"/>
        <v>4159.8</v>
      </c>
      <c r="J22" s="2">
        <f t="shared" si="1"/>
        <v>6239.7</v>
      </c>
    </row>
    <row r="23" spans="1:10" x14ac:dyDescent="0.3">
      <c r="A23" s="1" t="s">
        <v>5666</v>
      </c>
      <c r="B23" s="1" t="s">
        <v>5666</v>
      </c>
      <c r="C23" s="1">
        <v>7211004764</v>
      </c>
      <c r="D23" s="1">
        <v>413260711</v>
      </c>
      <c r="E23" s="1" t="s">
        <v>5688</v>
      </c>
      <c r="F23" s="2">
        <v>165990</v>
      </c>
      <c r="G23" s="3">
        <v>0.02</v>
      </c>
      <c r="H23" s="3">
        <v>0.03</v>
      </c>
      <c r="I23" s="2">
        <f t="shared" si="0"/>
        <v>3319.8</v>
      </c>
      <c r="J23" s="2">
        <f t="shared" si="1"/>
        <v>4979.7</v>
      </c>
    </row>
    <row r="24" spans="1:10" x14ac:dyDescent="0.3">
      <c r="A24" s="1" t="s">
        <v>5663</v>
      </c>
      <c r="B24" s="1" t="s">
        <v>5664</v>
      </c>
      <c r="C24" s="1">
        <v>3201111697</v>
      </c>
      <c r="D24" s="1">
        <v>517305290</v>
      </c>
      <c r="E24" s="1" t="s">
        <v>5689</v>
      </c>
      <c r="F24" s="2">
        <v>217990</v>
      </c>
      <c r="G24" s="3">
        <v>0.02</v>
      </c>
      <c r="H24" s="3">
        <v>0.03</v>
      </c>
      <c r="I24" s="2">
        <f t="shared" si="0"/>
        <v>4359.8</v>
      </c>
      <c r="J24" s="2">
        <f t="shared" si="1"/>
        <v>6539.7</v>
      </c>
    </row>
    <row r="25" spans="1:10" x14ac:dyDescent="0.3">
      <c r="A25" s="1" t="s">
        <v>5666</v>
      </c>
      <c r="B25" s="1" t="s">
        <v>5666</v>
      </c>
      <c r="C25" s="1">
        <v>3200001210</v>
      </c>
      <c r="D25" s="1">
        <v>415140711</v>
      </c>
      <c r="E25" s="1" t="s">
        <v>5690</v>
      </c>
      <c r="F25" s="2">
        <v>155990</v>
      </c>
      <c r="G25" s="3">
        <v>0.02</v>
      </c>
      <c r="H25" s="3">
        <v>0.03</v>
      </c>
      <c r="I25" s="2">
        <f t="shared" si="0"/>
        <v>3119.8</v>
      </c>
      <c r="J25" s="2">
        <f t="shared" si="1"/>
        <v>4679.7</v>
      </c>
    </row>
    <row r="26" spans="1:10" x14ac:dyDescent="0.3">
      <c r="A26" s="1" t="s">
        <v>5663</v>
      </c>
      <c r="B26" s="1" t="s">
        <v>5664</v>
      </c>
      <c r="C26" s="1">
        <v>3201111693</v>
      </c>
      <c r="D26" s="1">
        <v>517205290</v>
      </c>
      <c r="E26" s="1" t="s">
        <v>5691</v>
      </c>
      <c r="F26" s="2">
        <v>207990</v>
      </c>
      <c r="G26" s="3">
        <v>0.02</v>
      </c>
      <c r="H26" s="3">
        <v>0.03</v>
      </c>
      <c r="I26" s="2">
        <f t="shared" si="0"/>
        <v>4159.8</v>
      </c>
      <c r="J26" s="2">
        <f t="shared" si="1"/>
        <v>6239.7</v>
      </c>
    </row>
    <row r="27" spans="1:10" x14ac:dyDescent="0.3">
      <c r="A27" s="1" t="s">
        <v>5663</v>
      </c>
      <c r="B27" s="1" t="s">
        <v>5664</v>
      </c>
      <c r="C27" s="1">
        <v>8900535558</v>
      </c>
      <c r="D27" s="1">
        <v>762246380</v>
      </c>
      <c r="E27" s="1" t="s">
        <v>5692</v>
      </c>
      <c r="F27" s="2">
        <v>218990</v>
      </c>
      <c r="G27" s="3">
        <v>0.02</v>
      </c>
      <c r="H27" s="3">
        <v>0.03</v>
      </c>
      <c r="I27" s="2">
        <f t="shared" si="0"/>
        <v>4379.8</v>
      </c>
      <c r="J27" s="2">
        <f t="shared" si="1"/>
        <v>6569.7</v>
      </c>
    </row>
    <row r="28" spans="1:10" x14ac:dyDescent="0.3">
      <c r="A28" s="1" t="s">
        <v>5666</v>
      </c>
      <c r="B28" s="1" t="s">
        <v>5666</v>
      </c>
      <c r="C28" s="1">
        <v>3200001442</v>
      </c>
      <c r="D28" s="1">
        <v>414190711</v>
      </c>
      <c r="E28" s="1" t="s">
        <v>5693</v>
      </c>
      <c r="F28" s="2">
        <v>193990</v>
      </c>
      <c r="G28" s="3">
        <v>0.02</v>
      </c>
      <c r="H28" s="3">
        <v>0.03</v>
      </c>
      <c r="I28" s="2">
        <f t="shared" si="0"/>
        <v>3879.8</v>
      </c>
      <c r="J28" s="2">
        <f t="shared" si="1"/>
        <v>5819.7</v>
      </c>
    </row>
    <row r="29" spans="1:10" x14ac:dyDescent="0.3">
      <c r="A29" s="1" t="s">
        <v>5663</v>
      </c>
      <c r="B29" s="1" t="s">
        <v>5664</v>
      </c>
      <c r="C29" s="1">
        <v>3201111672</v>
      </c>
      <c r="D29" s="1">
        <v>514495290</v>
      </c>
      <c r="E29" s="1" t="s">
        <v>5694</v>
      </c>
      <c r="F29" s="2">
        <v>227990</v>
      </c>
      <c r="G29" s="3">
        <v>0.02</v>
      </c>
      <c r="H29" s="3">
        <v>0.03</v>
      </c>
      <c r="I29" s="2">
        <f t="shared" si="0"/>
        <v>4559.8</v>
      </c>
      <c r="J29" s="2">
        <f t="shared" si="1"/>
        <v>6839.7</v>
      </c>
    </row>
    <row r="30" spans="1:10" x14ac:dyDescent="0.3">
      <c r="A30" s="1" t="s">
        <v>5666</v>
      </c>
      <c r="B30" s="1" t="s">
        <v>5666</v>
      </c>
      <c r="C30" s="1">
        <v>3200000491</v>
      </c>
      <c r="D30" s="1">
        <v>413160711</v>
      </c>
      <c r="E30" s="1" t="s">
        <v>5695</v>
      </c>
      <c r="F30" s="2">
        <v>155990</v>
      </c>
      <c r="G30" s="3">
        <v>0.02</v>
      </c>
      <c r="H30" s="3">
        <v>0.03</v>
      </c>
      <c r="I30" s="2">
        <f t="shared" si="0"/>
        <v>3119.8</v>
      </c>
      <c r="J30" s="2">
        <f t="shared" si="1"/>
        <v>4679.7</v>
      </c>
    </row>
    <row r="31" spans="1:10" x14ac:dyDescent="0.3">
      <c r="A31" s="1" t="s">
        <v>5666</v>
      </c>
      <c r="B31" s="1" t="s">
        <v>5666</v>
      </c>
      <c r="C31" s="1">
        <v>3200001160</v>
      </c>
      <c r="D31" s="1">
        <v>419070711</v>
      </c>
      <c r="E31" s="1" t="s">
        <v>5696</v>
      </c>
      <c r="F31" s="2">
        <v>182990</v>
      </c>
      <c r="G31" s="3">
        <v>0.02</v>
      </c>
      <c r="H31" s="3">
        <v>0.03</v>
      </c>
      <c r="I31" s="2">
        <f t="shared" si="0"/>
        <v>3659.8</v>
      </c>
      <c r="J31" s="2">
        <f t="shared" si="1"/>
        <v>5489.7</v>
      </c>
    </row>
    <row r="32" spans="1:10" x14ac:dyDescent="0.3">
      <c r="A32" s="1" t="s">
        <v>5676</v>
      </c>
      <c r="B32" s="1" t="s">
        <v>5677</v>
      </c>
      <c r="C32" s="1">
        <v>3201001758</v>
      </c>
      <c r="D32" s="1">
        <v>1120916040</v>
      </c>
      <c r="E32" s="1" t="s">
        <v>5697</v>
      </c>
      <c r="F32" s="2">
        <v>160990</v>
      </c>
      <c r="G32" s="3">
        <v>0.02</v>
      </c>
      <c r="H32" s="3">
        <v>0.03</v>
      </c>
      <c r="I32" s="2">
        <f t="shared" si="0"/>
        <v>3219.8</v>
      </c>
      <c r="J32" s="2">
        <f t="shared" si="1"/>
        <v>4829.7</v>
      </c>
    </row>
    <row r="33" spans="1:10" x14ac:dyDescent="0.3">
      <c r="A33" s="1" t="s">
        <v>5662</v>
      </c>
      <c r="B33" s="1" t="s">
        <v>5662</v>
      </c>
      <c r="C33" s="1">
        <v>3201000241</v>
      </c>
      <c r="D33" s="1">
        <v>1894919992</v>
      </c>
      <c r="E33" s="1" t="s">
        <v>5698</v>
      </c>
      <c r="F33" s="2">
        <v>256990</v>
      </c>
      <c r="G33" s="3">
        <v>0.02</v>
      </c>
      <c r="H33" s="3">
        <v>0.03</v>
      </c>
      <c r="I33" s="2">
        <f t="shared" si="0"/>
        <v>5139.8</v>
      </c>
      <c r="J33" s="2">
        <f t="shared" si="1"/>
        <v>7709.7</v>
      </c>
    </row>
    <row r="34" spans="1:10" x14ac:dyDescent="0.3">
      <c r="A34" s="1" t="s">
        <v>5666</v>
      </c>
      <c r="B34" s="1" t="s">
        <v>5666</v>
      </c>
      <c r="C34" s="1">
        <v>3200002009</v>
      </c>
      <c r="D34" s="1">
        <v>416670711</v>
      </c>
      <c r="E34" s="1" t="s">
        <v>5699</v>
      </c>
      <c r="F34" s="2">
        <v>193990</v>
      </c>
      <c r="G34" s="3">
        <v>0.02</v>
      </c>
      <c r="H34" s="3">
        <v>0.03</v>
      </c>
      <c r="I34" s="2">
        <f t="shared" si="0"/>
        <v>3879.8</v>
      </c>
      <c r="J34" s="2">
        <f t="shared" si="1"/>
        <v>5819.7</v>
      </c>
    </row>
    <row r="35" spans="1:10" x14ac:dyDescent="0.3">
      <c r="A35" s="1" t="s">
        <v>5666</v>
      </c>
      <c r="B35" s="1" t="s">
        <v>5666</v>
      </c>
      <c r="C35" s="1">
        <v>3200000469</v>
      </c>
      <c r="D35" s="1">
        <v>416530711</v>
      </c>
      <c r="E35" s="1" t="s">
        <v>5700</v>
      </c>
      <c r="F35" s="2">
        <v>176990</v>
      </c>
      <c r="G35" s="3">
        <v>0.02</v>
      </c>
      <c r="H35" s="3">
        <v>0.03</v>
      </c>
      <c r="I35" s="2">
        <f t="shared" si="0"/>
        <v>3539.8</v>
      </c>
      <c r="J35" s="2">
        <f t="shared" si="1"/>
        <v>5309.7</v>
      </c>
    </row>
    <row r="36" spans="1:10" x14ac:dyDescent="0.3">
      <c r="A36" s="1" t="s">
        <v>5666</v>
      </c>
      <c r="B36" s="1" t="s">
        <v>5666</v>
      </c>
      <c r="C36" s="1">
        <v>3200001158</v>
      </c>
      <c r="D36" s="1">
        <v>412320711</v>
      </c>
      <c r="E36" s="1" t="s">
        <v>5701</v>
      </c>
      <c r="F36" s="2">
        <v>181990</v>
      </c>
      <c r="G36" s="3">
        <v>0.02</v>
      </c>
      <c r="H36" s="3">
        <v>0.03</v>
      </c>
      <c r="I36" s="2">
        <f t="shared" si="0"/>
        <v>3639.8</v>
      </c>
      <c r="J36" s="2">
        <f t="shared" si="1"/>
        <v>5459.7</v>
      </c>
    </row>
    <row r="37" spans="1:10" x14ac:dyDescent="0.3">
      <c r="A37" s="1" t="s">
        <v>5666</v>
      </c>
      <c r="B37" s="1" t="s">
        <v>5666</v>
      </c>
      <c r="C37" s="1">
        <v>3200001925</v>
      </c>
      <c r="D37" s="1">
        <v>415490711</v>
      </c>
      <c r="E37" s="1" t="s">
        <v>5702</v>
      </c>
      <c r="F37" s="2">
        <v>170990</v>
      </c>
      <c r="G37" s="3">
        <v>0.02</v>
      </c>
      <c r="H37" s="3">
        <v>0.03</v>
      </c>
      <c r="I37" s="2">
        <f t="shared" si="0"/>
        <v>3419.8</v>
      </c>
      <c r="J37" s="2">
        <f t="shared" si="1"/>
        <v>5129.7</v>
      </c>
    </row>
    <row r="38" spans="1:10" x14ac:dyDescent="0.3">
      <c r="A38" s="1" t="s">
        <v>5666</v>
      </c>
      <c r="B38" s="1" t="s">
        <v>5666</v>
      </c>
      <c r="C38" s="1">
        <v>3200002116</v>
      </c>
      <c r="D38" s="1">
        <v>415090711</v>
      </c>
      <c r="E38" s="1" t="s">
        <v>5703</v>
      </c>
      <c r="F38" s="2">
        <v>186990</v>
      </c>
      <c r="G38" s="3">
        <v>0.02</v>
      </c>
      <c r="H38" s="3">
        <v>0.03</v>
      </c>
      <c r="I38" s="2">
        <f t="shared" si="0"/>
        <v>3739.8</v>
      </c>
      <c r="J38" s="2">
        <f t="shared" si="1"/>
        <v>5609.7</v>
      </c>
    </row>
    <row r="39" spans="1:10" x14ac:dyDescent="0.3">
      <c r="A39" s="1" t="s">
        <v>5663</v>
      </c>
      <c r="B39" s="1" t="s">
        <v>5664</v>
      </c>
      <c r="C39" s="1">
        <v>8900535534</v>
      </c>
      <c r="D39" s="1">
        <v>761246380</v>
      </c>
      <c r="E39" s="1" t="s">
        <v>5704</v>
      </c>
      <c r="F39" s="2">
        <v>195990</v>
      </c>
      <c r="G39" s="3">
        <v>0.02</v>
      </c>
      <c r="H39" s="3">
        <v>0.03</v>
      </c>
      <c r="I39" s="2">
        <f t="shared" si="0"/>
        <v>3919.8</v>
      </c>
      <c r="J39" s="2">
        <f t="shared" si="1"/>
        <v>5879.7</v>
      </c>
    </row>
    <row r="40" spans="1:10" x14ac:dyDescent="0.3">
      <c r="A40" s="1" t="s">
        <v>5666</v>
      </c>
      <c r="B40" s="1" t="s">
        <v>5666</v>
      </c>
      <c r="C40" s="1">
        <v>3200001441</v>
      </c>
      <c r="D40" s="1">
        <v>413290711</v>
      </c>
      <c r="E40" s="1" t="s">
        <v>5705</v>
      </c>
      <c r="F40" s="2">
        <v>150990</v>
      </c>
      <c r="G40" s="3">
        <v>0.02</v>
      </c>
      <c r="H40" s="3">
        <v>0.03</v>
      </c>
      <c r="I40" s="2">
        <f t="shared" si="0"/>
        <v>3019.8</v>
      </c>
      <c r="J40" s="2">
        <f t="shared" si="1"/>
        <v>4529.7</v>
      </c>
    </row>
    <row r="41" spans="1:10" x14ac:dyDescent="0.3">
      <c r="A41" s="1" t="s">
        <v>5663</v>
      </c>
      <c r="B41" s="1" t="s">
        <v>5664</v>
      </c>
      <c r="C41" s="1">
        <v>3201111669</v>
      </c>
      <c r="D41" s="1">
        <v>514395290</v>
      </c>
      <c r="E41" s="1" t="s">
        <v>5706</v>
      </c>
      <c r="F41" s="2">
        <v>191990</v>
      </c>
      <c r="G41" s="3">
        <v>0.02</v>
      </c>
      <c r="H41" s="3">
        <v>0.03</v>
      </c>
      <c r="I41" s="2">
        <f t="shared" si="0"/>
        <v>3839.8</v>
      </c>
      <c r="J41" s="2">
        <f t="shared" si="1"/>
        <v>5759.7</v>
      </c>
    </row>
    <row r="42" spans="1:10" x14ac:dyDescent="0.3">
      <c r="A42" s="1" t="s">
        <v>5663</v>
      </c>
      <c r="B42" s="1" t="s">
        <v>5664</v>
      </c>
      <c r="C42" s="1">
        <v>8900535527</v>
      </c>
      <c r="D42" s="1">
        <v>761206380</v>
      </c>
      <c r="E42" s="1" t="s">
        <v>5707</v>
      </c>
      <c r="F42" s="2">
        <v>162990</v>
      </c>
      <c r="G42" s="3">
        <v>0.02</v>
      </c>
      <c r="H42" s="3">
        <v>0.03</v>
      </c>
      <c r="I42" s="2">
        <f t="shared" si="0"/>
        <v>3259.8</v>
      </c>
      <c r="J42" s="2">
        <f t="shared" si="1"/>
        <v>4889.7</v>
      </c>
    </row>
    <row r="43" spans="1:10" x14ac:dyDescent="0.3">
      <c r="A43" s="1" t="s">
        <v>5663</v>
      </c>
      <c r="B43" s="1" t="s">
        <v>5664</v>
      </c>
      <c r="C43" s="1">
        <v>3201111663</v>
      </c>
      <c r="D43" s="1">
        <v>517165290</v>
      </c>
      <c r="E43" s="1" t="s">
        <v>5708</v>
      </c>
      <c r="F43" s="2">
        <v>148990</v>
      </c>
      <c r="G43" s="3">
        <v>0.02</v>
      </c>
      <c r="H43" s="3">
        <v>0.03</v>
      </c>
      <c r="I43" s="2">
        <f t="shared" si="0"/>
        <v>2979.8</v>
      </c>
      <c r="J43" s="2">
        <f t="shared" si="1"/>
        <v>4469.7</v>
      </c>
    </row>
    <row r="44" spans="1:10" x14ac:dyDescent="0.3">
      <c r="A44" s="1" t="s">
        <v>5663</v>
      </c>
      <c r="B44" s="1" t="s">
        <v>5664</v>
      </c>
      <c r="C44" s="1">
        <v>3201111676</v>
      </c>
      <c r="D44" s="1">
        <v>514595290</v>
      </c>
      <c r="E44" s="1" t="s">
        <v>5709</v>
      </c>
      <c r="F44" s="2">
        <v>191990</v>
      </c>
      <c r="G44" s="3">
        <v>0.02</v>
      </c>
      <c r="H44" s="3">
        <v>0.03</v>
      </c>
      <c r="I44" s="2">
        <f t="shared" si="0"/>
        <v>3839.8</v>
      </c>
      <c r="J44" s="2">
        <f t="shared" si="1"/>
        <v>5759.7</v>
      </c>
    </row>
    <row r="45" spans="1:10" x14ac:dyDescent="0.3">
      <c r="A45" s="1" t="s">
        <v>5666</v>
      </c>
      <c r="B45" s="1" t="s">
        <v>5666</v>
      </c>
      <c r="C45" s="1">
        <v>3200000462</v>
      </c>
      <c r="D45" s="1">
        <v>415250711</v>
      </c>
      <c r="E45" s="1" t="s">
        <v>5710</v>
      </c>
      <c r="F45" s="2">
        <v>136990</v>
      </c>
      <c r="G45" s="3">
        <v>0.02</v>
      </c>
      <c r="H45" s="3">
        <v>0.03</v>
      </c>
      <c r="I45" s="2">
        <f t="shared" si="0"/>
        <v>2739.8</v>
      </c>
      <c r="J45" s="2">
        <f t="shared" si="1"/>
        <v>4109.7</v>
      </c>
    </row>
    <row r="46" spans="1:10" x14ac:dyDescent="0.3">
      <c r="A46" s="1" t="s">
        <v>5666</v>
      </c>
      <c r="B46" s="1" t="s">
        <v>5666</v>
      </c>
      <c r="C46" s="1">
        <v>3200000484</v>
      </c>
      <c r="D46" s="1">
        <v>413150711</v>
      </c>
      <c r="E46" s="1" t="s">
        <v>5711</v>
      </c>
      <c r="F46" s="2">
        <v>144990</v>
      </c>
      <c r="G46" s="3">
        <v>0.02</v>
      </c>
      <c r="H46" s="3">
        <v>0.03</v>
      </c>
      <c r="I46" s="2">
        <f t="shared" si="0"/>
        <v>2899.8</v>
      </c>
      <c r="J46" s="2">
        <f t="shared" si="1"/>
        <v>4349.7</v>
      </c>
    </row>
    <row r="47" spans="1:10" x14ac:dyDescent="0.3">
      <c r="A47" s="1" t="s">
        <v>5666</v>
      </c>
      <c r="B47" s="1" t="s">
        <v>5666</v>
      </c>
      <c r="C47" s="1">
        <v>7211004472</v>
      </c>
      <c r="D47" s="1">
        <v>413180712</v>
      </c>
      <c r="E47" s="1" t="s">
        <v>5712</v>
      </c>
      <c r="F47" s="2">
        <v>140990</v>
      </c>
      <c r="G47" s="3">
        <v>0.02</v>
      </c>
      <c r="H47" s="3">
        <v>0.03</v>
      </c>
      <c r="I47" s="2">
        <f t="shared" si="0"/>
        <v>2819.8</v>
      </c>
      <c r="J47" s="2">
        <f t="shared" si="1"/>
        <v>4229.7</v>
      </c>
    </row>
    <row r="48" spans="1:10" x14ac:dyDescent="0.3">
      <c r="A48" s="1" t="s">
        <v>5666</v>
      </c>
      <c r="B48" s="1" t="s">
        <v>5666</v>
      </c>
      <c r="C48" s="1">
        <v>3200000483</v>
      </c>
      <c r="D48" s="1">
        <v>416350711</v>
      </c>
      <c r="E48" s="1" t="s">
        <v>5713</v>
      </c>
      <c r="F48" s="2">
        <v>144990</v>
      </c>
      <c r="G48" s="3">
        <v>0.02</v>
      </c>
      <c r="H48" s="3">
        <v>0.03</v>
      </c>
      <c r="I48" s="2">
        <f t="shared" si="0"/>
        <v>2899.8</v>
      </c>
      <c r="J48" s="2">
        <f t="shared" si="1"/>
        <v>4349.7</v>
      </c>
    </row>
    <row r="49" spans="1:10" x14ac:dyDescent="0.3">
      <c r="A49" s="1" t="s">
        <v>5666</v>
      </c>
      <c r="B49" s="1" t="s">
        <v>5666</v>
      </c>
      <c r="C49" s="1">
        <v>3200001439</v>
      </c>
      <c r="D49" s="1">
        <v>413300711</v>
      </c>
      <c r="E49" s="1" t="s">
        <v>5714</v>
      </c>
      <c r="F49" s="2">
        <v>148990</v>
      </c>
      <c r="G49" s="3">
        <v>0.02</v>
      </c>
      <c r="H49" s="3">
        <v>0.03</v>
      </c>
      <c r="I49" s="2">
        <f t="shared" si="0"/>
        <v>2979.8</v>
      </c>
      <c r="J49" s="2">
        <f t="shared" si="1"/>
        <v>4469.7</v>
      </c>
    </row>
    <row r="50" spans="1:10" x14ac:dyDescent="0.3">
      <c r="A50" s="1" t="s">
        <v>5662</v>
      </c>
      <c r="B50" s="1" t="s">
        <v>5662</v>
      </c>
      <c r="C50" s="1">
        <v>3201019504</v>
      </c>
      <c r="D50" s="1">
        <v>1896249992</v>
      </c>
      <c r="E50" s="1" t="s">
        <v>5715</v>
      </c>
      <c r="F50" s="2">
        <v>144990</v>
      </c>
      <c r="G50" s="3">
        <v>0.02</v>
      </c>
      <c r="H50" s="3">
        <v>0.03</v>
      </c>
      <c r="I50" s="2">
        <f t="shared" si="0"/>
        <v>2899.8</v>
      </c>
      <c r="J50" s="2">
        <f t="shared" si="1"/>
        <v>4349.7</v>
      </c>
    </row>
    <row r="51" spans="1:10" x14ac:dyDescent="0.3">
      <c r="A51" s="1" t="s">
        <v>5662</v>
      </c>
      <c r="B51" s="1" t="s">
        <v>5662</v>
      </c>
      <c r="C51" s="1">
        <v>3201002710</v>
      </c>
      <c r="D51" s="1">
        <v>1880426032</v>
      </c>
      <c r="E51" s="1" t="s">
        <v>5716</v>
      </c>
      <c r="F51" s="2">
        <v>172990</v>
      </c>
      <c r="G51" s="3">
        <v>0.02</v>
      </c>
      <c r="H51" s="3">
        <v>0.03</v>
      </c>
      <c r="I51" s="2">
        <f t="shared" si="0"/>
        <v>3459.8</v>
      </c>
      <c r="J51" s="2">
        <f t="shared" si="1"/>
        <v>5189.7</v>
      </c>
    </row>
    <row r="52" spans="1:10" x14ac:dyDescent="0.3">
      <c r="A52" s="1" t="s">
        <v>5666</v>
      </c>
      <c r="B52" s="1" t="s">
        <v>5666</v>
      </c>
      <c r="C52" s="1">
        <v>3200000550</v>
      </c>
      <c r="D52" s="1">
        <v>416910721</v>
      </c>
      <c r="E52" s="1" t="s">
        <v>5717</v>
      </c>
      <c r="F52" s="2">
        <v>125990</v>
      </c>
      <c r="G52" s="3">
        <v>0.02</v>
      </c>
      <c r="H52" s="3">
        <v>0.03</v>
      </c>
      <c r="I52" s="2">
        <f t="shared" si="0"/>
        <v>2519.8000000000002</v>
      </c>
      <c r="J52" s="2">
        <f t="shared" si="1"/>
        <v>3779.7</v>
      </c>
    </row>
    <row r="53" spans="1:10" x14ac:dyDescent="0.3">
      <c r="A53" s="1" t="s">
        <v>5666</v>
      </c>
      <c r="B53" s="1" t="s">
        <v>5666</v>
      </c>
      <c r="C53" s="1">
        <v>3200000551</v>
      </c>
      <c r="D53" s="1">
        <v>416810721</v>
      </c>
      <c r="E53" s="1" t="s">
        <v>5718</v>
      </c>
      <c r="F53" s="2">
        <v>125990</v>
      </c>
      <c r="G53" s="3">
        <v>0.02</v>
      </c>
      <c r="H53" s="3">
        <v>0.03</v>
      </c>
      <c r="I53" s="2">
        <f t="shared" si="0"/>
        <v>2519.8000000000002</v>
      </c>
      <c r="J53" s="2">
        <f t="shared" si="1"/>
        <v>3779.7</v>
      </c>
    </row>
    <row r="54" spans="1:10" x14ac:dyDescent="0.3">
      <c r="A54" s="1" t="s">
        <v>5666</v>
      </c>
      <c r="B54" s="1" t="s">
        <v>5666</v>
      </c>
      <c r="C54" s="1">
        <v>3200001924</v>
      </c>
      <c r="D54" s="1">
        <v>413310711</v>
      </c>
      <c r="E54" s="1" t="s">
        <v>5719</v>
      </c>
      <c r="F54" s="2">
        <v>149990</v>
      </c>
      <c r="G54" s="3">
        <v>0.02</v>
      </c>
      <c r="H54" s="3">
        <v>0.03</v>
      </c>
      <c r="I54" s="2">
        <f t="shared" si="0"/>
        <v>2999.8</v>
      </c>
      <c r="J54" s="2">
        <f t="shared" si="1"/>
        <v>4499.7</v>
      </c>
    </row>
    <row r="55" spans="1:10" x14ac:dyDescent="0.3">
      <c r="A55" s="1" t="s">
        <v>5663</v>
      </c>
      <c r="B55" s="1" t="s">
        <v>5664</v>
      </c>
      <c r="C55" s="1">
        <v>8900535497</v>
      </c>
      <c r="D55" s="1">
        <v>760206380</v>
      </c>
      <c r="E55" s="1" t="s">
        <v>5720</v>
      </c>
      <c r="F55" s="2">
        <v>144990</v>
      </c>
      <c r="G55" s="3">
        <v>0.02</v>
      </c>
      <c r="H55" s="3">
        <v>0.03</v>
      </c>
      <c r="I55" s="2">
        <f t="shared" si="0"/>
        <v>2899.8</v>
      </c>
      <c r="J55" s="2">
        <f t="shared" si="1"/>
        <v>4349.7</v>
      </c>
    </row>
    <row r="56" spans="1:10" x14ac:dyDescent="0.3">
      <c r="A56" s="1" t="s">
        <v>5666</v>
      </c>
      <c r="B56" s="1" t="s">
        <v>5666</v>
      </c>
      <c r="C56" s="1">
        <v>3200000549</v>
      </c>
      <c r="D56" s="1">
        <v>416950721</v>
      </c>
      <c r="E56" s="1" t="s">
        <v>5721</v>
      </c>
      <c r="F56" s="2">
        <v>125990</v>
      </c>
      <c r="G56" s="3">
        <v>0.02</v>
      </c>
      <c r="H56" s="3">
        <v>0.03</v>
      </c>
      <c r="I56" s="2">
        <f t="shared" si="0"/>
        <v>2519.8000000000002</v>
      </c>
      <c r="J56" s="2">
        <f t="shared" si="1"/>
        <v>3779.7</v>
      </c>
    </row>
    <row r="57" spans="1:10" x14ac:dyDescent="0.3">
      <c r="A57" s="1" t="s">
        <v>5666</v>
      </c>
      <c r="B57" s="1" t="s">
        <v>5666</v>
      </c>
      <c r="C57" s="1">
        <v>3200000470</v>
      </c>
      <c r="D57" s="1">
        <v>415240711</v>
      </c>
      <c r="E57" s="1" t="s">
        <v>5722</v>
      </c>
      <c r="F57" s="2">
        <v>144990</v>
      </c>
      <c r="G57" s="3">
        <v>0.02</v>
      </c>
      <c r="H57" s="3">
        <v>0.03</v>
      </c>
      <c r="I57" s="2">
        <f t="shared" si="0"/>
        <v>2899.8</v>
      </c>
      <c r="J57" s="2">
        <f t="shared" si="1"/>
        <v>4349.7</v>
      </c>
    </row>
    <row r="58" spans="1:10" x14ac:dyDescent="0.3">
      <c r="A58" s="1" t="s">
        <v>5662</v>
      </c>
      <c r="B58" s="1" t="s">
        <v>5662</v>
      </c>
      <c r="C58" s="1">
        <v>3201000226</v>
      </c>
      <c r="D58" s="1">
        <v>1880396032</v>
      </c>
      <c r="E58" s="1" t="s">
        <v>5723</v>
      </c>
      <c r="F58" s="2">
        <v>144990</v>
      </c>
      <c r="G58" s="3">
        <v>0.02</v>
      </c>
      <c r="H58" s="3">
        <v>0.03</v>
      </c>
      <c r="I58" s="2">
        <f t="shared" si="0"/>
        <v>2899.8</v>
      </c>
      <c r="J58" s="2">
        <f t="shared" si="1"/>
        <v>4349.7</v>
      </c>
    </row>
    <row r="59" spans="1:10" x14ac:dyDescent="0.3">
      <c r="A59" s="1" t="s">
        <v>5663</v>
      </c>
      <c r="B59" s="1" t="s">
        <v>5724</v>
      </c>
      <c r="C59" s="1">
        <v>3201002679</v>
      </c>
      <c r="D59" s="1">
        <v>1756486411</v>
      </c>
      <c r="E59" s="1" t="s">
        <v>5725</v>
      </c>
      <c r="F59" s="2">
        <v>123990</v>
      </c>
      <c r="G59" s="3">
        <v>0.02</v>
      </c>
      <c r="H59" s="3">
        <v>0.03</v>
      </c>
      <c r="I59" s="2">
        <f t="shared" si="0"/>
        <v>2479.8000000000002</v>
      </c>
      <c r="J59" s="2">
        <f t="shared" si="1"/>
        <v>3719.7</v>
      </c>
    </row>
    <row r="60" spans="1:10" x14ac:dyDescent="0.3">
      <c r="A60" s="1" t="s">
        <v>5663</v>
      </c>
      <c r="B60" s="1" t="s">
        <v>5724</v>
      </c>
      <c r="C60" s="1">
        <v>3201000359</v>
      </c>
      <c r="D60" s="1">
        <v>1756386411</v>
      </c>
      <c r="E60" s="1" t="s">
        <v>5726</v>
      </c>
      <c r="F60" s="2">
        <v>134990</v>
      </c>
      <c r="G60" s="3">
        <v>0.02</v>
      </c>
      <c r="H60" s="3">
        <v>0.03</v>
      </c>
      <c r="I60" s="2">
        <f t="shared" si="0"/>
        <v>2699.8</v>
      </c>
      <c r="J60" s="2">
        <f t="shared" si="1"/>
        <v>4049.7</v>
      </c>
    </row>
    <row r="61" spans="1:10" x14ac:dyDescent="0.3">
      <c r="A61" s="1" t="s">
        <v>5676</v>
      </c>
      <c r="B61" s="1" t="s">
        <v>5677</v>
      </c>
      <c r="C61" s="1">
        <v>3201002209</v>
      </c>
      <c r="D61" s="1">
        <v>1272916040</v>
      </c>
      <c r="E61" s="1" t="s">
        <v>5727</v>
      </c>
      <c r="F61" s="2">
        <v>160990</v>
      </c>
      <c r="G61" s="3">
        <v>0.02</v>
      </c>
      <c r="H61" s="3">
        <v>0.03</v>
      </c>
      <c r="I61" s="2">
        <f t="shared" si="0"/>
        <v>3219.8</v>
      </c>
      <c r="J61" s="2">
        <f t="shared" si="1"/>
        <v>4829.7</v>
      </c>
    </row>
    <row r="62" spans="1:10" x14ac:dyDescent="0.3">
      <c r="A62" s="1" t="s">
        <v>5662</v>
      </c>
      <c r="B62" s="1" t="s">
        <v>5662</v>
      </c>
      <c r="C62" s="1">
        <v>3201002753</v>
      </c>
      <c r="D62" s="1">
        <v>1891946032</v>
      </c>
      <c r="E62" s="1" t="s">
        <v>5728</v>
      </c>
      <c r="F62" s="2">
        <v>134990</v>
      </c>
      <c r="G62" s="3">
        <v>0.02</v>
      </c>
      <c r="H62" s="3">
        <v>0.03</v>
      </c>
      <c r="I62" s="2">
        <f t="shared" si="0"/>
        <v>2699.8</v>
      </c>
      <c r="J62" s="2">
        <f t="shared" si="1"/>
        <v>4049.7</v>
      </c>
    </row>
    <row r="63" spans="1:10" x14ac:dyDescent="0.3">
      <c r="A63" s="1" t="s">
        <v>5663</v>
      </c>
      <c r="B63" s="1" t="s">
        <v>5724</v>
      </c>
      <c r="C63" s="1">
        <v>3201000358</v>
      </c>
      <c r="D63" s="1">
        <v>1756286411</v>
      </c>
      <c r="E63" s="1" t="s">
        <v>5729</v>
      </c>
      <c r="F63" s="2">
        <v>140990</v>
      </c>
      <c r="G63" s="3">
        <v>0.02</v>
      </c>
      <c r="H63" s="3">
        <v>0.03</v>
      </c>
      <c r="I63" s="2">
        <f t="shared" si="0"/>
        <v>2819.8</v>
      </c>
      <c r="J63" s="2">
        <f t="shared" si="1"/>
        <v>4229.7</v>
      </c>
    </row>
    <row r="64" spans="1:10" x14ac:dyDescent="0.3">
      <c r="A64" s="1" t="s">
        <v>5666</v>
      </c>
      <c r="B64" s="1" t="s">
        <v>5666</v>
      </c>
      <c r="C64" s="1">
        <v>3200001162</v>
      </c>
      <c r="D64" s="1">
        <v>416400711</v>
      </c>
      <c r="E64" s="1" t="s">
        <v>5730</v>
      </c>
      <c r="F64" s="2">
        <v>120990</v>
      </c>
      <c r="G64" s="3">
        <v>0.02</v>
      </c>
      <c r="H64" s="3">
        <v>0.03</v>
      </c>
      <c r="I64" s="2">
        <f t="shared" si="0"/>
        <v>2419.8000000000002</v>
      </c>
      <c r="J64" s="2">
        <f t="shared" si="1"/>
        <v>3629.7</v>
      </c>
    </row>
    <row r="65" spans="1:10" x14ac:dyDescent="0.3">
      <c r="A65" s="1" t="s">
        <v>5731</v>
      </c>
      <c r="B65" s="1" t="s">
        <v>5732</v>
      </c>
      <c r="C65" s="1">
        <v>3201002908</v>
      </c>
      <c r="D65" s="1">
        <v>1876709990</v>
      </c>
      <c r="E65" s="1" t="s">
        <v>5733</v>
      </c>
      <c r="F65" s="2">
        <v>135990</v>
      </c>
      <c r="G65" s="3">
        <v>0.02</v>
      </c>
      <c r="H65" s="3">
        <v>0.03</v>
      </c>
      <c r="I65" s="2">
        <f t="shared" si="0"/>
        <v>2719.8</v>
      </c>
      <c r="J65" s="2">
        <f t="shared" si="1"/>
        <v>4079.7</v>
      </c>
    </row>
    <row r="66" spans="1:10" x14ac:dyDescent="0.3">
      <c r="A66" s="1" t="s">
        <v>5663</v>
      </c>
      <c r="B66" s="1" t="s">
        <v>5664</v>
      </c>
      <c r="C66" s="1">
        <v>3201111692</v>
      </c>
      <c r="D66" s="1">
        <v>515295290</v>
      </c>
      <c r="E66" s="1" t="s">
        <v>5734</v>
      </c>
      <c r="F66" s="2">
        <v>191990</v>
      </c>
      <c r="G66" s="3">
        <v>0.02</v>
      </c>
      <c r="H66" s="3">
        <v>0.03</v>
      </c>
      <c r="I66" s="2">
        <f t="shared" si="0"/>
        <v>3839.8</v>
      </c>
      <c r="J66" s="2">
        <f t="shared" si="1"/>
        <v>5759.7</v>
      </c>
    </row>
    <row r="67" spans="1:10" x14ac:dyDescent="0.3">
      <c r="A67" s="1" t="s">
        <v>5666</v>
      </c>
      <c r="B67" s="1" t="s">
        <v>5666</v>
      </c>
      <c r="C67" s="1">
        <v>3200001155</v>
      </c>
      <c r="D67" s="1">
        <v>413190711</v>
      </c>
      <c r="E67" s="1" t="s">
        <v>5735</v>
      </c>
      <c r="F67" s="2">
        <v>121990</v>
      </c>
      <c r="G67" s="3">
        <v>0.02</v>
      </c>
      <c r="H67" s="3">
        <v>0.03</v>
      </c>
      <c r="I67" s="2">
        <f t="shared" si="0"/>
        <v>2439.8000000000002</v>
      </c>
      <c r="J67" s="2">
        <f t="shared" si="1"/>
        <v>3659.7</v>
      </c>
    </row>
    <row r="68" spans="1:10" x14ac:dyDescent="0.3">
      <c r="A68" s="1" t="s">
        <v>5736</v>
      </c>
      <c r="B68" s="1" t="s">
        <v>5736</v>
      </c>
      <c r="C68" s="1">
        <v>3201000291</v>
      </c>
      <c r="D68" s="1">
        <v>631016030</v>
      </c>
      <c r="E68" s="1" t="s">
        <v>5737</v>
      </c>
      <c r="F68" s="2">
        <v>126990</v>
      </c>
      <c r="G68" s="3">
        <v>0.02</v>
      </c>
      <c r="H68" s="3">
        <v>0.03</v>
      </c>
      <c r="I68" s="2">
        <f t="shared" ref="I68:I131" si="2">F68*G68</f>
        <v>2539.8000000000002</v>
      </c>
      <c r="J68" s="2">
        <f t="shared" ref="J68:J131" si="3">F68*H68</f>
        <v>3809.7</v>
      </c>
    </row>
    <row r="69" spans="1:10" x14ac:dyDescent="0.3">
      <c r="A69" s="1" t="s">
        <v>5666</v>
      </c>
      <c r="B69" s="1" t="s">
        <v>5666</v>
      </c>
      <c r="C69" s="1">
        <v>3200000458</v>
      </c>
      <c r="D69" s="1">
        <v>415260711</v>
      </c>
      <c r="E69" s="1" t="s">
        <v>2911</v>
      </c>
      <c r="F69" s="2">
        <v>125990</v>
      </c>
      <c r="G69" s="3">
        <v>0.02</v>
      </c>
      <c r="H69" s="3">
        <v>0.03</v>
      </c>
      <c r="I69" s="2">
        <f t="shared" si="2"/>
        <v>2519.8000000000002</v>
      </c>
      <c r="J69" s="2">
        <f t="shared" si="3"/>
        <v>3779.7</v>
      </c>
    </row>
    <row r="70" spans="1:10" x14ac:dyDescent="0.3">
      <c r="A70" s="1" t="s">
        <v>5663</v>
      </c>
      <c r="B70" s="1" t="s">
        <v>5724</v>
      </c>
      <c r="C70" s="1">
        <v>3201000545</v>
      </c>
      <c r="D70" s="1">
        <v>576504291</v>
      </c>
      <c r="E70" s="1" t="s">
        <v>5738</v>
      </c>
      <c r="F70" s="2">
        <v>151990</v>
      </c>
      <c r="G70" s="3">
        <v>0.02</v>
      </c>
      <c r="H70" s="3">
        <v>0.03</v>
      </c>
      <c r="I70" s="2">
        <f t="shared" si="2"/>
        <v>3039.8</v>
      </c>
      <c r="J70" s="2">
        <f t="shared" si="3"/>
        <v>4559.7</v>
      </c>
    </row>
    <row r="71" spans="1:10" x14ac:dyDescent="0.3">
      <c r="A71" s="1" t="s">
        <v>5663</v>
      </c>
      <c r="B71" s="1" t="s">
        <v>5724</v>
      </c>
      <c r="C71" s="1">
        <v>3201000544</v>
      </c>
      <c r="D71" s="1">
        <v>576484291</v>
      </c>
      <c r="E71" s="1" t="s">
        <v>5739</v>
      </c>
      <c r="F71" s="2">
        <v>151990</v>
      </c>
      <c r="G71" s="3">
        <v>0.02</v>
      </c>
      <c r="H71" s="3">
        <v>0.03</v>
      </c>
      <c r="I71" s="2">
        <f t="shared" si="2"/>
        <v>3039.8</v>
      </c>
      <c r="J71" s="2">
        <f t="shared" si="3"/>
        <v>4559.7</v>
      </c>
    </row>
    <row r="72" spans="1:10" x14ac:dyDescent="0.3">
      <c r="A72" s="1" t="s">
        <v>5736</v>
      </c>
      <c r="B72" s="1" t="s">
        <v>5736</v>
      </c>
      <c r="C72" s="1">
        <v>3201006240</v>
      </c>
      <c r="D72" s="1">
        <v>662866040</v>
      </c>
      <c r="E72" s="1" t="s">
        <v>5740</v>
      </c>
      <c r="F72" s="2">
        <v>108990</v>
      </c>
      <c r="G72" s="3">
        <v>0.02</v>
      </c>
      <c r="H72" s="3">
        <v>0.03</v>
      </c>
      <c r="I72" s="2">
        <f t="shared" si="2"/>
        <v>2179.8000000000002</v>
      </c>
      <c r="J72" s="2">
        <f t="shared" si="3"/>
        <v>3269.7</v>
      </c>
    </row>
    <row r="73" spans="1:10" x14ac:dyDescent="0.3">
      <c r="A73" s="1" t="s">
        <v>5663</v>
      </c>
      <c r="B73" s="1" t="s">
        <v>5724</v>
      </c>
      <c r="C73" s="1">
        <v>3201000289</v>
      </c>
      <c r="D73" s="1">
        <v>1743016040</v>
      </c>
      <c r="E73" s="1" t="s">
        <v>5741</v>
      </c>
      <c r="F73" s="2">
        <v>123990</v>
      </c>
      <c r="G73" s="3">
        <v>0.02</v>
      </c>
      <c r="H73" s="3">
        <v>0.03</v>
      </c>
      <c r="I73" s="2">
        <f t="shared" si="2"/>
        <v>2479.8000000000002</v>
      </c>
      <c r="J73" s="2">
        <f t="shared" si="3"/>
        <v>3719.7</v>
      </c>
    </row>
    <row r="74" spans="1:10" x14ac:dyDescent="0.3">
      <c r="A74" s="1" t="s">
        <v>5666</v>
      </c>
      <c r="B74" s="1" t="s">
        <v>5666</v>
      </c>
      <c r="C74" s="1">
        <v>3200000481</v>
      </c>
      <c r="D74" s="1">
        <v>416490711</v>
      </c>
      <c r="E74" s="1" t="s">
        <v>5742</v>
      </c>
      <c r="F74" s="2">
        <v>103990</v>
      </c>
      <c r="G74" s="3">
        <v>0.02</v>
      </c>
      <c r="H74" s="3">
        <v>0.03</v>
      </c>
      <c r="I74" s="2">
        <f t="shared" si="2"/>
        <v>2079.8000000000002</v>
      </c>
      <c r="J74" s="2">
        <f t="shared" si="3"/>
        <v>3119.7</v>
      </c>
    </row>
    <row r="75" spans="1:10" x14ac:dyDescent="0.3">
      <c r="A75" s="1" t="s">
        <v>5676</v>
      </c>
      <c r="B75" s="1" t="s">
        <v>5677</v>
      </c>
      <c r="C75" s="1">
        <v>3201000326</v>
      </c>
      <c r="D75" s="1">
        <v>1177006043</v>
      </c>
      <c r="E75" s="1" t="s">
        <v>5743</v>
      </c>
      <c r="F75" s="2">
        <v>103990</v>
      </c>
      <c r="G75" s="3">
        <v>0.02</v>
      </c>
      <c r="H75" s="3">
        <v>0.03</v>
      </c>
      <c r="I75" s="2">
        <f t="shared" si="2"/>
        <v>2079.8000000000002</v>
      </c>
      <c r="J75" s="2">
        <f t="shared" si="3"/>
        <v>3119.7</v>
      </c>
    </row>
    <row r="76" spans="1:10" x14ac:dyDescent="0.3">
      <c r="A76" s="1" t="s">
        <v>5666</v>
      </c>
      <c r="B76" s="1" t="s">
        <v>5666</v>
      </c>
      <c r="C76" s="1">
        <v>3200001161</v>
      </c>
      <c r="D76" s="1">
        <v>415400711</v>
      </c>
      <c r="E76" s="1" t="s">
        <v>5744</v>
      </c>
      <c r="F76" s="2">
        <v>113990</v>
      </c>
      <c r="G76" s="3">
        <v>0.02</v>
      </c>
      <c r="H76" s="3">
        <v>0.03</v>
      </c>
      <c r="I76" s="2">
        <f t="shared" si="2"/>
        <v>2279.8000000000002</v>
      </c>
      <c r="J76" s="2">
        <f t="shared" si="3"/>
        <v>3419.7</v>
      </c>
    </row>
    <row r="77" spans="1:10" x14ac:dyDescent="0.3">
      <c r="A77" s="1" t="s">
        <v>5663</v>
      </c>
      <c r="B77" s="1" t="s">
        <v>5664</v>
      </c>
      <c r="C77" s="1">
        <v>8900535572</v>
      </c>
      <c r="D77" s="1">
        <v>763166380</v>
      </c>
      <c r="E77" s="1" t="s">
        <v>5745</v>
      </c>
      <c r="F77" s="2">
        <v>146990</v>
      </c>
      <c r="G77" s="3">
        <v>0.02</v>
      </c>
      <c r="H77" s="3">
        <v>0.03</v>
      </c>
      <c r="I77" s="2">
        <f t="shared" si="2"/>
        <v>2939.8</v>
      </c>
      <c r="J77" s="2">
        <f t="shared" si="3"/>
        <v>4409.7</v>
      </c>
    </row>
    <row r="78" spans="1:10" x14ac:dyDescent="0.3">
      <c r="A78" s="1" t="s">
        <v>5662</v>
      </c>
      <c r="B78" s="1" t="s">
        <v>5662</v>
      </c>
      <c r="C78" s="1">
        <v>3201002724</v>
      </c>
      <c r="D78" s="1">
        <v>1889486032</v>
      </c>
      <c r="E78" s="1" t="s">
        <v>5746</v>
      </c>
      <c r="F78" s="2">
        <v>123990</v>
      </c>
      <c r="G78" s="3">
        <v>0.02</v>
      </c>
      <c r="H78" s="3">
        <v>0.03</v>
      </c>
      <c r="I78" s="2">
        <f t="shared" si="2"/>
        <v>2479.8000000000002</v>
      </c>
      <c r="J78" s="2">
        <f t="shared" si="3"/>
        <v>3719.7</v>
      </c>
    </row>
    <row r="79" spans="1:10" x14ac:dyDescent="0.3">
      <c r="A79" s="1" t="s">
        <v>5662</v>
      </c>
      <c r="B79" s="1" t="s">
        <v>5662</v>
      </c>
      <c r="C79" s="1">
        <v>3201002725</v>
      </c>
      <c r="D79" s="1">
        <v>1889506032</v>
      </c>
      <c r="E79" s="1" t="s">
        <v>5747</v>
      </c>
      <c r="F79" s="2">
        <v>123990</v>
      </c>
      <c r="G79" s="3">
        <v>0.02</v>
      </c>
      <c r="H79" s="3">
        <v>0.03</v>
      </c>
      <c r="I79" s="2">
        <f t="shared" si="2"/>
        <v>2479.8000000000002</v>
      </c>
      <c r="J79" s="2">
        <f t="shared" si="3"/>
        <v>3719.7</v>
      </c>
    </row>
    <row r="80" spans="1:10" x14ac:dyDescent="0.3">
      <c r="A80" s="1" t="s">
        <v>5736</v>
      </c>
      <c r="B80" s="1" t="s">
        <v>5736</v>
      </c>
      <c r="C80" s="1">
        <v>3201000631</v>
      </c>
      <c r="D80" s="1">
        <v>636906030</v>
      </c>
      <c r="E80" s="1" t="s">
        <v>5748</v>
      </c>
      <c r="F80" s="2">
        <v>86990</v>
      </c>
      <c r="G80" s="3">
        <v>0.02</v>
      </c>
      <c r="H80" s="3">
        <v>0.03</v>
      </c>
      <c r="I80" s="2">
        <f t="shared" si="2"/>
        <v>1739.8</v>
      </c>
      <c r="J80" s="2">
        <f t="shared" si="3"/>
        <v>2609.6999999999998</v>
      </c>
    </row>
    <row r="81" spans="1:10" x14ac:dyDescent="0.3">
      <c r="A81" s="1" t="s">
        <v>5662</v>
      </c>
      <c r="B81" s="1" t="s">
        <v>5662</v>
      </c>
      <c r="C81" s="1">
        <v>3201002708</v>
      </c>
      <c r="D81" s="1">
        <v>1880346032</v>
      </c>
      <c r="E81" s="1" t="s">
        <v>5749</v>
      </c>
      <c r="F81" s="2">
        <v>139990</v>
      </c>
      <c r="G81" s="3">
        <v>0.02</v>
      </c>
      <c r="H81" s="3">
        <v>0.03</v>
      </c>
      <c r="I81" s="2">
        <f t="shared" si="2"/>
        <v>2799.8</v>
      </c>
      <c r="J81" s="2">
        <f t="shared" si="3"/>
        <v>4199.7</v>
      </c>
    </row>
    <row r="82" spans="1:10" x14ac:dyDescent="0.3">
      <c r="A82" s="1" t="s">
        <v>5666</v>
      </c>
      <c r="B82" s="1" t="s">
        <v>5666</v>
      </c>
      <c r="C82" s="1">
        <v>3200000493</v>
      </c>
      <c r="D82" s="1">
        <v>413130711</v>
      </c>
      <c r="E82" s="1" t="s">
        <v>5750</v>
      </c>
      <c r="F82" s="2">
        <v>103990</v>
      </c>
      <c r="G82" s="3">
        <v>0.02</v>
      </c>
      <c r="H82" s="3">
        <v>0.03</v>
      </c>
      <c r="I82" s="2">
        <f t="shared" si="2"/>
        <v>2079.8000000000002</v>
      </c>
      <c r="J82" s="2">
        <f t="shared" si="3"/>
        <v>3119.7</v>
      </c>
    </row>
    <row r="83" spans="1:10" x14ac:dyDescent="0.3">
      <c r="A83" s="1" t="s">
        <v>5662</v>
      </c>
      <c r="B83" s="1" t="s">
        <v>5662</v>
      </c>
      <c r="C83" s="1">
        <v>3201000363</v>
      </c>
      <c r="D83" s="1">
        <v>1873776040</v>
      </c>
      <c r="E83" s="1" t="s">
        <v>5751</v>
      </c>
      <c r="F83" s="2">
        <v>100990</v>
      </c>
      <c r="G83" s="3">
        <v>0.02</v>
      </c>
      <c r="H83" s="3">
        <v>0.03</v>
      </c>
      <c r="I83" s="2">
        <f t="shared" si="2"/>
        <v>2019.8</v>
      </c>
      <c r="J83" s="2">
        <f t="shared" si="3"/>
        <v>3029.7</v>
      </c>
    </row>
    <row r="84" spans="1:10" x14ac:dyDescent="0.3">
      <c r="A84" s="1" t="s">
        <v>5663</v>
      </c>
      <c r="B84" s="1" t="s">
        <v>5724</v>
      </c>
      <c r="C84" s="1">
        <v>3201000357</v>
      </c>
      <c r="D84" s="1">
        <v>1756246411</v>
      </c>
      <c r="E84" s="1" t="s">
        <v>5752</v>
      </c>
      <c r="F84" s="2">
        <v>128990</v>
      </c>
      <c r="G84" s="3">
        <v>0.02</v>
      </c>
      <c r="H84" s="3">
        <v>0.03</v>
      </c>
      <c r="I84" s="2">
        <f t="shared" si="2"/>
        <v>2579.8000000000002</v>
      </c>
      <c r="J84" s="2">
        <f t="shared" si="3"/>
        <v>3869.7</v>
      </c>
    </row>
    <row r="85" spans="1:10" x14ac:dyDescent="0.3">
      <c r="A85" s="1" t="s">
        <v>5663</v>
      </c>
      <c r="B85" s="1" t="s">
        <v>5724</v>
      </c>
      <c r="C85" s="1">
        <v>3201000538</v>
      </c>
      <c r="D85" s="1">
        <v>576284291</v>
      </c>
      <c r="E85" s="1" t="s">
        <v>5753</v>
      </c>
      <c r="F85" s="2">
        <v>134990</v>
      </c>
      <c r="G85" s="3">
        <v>0.02</v>
      </c>
      <c r="H85" s="3">
        <v>0.03</v>
      </c>
      <c r="I85" s="2">
        <f t="shared" si="2"/>
        <v>2699.8</v>
      </c>
      <c r="J85" s="2">
        <f t="shared" si="3"/>
        <v>4049.7</v>
      </c>
    </row>
    <row r="86" spans="1:10" x14ac:dyDescent="0.3">
      <c r="A86" s="1" t="s">
        <v>5666</v>
      </c>
      <c r="B86" s="1" t="s">
        <v>5666</v>
      </c>
      <c r="C86" s="1">
        <v>3200000457</v>
      </c>
      <c r="D86" s="1">
        <v>416450711</v>
      </c>
      <c r="E86" s="1" t="s">
        <v>5754</v>
      </c>
      <c r="F86" s="2">
        <v>103990</v>
      </c>
      <c r="G86" s="3">
        <v>0.02</v>
      </c>
      <c r="H86" s="3">
        <v>0.03</v>
      </c>
      <c r="I86" s="2">
        <f t="shared" si="2"/>
        <v>2079.8000000000002</v>
      </c>
      <c r="J86" s="2">
        <f t="shared" si="3"/>
        <v>3119.7</v>
      </c>
    </row>
    <row r="87" spans="1:10" x14ac:dyDescent="0.3">
      <c r="A87" s="1" t="s">
        <v>5736</v>
      </c>
      <c r="B87" s="1" t="s">
        <v>5736</v>
      </c>
      <c r="C87" s="1">
        <v>3201000292</v>
      </c>
      <c r="D87" s="1">
        <v>631096030</v>
      </c>
      <c r="E87" s="1" t="s">
        <v>5755</v>
      </c>
      <c r="F87" s="2">
        <v>110990</v>
      </c>
      <c r="G87" s="3">
        <v>0.02</v>
      </c>
      <c r="H87" s="3">
        <v>0.03</v>
      </c>
      <c r="I87" s="2">
        <f t="shared" si="2"/>
        <v>2219.8000000000002</v>
      </c>
      <c r="J87" s="2">
        <f t="shared" si="3"/>
        <v>3329.7</v>
      </c>
    </row>
    <row r="88" spans="1:10" x14ac:dyDescent="0.3">
      <c r="A88" s="1" t="s">
        <v>5666</v>
      </c>
      <c r="B88" s="1" t="s">
        <v>5666</v>
      </c>
      <c r="C88" s="1">
        <v>3200000554</v>
      </c>
      <c r="D88" s="1">
        <v>416960771</v>
      </c>
      <c r="E88" s="1" t="s">
        <v>5756</v>
      </c>
      <c r="F88" s="2">
        <v>98990</v>
      </c>
      <c r="G88" s="3">
        <v>0.02</v>
      </c>
      <c r="H88" s="3">
        <v>0.03</v>
      </c>
      <c r="I88" s="2">
        <f t="shared" si="2"/>
        <v>1979.8</v>
      </c>
      <c r="J88" s="2">
        <f t="shared" si="3"/>
        <v>2969.7</v>
      </c>
    </row>
    <row r="89" spans="1:10" x14ac:dyDescent="0.3">
      <c r="A89" s="1" t="s">
        <v>5666</v>
      </c>
      <c r="B89" s="1" t="s">
        <v>5666</v>
      </c>
      <c r="C89" s="1">
        <v>3200000552</v>
      </c>
      <c r="D89" s="1">
        <v>416920711</v>
      </c>
      <c r="E89" s="1" t="s">
        <v>5757</v>
      </c>
      <c r="F89" s="2">
        <v>98990</v>
      </c>
      <c r="G89" s="3">
        <v>0.02</v>
      </c>
      <c r="H89" s="3">
        <v>0.03</v>
      </c>
      <c r="I89" s="2">
        <f t="shared" si="2"/>
        <v>1979.8</v>
      </c>
      <c r="J89" s="2">
        <f t="shared" si="3"/>
        <v>2969.7</v>
      </c>
    </row>
    <row r="90" spans="1:10" x14ac:dyDescent="0.3">
      <c r="A90" s="1" t="s">
        <v>5663</v>
      </c>
      <c r="B90" s="1" t="s">
        <v>5724</v>
      </c>
      <c r="C90" s="1">
        <v>3201000537</v>
      </c>
      <c r="D90" s="1">
        <v>576244291</v>
      </c>
      <c r="E90" s="1" t="s">
        <v>5758</v>
      </c>
      <c r="F90" s="2">
        <v>123990</v>
      </c>
      <c r="G90" s="3">
        <v>0.02</v>
      </c>
      <c r="H90" s="3">
        <v>0.03</v>
      </c>
      <c r="I90" s="2">
        <f t="shared" si="2"/>
        <v>2479.8000000000002</v>
      </c>
      <c r="J90" s="2">
        <f t="shared" si="3"/>
        <v>3719.7</v>
      </c>
    </row>
    <row r="91" spans="1:10" x14ac:dyDescent="0.3">
      <c r="A91" s="1" t="s">
        <v>5662</v>
      </c>
      <c r="B91" s="1" t="s">
        <v>5662</v>
      </c>
      <c r="C91" s="1">
        <v>3201002729</v>
      </c>
      <c r="D91" s="1">
        <v>1889586032</v>
      </c>
      <c r="E91" s="1" t="s">
        <v>5759</v>
      </c>
      <c r="F91" s="2">
        <v>107990</v>
      </c>
      <c r="G91" s="3">
        <v>0.02</v>
      </c>
      <c r="H91" s="3">
        <v>0.03</v>
      </c>
      <c r="I91" s="2">
        <f t="shared" si="2"/>
        <v>2159.8000000000002</v>
      </c>
      <c r="J91" s="2">
        <f t="shared" si="3"/>
        <v>3239.7</v>
      </c>
    </row>
    <row r="92" spans="1:10" x14ac:dyDescent="0.3">
      <c r="A92" s="1" t="s">
        <v>5662</v>
      </c>
      <c r="B92" s="1" t="s">
        <v>5662</v>
      </c>
      <c r="C92" s="1">
        <v>3201002730</v>
      </c>
      <c r="D92" s="1">
        <v>1889646030</v>
      </c>
      <c r="E92" s="1" t="s">
        <v>5760</v>
      </c>
      <c r="F92" s="2">
        <v>83990</v>
      </c>
      <c r="G92" s="3">
        <v>0.02</v>
      </c>
      <c r="H92" s="3">
        <v>0.03</v>
      </c>
      <c r="I92" s="2">
        <f t="shared" si="2"/>
        <v>1679.8</v>
      </c>
      <c r="J92" s="2">
        <f t="shared" si="3"/>
        <v>2519.6999999999998</v>
      </c>
    </row>
    <row r="93" spans="1:10" x14ac:dyDescent="0.3">
      <c r="A93" s="1" t="s">
        <v>5666</v>
      </c>
      <c r="B93" s="1" t="s">
        <v>5666</v>
      </c>
      <c r="C93" s="1">
        <v>3200001445</v>
      </c>
      <c r="D93" s="1">
        <v>415470711</v>
      </c>
      <c r="E93" s="1" t="s">
        <v>5761</v>
      </c>
      <c r="F93" s="2">
        <v>103990</v>
      </c>
      <c r="G93" s="3">
        <v>0.02</v>
      </c>
      <c r="H93" s="3">
        <v>0.03</v>
      </c>
      <c r="I93" s="2">
        <f t="shared" si="2"/>
        <v>2079.8000000000002</v>
      </c>
      <c r="J93" s="2">
        <f t="shared" si="3"/>
        <v>3119.7</v>
      </c>
    </row>
    <row r="94" spans="1:10" x14ac:dyDescent="0.3">
      <c r="A94" s="1" t="s">
        <v>5666</v>
      </c>
      <c r="B94" s="1" t="s">
        <v>5666</v>
      </c>
      <c r="C94" s="1">
        <v>3200000492</v>
      </c>
      <c r="D94" s="1">
        <v>414090711</v>
      </c>
      <c r="E94" s="1" t="s">
        <v>5762</v>
      </c>
      <c r="F94" s="2">
        <v>77990</v>
      </c>
      <c r="G94" s="3">
        <v>0.02</v>
      </c>
      <c r="H94" s="3">
        <v>0.03</v>
      </c>
      <c r="I94" s="2">
        <f t="shared" si="2"/>
        <v>1559.8</v>
      </c>
      <c r="J94" s="2">
        <f t="shared" si="3"/>
        <v>2339.6999999999998</v>
      </c>
    </row>
    <row r="95" spans="1:10" x14ac:dyDescent="0.3">
      <c r="A95" s="1" t="s">
        <v>5663</v>
      </c>
      <c r="B95" s="1" t="s">
        <v>5724</v>
      </c>
      <c r="C95" s="1">
        <v>3201000337</v>
      </c>
      <c r="D95" s="1">
        <v>575284021</v>
      </c>
      <c r="E95" s="1" t="s">
        <v>5763</v>
      </c>
      <c r="F95" s="2">
        <v>88990</v>
      </c>
      <c r="G95" s="3">
        <v>0.02</v>
      </c>
      <c r="H95" s="3">
        <v>0.03</v>
      </c>
      <c r="I95" s="2">
        <f t="shared" si="2"/>
        <v>1779.8</v>
      </c>
      <c r="J95" s="2">
        <f t="shared" si="3"/>
        <v>2669.7</v>
      </c>
    </row>
    <row r="96" spans="1:10" x14ac:dyDescent="0.3">
      <c r="A96" s="1" t="s">
        <v>5736</v>
      </c>
      <c r="B96" s="1" t="s">
        <v>5736</v>
      </c>
      <c r="C96" s="1">
        <v>3201000290</v>
      </c>
      <c r="D96" s="1">
        <v>630796030</v>
      </c>
      <c r="E96" s="1" t="s">
        <v>5764</v>
      </c>
      <c r="F96" s="2">
        <v>95990</v>
      </c>
      <c r="G96" s="3">
        <v>0.02</v>
      </c>
      <c r="H96" s="3">
        <v>0.03</v>
      </c>
      <c r="I96" s="2">
        <f t="shared" si="2"/>
        <v>1919.8</v>
      </c>
      <c r="J96" s="2">
        <f t="shared" si="3"/>
        <v>2879.7</v>
      </c>
    </row>
    <row r="97" spans="1:10" x14ac:dyDescent="0.3">
      <c r="A97" s="1" t="s">
        <v>5731</v>
      </c>
      <c r="B97" s="1" t="s">
        <v>5732</v>
      </c>
      <c r="C97" s="1">
        <v>3201000820</v>
      </c>
      <c r="D97" s="1">
        <v>654249999</v>
      </c>
      <c r="E97" s="1" t="s">
        <v>5765</v>
      </c>
      <c r="F97" s="2">
        <v>88990</v>
      </c>
      <c r="G97" s="3">
        <v>0.02</v>
      </c>
      <c r="H97" s="3">
        <v>0.03</v>
      </c>
      <c r="I97" s="2">
        <f t="shared" si="2"/>
        <v>1779.8</v>
      </c>
      <c r="J97" s="2">
        <f t="shared" si="3"/>
        <v>2669.7</v>
      </c>
    </row>
    <row r="98" spans="1:10" x14ac:dyDescent="0.3">
      <c r="A98" s="1" t="s">
        <v>5662</v>
      </c>
      <c r="B98" s="1" t="s">
        <v>5662</v>
      </c>
      <c r="C98" s="1">
        <v>3201000249</v>
      </c>
      <c r="D98" s="1">
        <v>1895486032</v>
      </c>
      <c r="E98" s="1" t="s">
        <v>5766</v>
      </c>
      <c r="F98" s="2">
        <v>117990</v>
      </c>
      <c r="G98" s="3">
        <v>0.02</v>
      </c>
      <c r="H98" s="3">
        <v>0.03</v>
      </c>
      <c r="I98" s="2">
        <f t="shared" si="2"/>
        <v>2359.8000000000002</v>
      </c>
      <c r="J98" s="2">
        <f t="shared" si="3"/>
        <v>3539.7</v>
      </c>
    </row>
    <row r="99" spans="1:10" x14ac:dyDescent="0.3">
      <c r="A99" s="1" t="s">
        <v>5666</v>
      </c>
      <c r="B99" s="1" t="s">
        <v>5666</v>
      </c>
      <c r="C99" s="1">
        <v>3200001154</v>
      </c>
      <c r="D99" s="1">
        <v>416500711</v>
      </c>
      <c r="E99" s="1" t="s">
        <v>5767</v>
      </c>
      <c r="F99" s="2">
        <v>72990</v>
      </c>
      <c r="G99" s="3">
        <v>0.02</v>
      </c>
      <c r="H99" s="3">
        <v>0.03</v>
      </c>
      <c r="I99" s="2">
        <f t="shared" si="2"/>
        <v>1459.8</v>
      </c>
      <c r="J99" s="2">
        <f t="shared" si="3"/>
        <v>2189.6999999999998</v>
      </c>
    </row>
    <row r="100" spans="1:10" x14ac:dyDescent="0.3">
      <c r="A100" s="1" t="s">
        <v>5662</v>
      </c>
      <c r="B100" s="1" t="s">
        <v>5662</v>
      </c>
      <c r="C100" s="1">
        <v>3201005833</v>
      </c>
      <c r="D100" s="1">
        <v>1896076032</v>
      </c>
      <c r="E100" s="1" t="s">
        <v>5768</v>
      </c>
      <c r="F100" s="2">
        <v>95990</v>
      </c>
      <c r="G100" s="3">
        <v>0.02</v>
      </c>
      <c r="H100" s="3">
        <v>0.03</v>
      </c>
      <c r="I100" s="2">
        <f t="shared" si="2"/>
        <v>1919.8</v>
      </c>
      <c r="J100" s="2">
        <f t="shared" si="3"/>
        <v>2879.7</v>
      </c>
    </row>
    <row r="101" spans="1:10" x14ac:dyDescent="0.3">
      <c r="A101" s="1" t="s">
        <v>5662</v>
      </c>
      <c r="B101" s="1" t="s">
        <v>5662</v>
      </c>
      <c r="C101" s="1">
        <v>3201000225</v>
      </c>
      <c r="D101" s="1">
        <v>1880316032</v>
      </c>
      <c r="E101" s="1" t="s">
        <v>5769</v>
      </c>
      <c r="F101" s="2">
        <v>94990</v>
      </c>
      <c r="G101" s="3">
        <v>0.02</v>
      </c>
      <c r="H101" s="3">
        <v>0.03</v>
      </c>
      <c r="I101" s="2">
        <f t="shared" si="2"/>
        <v>1899.8</v>
      </c>
      <c r="J101" s="2">
        <f t="shared" si="3"/>
        <v>2849.7</v>
      </c>
    </row>
    <row r="102" spans="1:10" x14ac:dyDescent="0.3">
      <c r="A102" s="1" t="s">
        <v>5663</v>
      </c>
      <c r="B102" s="1" t="s">
        <v>5724</v>
      </c>
      <c r="C102" s="1">
        <v>3201000336</v>
      </c>
      <c r="D102" s="1">
        <v>575244021</v>
      </c>
      <c r="E102" s="1" t="s">
        <v>5770</v>
      </c>
      <c r="F102" s="2">
        <v>77990</v>
      </c>
      <c r="G102" s="3">
        <v>0.02</v>
      </c>
      <c r="H102" s="3">
        <v>0.03</v>
      </c>
      <c r="I102" s="2">
        <f t="shared" si="2"/>
        <v>1559.8</v>
      </c>
      <c r="J102" s="2">
        <f t="shared" si="3"/>
        <v>2339.6999999999998</v>
      </c>
    </row>
    <row r="103" spans="1:10" x14ac:dyDescent="0.3">
      <c r="A103" s="1" t="s">
        <v>5666</v>
      </c>
      <c r="B103" s="1" t="s">
        <v>5666</v>
      </c>
      <c r="C103" s="1">
        <v>3200001949</v>
      </c>
      <c r="D103" s="1">
        <v>416700711</v>
      </c>
      <c r="E103" s="1" t="s">
        <v>5771</v>
      </c>
      <c r="F103" s="2">
        <v>82990</v>
      </c>
      <c r="G103" s="3">
        <v>0.02</v>
      </c>
      <c r="H103" s="3">
        <v>0.03</v>
      </c>
      <c r="I103" s="2">
        <f t="shared" si="2"/>
        <v>1659.8</v>
      </c>
      <c r="J103" s="2">
        <f t="shared" si="3"/>
        <v>2489.6999999999998</v>
      </c>
    </row>
    <row r="104" spans="1:10" x14ac:dyDescent="0.3">
      <c r="A104" s="1" t="s">
        <v>5666</v>
      </c>
      <c r="B104" s="1" t="s">
        <v>5666</v>
      </c>
      <c r="C104" s="1">
        <v>3200000623</v>
      </c>
      <c r="D104" s="1">
        <v>416560711</v>
      </c>
      <c r="E104" s="1" t="s">
        <v>5772</v>
      </c>
      <c r="F104" s="2">
        <v>56990</v>
      </c>
      <c r="G104" s="3">
        <v>0.02</v>
      </c>
      <c r="H104" s="3">
        <v>0.03</v>
      </c>
      <c r="I104" s="2">
        <f t="shared" si="2"/>
        <v>1139.8</v>
      </c>
      <c r="J104" s="2">
        <f t="shared" si="3"/>
        <v>1709.7</v>
      </c>
    </row>
    <row r="105" spans="1:10" x14ac:dyDescent="0.3">
      <c r="A105" s="1" t="s">
        <v>5662</v>
      </c>
      <c r="B105" s="1" t="s">
        <v>5662</v>
      </c>
      <c r="C105" s="1">
        <v>3201000239</v>
      </c>
      <c r="D105" s="1">
        <v>1889466032</v>
      </c>
      <c r="E105" s="1" t="s">
        <v>5773</v>
      </c>
      <c r="F105" s="2">
        <v>79990</v>
      </c>
      <c r="G105" s="3">
        <v>0.02</v>
      </c>
      <c r="H105" s="3">
        <v>0.03</v>
      </c>
      <c r="I105" s="2">
        <f t="shared" si="2"/>
        <v>1599.8</v>
      </c>
      <c r="J105" s="2">
        <f t="shared" si="3"/>
        <v>2399.6999999999998</v>
      </c>
    </row>
    <row r="106" spans="1:10" x14ac:dyDescent="0.3">
      <c r="A106" s="1" t="s">
        <v>5662</v>
      </c>
      <c r="B106" s="1" t="s">
        <v>5662</v>
      </c>
      <c r="C106" s="1">
        <v>3201002766</v>
      </c>
      <c r="D106" s="1">
        <v>1895206032</v>
      </c>
      <c r="E106" s="1" t="s">
        <v>5774</v>
      </c>
      <c r="F106" s="2">
        <v>83990</v>
      </c>
      <c r="G106" s="3">
        <v>0.02</v>
      </c>
      <c r="H106" s="3">
        <v>0.03</v>
      </c>
      <c r="I106" s="2">
        <f t="shared" si="2"/>
        <v>1679.8</v>
      </c>
      <c r="J106" s="2">
        <f t="shared" si="3"/>
        <v>2519.6999999999998</v>
      </c>
    </row>
    <row r="107" spans="1:10" x14ac:dyDescent="0.3">
      <c r="A107" s="1" t="s">
        <v>5662</v>
      </c>
      <c r="B107" s="1" t="s">
        <v>5662</v>
      </c>
      <c r="C107" s="1">
        <v>3201000253</v>
      </c>
      <c r="D107" s="1">
        <v>1895896032</v>
      </c>
      <c r="E107" s="1" t="s">
        <v>5775</v>
      </c>
      <c r="F107" s="2">
        <v>83990</v>
      </c>
      <c r="G107" s="3">
        <v>0.02</v>
      </c>
      <c r="H107" s="3">
        <v>0.03</v>
      </c>
      <c r="I107" s="2">
        <f t="shared" si="2"/>
        <v>1679.8</v>
      </c>
      <c r="J107" s="2">
        <f t="shared" si="3"/>
        <v>2519.6999999999998</v>
      </c>
    </row>
    <row r="108" spans="1:10" x14ac:dyDescent="0.3">
      <c r="A108" s="1" t="s">
        <v>5663</v>
      </c>
      <c r="B108" s="1" t="s">
        <v>5724</v>
      </c>
      <c r="C108" s="1">
        <v>3201000515</v>
      </c>
      <c r="D108" s="1">
        <v>570044291</v>
      </c>
      <c r="E108" s="1" t="s">
        <v>5776</v>
      </c>
      <c r="F108" s="2">
        <v>56990</v>
      </c>
      <c r="G108" s="3">
        <v>0.02</v>
      </c>
      <c r="H108" s="3">
        <v>0.03</v>
      </c>
      <c r="I108" s="2">
        <f t="shared" si="2"/>
        <v>1139.8</v>
      </c>
      <c r="J108" s="2">
        <f t="shared" si="3"/>
        <v>1709.7</v>
      </c>
    </row>
    <row r="109" spans="1:10" x14ac:dyDescent="0.3">
      <c r="A109" s="1" t="s">
        <v>5736</v>
      </c>
      <c r="B109" s="1" t="s">
        <v>5736</v>
      </c>
      <c r="C109" s="1">
        <v>3201017953</v>
      </c>
      <c r="D109" s="1">
        <v>651646030</v>
      </c>
      <c r="E109" s="1" t="s">
        <v>5777</v>
      </c>
      <c r="F109" s="2">
        <v>62990</v>
      </c>
      <c r="G109" s="3">
        <v>0.02</v>
      </c>
      <c r="H109" s="3">
        <v>0.03</v>
      </c>
      <c r="I109" s="2">
        <f t="shared" si="2"/>
        <v>1259.8</v>
      </c>
      <c r="J109" s="2">
        <f t="shared" si="3"/>
        <v>1889.6999999999998</v>
      </c>
    </row>
    <row r="110" spans="1:10" x14ac:dyDescent="0.3">
      <c r="A110" s="1" t="s">
        <v>5662</v>
      </c>
      <c r="B110" s="1" t="s">
        <v>5662</v>
      </c>
      <c r="C110" s="1">
        <v>3201002781</v>
      </c>
      <c r="D110" s="1">
        <v>1895936032</v>
      </c>
      <c r="E110" s="1" t="s">
        <v>5778</v>
      </c>
      <c r="F110" s="2">
        <v>92990</v>
      </c>
      <c r="G110" s="3">
        <v>0.02</v>
      </c>
      <c r="H110" s="3">
        <v>0.03</v>
      </c>
      <c r="I110" s="2">
        <f t="shared" si="2"/>
        <v>1859.8</v>
      </c>
      <c r="J110" s="2">
        <f t="shared" si="3"/>
        <v>2789.7</v>
      </c>
    </row>
    <row r="111" spans="1:10" x14ac:dyDescent="0.3">
      <c r="A111" s="1" t="s">
        <v>5662</v>
      </c>
      <c r="B111" s="1" t="s">
        <v>5662</v>
      </c>
      <c r="C111" s="1">
        <v>3201010611</v>
      </c>
      <c r="D111" s="1">
        <v>1879984500</v>
      </c>
      <c r="E111" s="1" t="s">
        <v>5779</v>
      </c>
      <c r="F111" s="2">
        <v>79990</v>
      </c>
      <c r="G111" s="3">
        <v>0.02</v>
      </c>
      <c r="H111" s="3">
        <v>0.03</v>
      </c>
      <c r="I111" s="2">
        <f t="shared" si="2"/>
        <v>1599.8</v>
      </c>
      <c r="J111" s="2">
        <f t="shared" si="3"/>
        <v>2399.6999999999998</v>
      </c>
    </row>
    <row r="112" spans="1:10" x14ac:dyDescent="0.3">
      <c r="A112" s="1" t="s">
        <v>5736</v>
      </c>
      <c r="B112" s="1" t="s">
        <v>5736</v>
      </c>
      <c r="C112" s="1">
        <v>3201000193</v>
      </c>
      <c r="D112" s="1">
        <v>618046040</v>
      </c>
      <c r="E112" s="1" t="s">
        <v>5780</v>
      </c>
      <c r="F112" s="2">
        <v>95990</v>
      </c>
      <c r="G112" s="3">
        <v>0.02</v>
      </c>
      <c r="H112" s="3">
        <v>0.03</v>
      </c>
      <c r="I112" s="2">
        <f t="shared" si="2"/>
        <v>1919.8</v>
      </c>
      <c r="J112" s="2">
        <f t="shared" si="3"/>
        <v>2879.7</v>
      </c>
    </row>
    <row r="113" spans="1:10" x14ac:dyDescent="0.3">
      <c r="A113" s="1" t="s">
        <v>5736</v>
      </c>
      <c r="B113" s="1" t="s">
        <v>5736</v>
      </c>
      <c r="C113" s="1">
        <v>3201000669</v>
      </c>
      <c r="D113" s="1">
        <v>683969990</v>
      </c>
      <c r="E113" s="1" t="s">
        <v>5781</v>
      </c>
      <c r="F113" s="2">
        <v>53990</v>
      </c>
      <c r="G113" s="3">
        <v>0.02</v>
      </c>
      <c r="H113" s="3">
        <v>0.03</v>
      </c>
      <c r="I113" s="2">
        <f t="shared" si="2"/>
        <v>1079.8</v>
      </c>
      <c r="J113" s="2">
        <f t="shared" si="3"/>
        <v>1619.7</v>
      </c>
    </row>
    <row r="114" spans="1:10" x14ac:dyDescent="0.3">
      <c r="A114" s="1" t="s">
        <v>5736</v>
      </c>
      <c r="B114" s="1" t="s">
        <v>5736</v>
      </c>
      <c r="C114" s="1">
        <v>3201000293</v>
      </c>
      <c r="D114" s="1">
        <v>632456040</v>
      </c>
      <c r="E114" s="1" t="s">
        <v>5782</v>
      </c>
      <c r="F114" s="2">
        <v>65990</v>
      </c>
      <c r="G114" s="3">
        <v>0.02</v>
      </c>
      <c r="H114" s="3">
        <v>0.03</v>
      </c>
      <c r="I114" s="2">
        <f t="shared" si="2"/>
        <v>1319.8</v>
      </c>
      <c r="J114" s="2">
        <f t="shared" si="3"/>
        <v>1979.6999999999998</v>
      </c>
    </row>
    <row r="115" spans="1:10" x14ac:dyDescent="0.3">
      <c r="A115" s="1" t="s">
        <v>5736</v>
      </c>
      <c r="B115" s="1" t="s">
        <v>5736</v>
      </c>
      <c r="C115" s="1">
        <v>3201000222</v>
      </c>
      <c r="D115" s="1">
        <v>947712000</v>
      </c>
      <c r="E115" s="1" t="s">
        <v>5783</v>
      </c>
      <c r="F115" s="2">
        <v>72990</v>
      </c>
      <c r="G115" s="3">
        <v>0.02</v>
      </c>
      <c r="H115" s="3">
        <v>0.03</v>
      </c>
      <c r="I115" s="2">
        <f t="shared" si="2"/>
        <v>1459.8</v>
      </c>
      <c r="J115" s="2">
        <f t="shared" si="3"/>
        <v>2189.6999999999998</v>
      </c>
    </row>
    <row r="116" spans="1:10" x14ac:dyDescent="0.3">
      <c r="A116" s="1" t="s">
        <v>5731</v>
      </c>
      <c r="B116" s="1" t="s">
        <v>5732</v>
      </c>
      <c r="C116" s="1">
        <v>3201000872</v>
      </c>
      <c r="D116" s="1">
        <v>667346030</v>
      </c>
      <c r="E116" s="1" t="s">
        <v>5784</v>
      </c>
      <c r="F116" s="2">
        <v>67990</v>
      </c>
      <c r="G116" s="3">
        <v>0.02</v>
      </c>
      <c r="H116" s="3">
        <v>0.03</v>
      </c>
      <c r="I116" s="2">
        <f t="shared" si="2"/>
        <v>1359.8</v>
      </c>
      <c r="J116" s="2">
        <f t="shared" si="3"/>
        <v>2039.6999999999998</v>
      </c>
    </row>
    <row r="117" spans="1:10" x14ac:dyDescent="0.3">
      <c r="A117" s="1" t="s">
        <v>5676</v>
      </c>
      <c r="B117" s="1" t="s">
        <v>5677</v>
      </c>
      <c r="C117" s="1">
        <v>3201019442</v>
      </c>
      <c r="D117" s="1">
        <v>1295036040</v>
      </c>
      <c r="E117" s="1" t="s">
        <v>5785</v>
      </c>
      <c r="F117" s="2">
        <v>71990</v>
      </c>
      <c r="G117" s="3">
        <v>0.02</v>
      </c>
      <c r="H117" s="3">
        <v>0.03</v>
      </c>
      <c r="I117" s="2">
        <f t="shared" si="2"/>
        <v>1439.8</v>
      </c>
      <c r="J117" s="2">
        <f t="shared" si="3"/>
        <v>2159.6999999999998</v>
      </c>
    </row>
    <row r="118" spans="1:10" x14ac:dyDescent="0.3">
      <c r="A118" s="1" t="s">
        <v>5662</v>
      </c>
      <c r="B118" s="1" t="s">
        <v>5662</v>
      </c>
      <c r="C118" s="1">
        <v>3201000255</v>
      </c>
      <c r="D118" s="1">
        <v>1895966032</v>
      </c>
      <c r="E118" s="1" t="s">
        <v>5786</v>
      </c>
      <c r="F118" s="2">
        <v>79990</v>
      </c>
      <c r="G118" s="3">
        <v>0.02</v>
      </c>
      <c r="H118" s="3">
        <v>0.03</v>
      </c>
      <c r="I118" s="2">
        <f t="shared" si="2"/>
        <v>1599.8</v>
      </c>
      <c r="J118" s="2">
        <f t="shared" si="3"/>
        <v>2399.6999999999998</v>
      </c>
    </row>
    <row r="119" spans="1:10" x14ac:dyDescent="0.3">
      <c r="A119" s="1" t="s">
        <v>5736</v>
      </c>
      <c r="B119" s="1" t="s">
        <v>5736</v>
      </c>
      <c r="C119" s="1">
        <v>3201006231</v>
      </c>
      <c r="D119" s="1">
        <v>651016030</v>
      </c>
      <c r="E119" s="1" t="s">
        <v>5787</v>
      </c>
      <c r="F119" s="2">
        <v>48990</v>
      </c>
      <c r="G119" s="3">
        <v>0.02</v>
      </c>
      <c r="H119" s="3">
        <v>0.03</v>
      </c>
      <c r="I119" s="2">
        <f t="shared" si="2"/>
        <v>979.80000000000007</v>
      </c>
      <c r="J119" s="2">
        <f t="shared" si="3"/>
        <v>1469.7</v>
      </c>
    </row>
    <row r="120" spans="1:10" x14ac:dyDescent="0.3">
      <c r="A120" s="1" t="s">
        <v>5666</v>
      </c>
      <c r="B120" s="1" t="s">
        <v>5666</v>
      </c>
      <c r="C120" s="1">
        <v>3200000456</v>
      </c>
      <c r="D120" s="1">
        <v>415020711</v>
      </c>
      <c r="E120" s="1" t="s">
        <v>5788</v>
      </c>
      <c r="F120" s="2">
        <v>51990</v>
      </c>
      <c r="G120" s="3">
        <v>0.02</v>
      </c>
      <c r="H120" s="3">
        <v>0.03</v>
      </c>
      <c r="I120" s="2">
        <f t="shared" si="2"/>
        <v>1039.8</v>
      </c>
      <c r="J120" s="2">
        <f t="shared" si="3"/>
        <v>1559.7</v>
      </c>
    </row>
    <row r="121" spans="1:10" x14ac:dyDescent="0.3">
      <c r="A121" s="1" t="s">
        <v>5731</v>
      </c>
      <c r="B121" s="1" t="s">
        <v>5732</v>
      </c>
      <c r="C121" s="1">
        <v>3201000884</v>
      </c>
      <c r="D121" s="1">
        <v>686076040</v>
      </c>
      <c r="E121" s="1" t="s">
        <v>5789</v>
      </c>
      <c r="F121" s="2">
        <v>56990</v>
      </c>
      <c r="G121" s="3">
        <v>0.02</v>
      </c>
      <c r="H121" s="3">
        <v>0.03</v>
      </c>
      <c r="I121" s="2">
        <f t="shared" si="2"/>
        <v>1139.8</v>
      </c>
      <c r="J121" s="2">
        <f t="shared" si="3"/>
        <v>1709.7</v>
      </c>
    </row>
    <row r="122" spans="1:10" x14ac:dyDescent="0.3">
      <c r="A122" s="1" t="s">
        <v>5790</v>
      </c>
      <c r="B122" s="1" t="s">
        <v>5677</v>
      </c>
      <c r="C122" s="1">
        <v>3201002488</v>
      </c>
      <c r="D122" s="1">
        <v>1286019964</v>
      </c>
      <c r="E122" s="1" t="s">
        <v>5791</v>
      </c>
      <c r="F122" s="2">
        <v>51990</v>
      </c>
      <c r="G122" s="3">
        <v>0.02</v>
      </c>
      <c r="H122" s="3">
        <v>0.03</v>
      </c>
      <c r="I122" s="2">
        <f t="shared" si="2"/>
        <v>1039.8</v>
      </c>
      <c r="J122" s="2">
        <f t="shared" si="3"/>
        <v>1559.7</v>
      </c>
    </row>
    <row r="123" spans="1:10" x14ac:dyDescent="0.3">
      <c r="A123" s="1" t="s">
        <v>5731</v>
      </c>
      <c r="B123" s="1" t="s">
        <v>5732</v>
      </c>
      <c r="C123" s="1">
        <v>3201000121</v>
      </c>
      <c r="D123" s="1">
        <v>645709990</v>
      </c>
      <c r="E123" s="1" t="s">
        <v>5792</v>
      </c>
      <c r="F123" s="2">
        <v>61990</v>
      </c>
      <c r="G123" s="3">
        <v>0.02</v>
      </c>
      <c r="H123" s="3">
        <v>0.03</v>
      </c>
      <c r="I123" s="2">
        <f t="shared" si="2"/>
        <v>1239.8</v>
      </c>
      <c r="J123" s="2">
        <f t="shared" si="3"/>
        <v>1859.6999999999998</v>
      </c>
    </row>
    <row r="124" spans="1:10" x14ac:dyDescent="0.3">
      <c r="A124" s="1" t="s">
        <v>5790</v>
      </c>
      <c r="B124" s="1" t="s">
        <v>5677</v>
      </c>
      <c r="C124" s="1">
        <v>3201000260</v>
      </c>
      <c r="D124" s="1">
        <v>1282409964</v>
      </c>
      <c r="E124" s="1" t="s">
        <v>5793</v>
      </c>
      <c r="F124" s="2">
        <v>51990</v>
      </c>
      <c r="G124" s="3">
        <v>0.02</v>
      </c>
      <c r="H124" s="3">
        <v>0.03</v>
      </c>
      <c r="I124" s="2">
        <f t="shared" si="2"/>
        <v>1039.8</v>
      </c>
      <c r="J124" s="2">
        <f t="shared" si="3"/>
        <v>1559.7</v>
      </c>
    </row>
    <row r="125" spans="1:10" x14ac:dyDescent="0.3">
      <c r="A125" s="1" t="s">
        <v>5736</v>
      </c>
      <c r="B125" s="1" t="s">
        <v>5736</v>
      </c>
      <c r="C125" s="1">
        <v>3201000581</v>
      </c>
      <c r="D125" s="1">
        <v>617709994</v>
      </c>
      <c r="E125" s="1" t="s">
        <v>5794</v>
      </c>
      <c r="F125" s="2">
        <v>67990</v>
      </c>
      <c r="G125" s="3">
        <v>0.02</v>
      </c>
      <c r="H125" s="3">
        <v>0.03</v>
      </c>
      <c r="I125" s="2">
        <f t="shared" si="2"/>
        <v>1359.8</v>
      </c>
      <c r="J125" s="2">
        <f t="shared" si="3"/>
        <v>2039.6999999999998</v>
      </c>
    </row>
    <row r="126" spans="1:10" x14ac:dyDescent="0.3">
      <c r="A126" s="1" t="s">
        <v>5790</v>
      </c>
      <c r="B126" s="1" t="s">
        <v>5677</v>
      </c>
      <c r="C126" s="1">
        <v>3201000264</v>
      </c>
      <c r="D126" s="1">
        <v>1286009964</v>
      </c>
      <c r="E126" s="1" t="s">
        <v>5795</v>
      </c>
      <c r="F126" s="2">
        <v>46990</v>
      </c>
      <c r="G126" s="3">
        <v>0.02</v>
      </c>
      <c r="H126" s="3">
        <v>0.03</v>
      </c>
      <c r="I126" s="2">
        <f t="shared" si="2"/>
        <v>939.80000000000007</v>
      </c>
      <c r="J126" s="2">
        <f t="shared" si="3"/>
        <v>1409.7</v>
      </c>
    </row>
    <row r="127" spans="1:10" x14ac:dyDescent="0.3">
      <c r="A127" s="1" t="s">
        <v>5790</v>
      </c>
      <c r="B127" s="1" t="s">
        <v>5677</v>
      </c>
      <c r="C127" s="1">
        <v>3201002443</v>
      </c>
      <c r="D127" s="1">
        <v>1282959964</v>
      </c>
      <c r="E127" s="1" t="s">
        <v>5796</v>
      </c>
      <c r="F127" s="2">
        <v>56990</v>
      </c>
      <c r="G127" s="3">
        <v>0.02</v>
      </c>
      <c r="H127" s="3">
        <v>0.03</v>
      </c>
      <c r="I127" s="2">
        <f t="shared" si="2"/>
        <v>1139.8</v>
      </c>
      <c r="J127" s="2">
        <f t="shared" si="3"/>
        <v>1709.7</v>
      </c>
    </row>
    <row r="128" spans="1:10" x14ac:dyDescent="0.3">
      <c r="A128" s="1" t="s">
        <v>5790</v>
      </c>
      <c r="B128" s="1" t="s">
        <v>5677</v>
      </c>
      <c r="C128" s="1">
        <v>3201010289</v>
      </c>
      <c r="D128" s="1">
        <v>1286079964</v>
      </c>
      <c r="E128" s="1" t="s">
        <v>5797</v>
      </c>
      <c r="F128" s="2">
        <v>62990</v>
      </c>
      <c r="G128" s="3">
        <v>0.02</v>
      </c>
      <c r="H128" s="3">
        <v>0.03</v>
      </c>
      <c r="I128" s="2">
        <f t="shared" si="2"/>
        <v>1259.8</v>
      </c>
      <c r="J128" s="2">
        <f t="shared" si="3"/>
        <v>1889.6999999999998</v>
      </c>
    </row>
    <row r="129" spans="1:10" x14ac:dyDescent="0.3">
      <c r="A129" s="1" t="s">
        <v>5736</v>
      </c>
      <c r="B129" s="1" t="s">
        <v>5736</v>
      </c>
      <c r="C129" s="1">
        <v>3201000660</v>
      </c>
      <c r="D129" s="1">
        <v>658277920</v>
      </c>
      <c r="E129" s="1" t="s">
        <v>5798</v>
      </c>
      <c r="F129" s="2">
        <v>57990</v>
      </c>
      <c r="G129" s="3">
        <v>0.02</v>
      </c>
      <c r="H129" s="3">
        <v>0.03</v>
      </c>
      <c r="I129" s="2">
        <f t="shared" si="2"/>
        <v>1159.8</v>
      </c>
      <c r="J129" s="2">
        <f t="shared" si="3"/>
        <v>1739.7</v>
      </c>
    </row>
    <row r="130" spans="1:10" x14ac:dyDescent="0.3">
      <c r="A130" s="1" t="s">
        <v>5790</v>
      </c>
      <c r="B130" s="1" t="s">
        <v>5677</v>
      </c>
      <c r="C130" s="1">
        <v>3201000262</v>
      </c>
      <c r="D130" s="1">
        <v>1283309964</v>
      </c>
      <c r="E130" s="1" t="s">
        <v>5799</v>
      </c>
      <c r="F130" s="2">
        <v>51990</v>
      </c>
      <c r="G130" s="3">
        <v>0.02</v>
      </c>
      <c r="H130" s="3">
        <v>0.03</v>
      </c>
      <c r="I130" s="2">
        <f t="shared" si="2"/>
        <v>1039.8</v>
      </c>
      <c r="J130" s="2">
        <f t="shared" si="3"/>
        <v>1559.7</v>
      </c>
    </row>
    <row r="131" spans="1:10" x14ac:dyDescent="0.3">
      <c r="A131" s="1" t="s">
        <v>5790</v>
      </c>
      <c r="B131" s="1" t="s">
        <v>5677</v>
      </c>
      <c r="C131" s="1">
        <v>3201005807</v>
      </c>
      <c r="D131" s="1">
        <v>1286059964</v>
      </c>
      <c r="E131" s="1" t="s">
        <v>5800</v>
      </c>
      <c r="F131" s="2">
        <v>67990</v>
      </c>
      <c r="G131" s="3">
        <v>0.02</v>
      </c>
      <c r="H131" s="3">
        <v>0.03</v>
      </c>
      <c r="I131" s="2">
        <f t="shared" si="2"/>
        <v>1359.8</v>
      </c>
      <c r="J131" s="2">
        <f t="shared" si="3"/>
        <v>2039.6999999999998</v>
      </c>
    </row>
    <row r="132" spans="1:10" x14ac:dyDescent="0.3">
      <c r="A132" s="1" t="s">
        <v>5790</v>
      </c>
      <c r="B132" s="1" t="s">
        <v>5677</v>
      </c>
      <c r="C132" s="1">
        <v>3201005805</v>
      </c>
      <c r="D132" s="1">
        <v>1286049964</v>
      </c>
      <c r="E132" s="1" t="s">
        <v>5801</v>
      </c>
      <c r="F132" s="2">
        <v>51990</v>
      </c>
      <c r="G132" s="3">
        <v>0.02</v>
      </c>
      <c r="H132" s="3">
        <v>0.03</v>
      </c>
      <c r="I132" s="2">
        <f t="shared" ref="I132:I195" si="4">F132*G132</f>
        <v>1039.8</v>
      </c>
      <c r="J132" s="2">
        <f t="shared" ref="J132:J195" si="5">F132*H132</f>
        <v>1559.7</v>
      </c>
    </row>
    <row r="133" spans="1:10" x14ac:dyDescent="0.3">
      <c r="A133" s="1" t="s">
        <v>5790</v>
      </c>
      <c r="B133" s="1" t="s">
        <v>5677</v>
      </c>
      <c r="C133" s="1">
        <v>3201002559</v>
      </c>
      <c r="D133" s="1">
        <v>1294159964</v>
      </c>
      <c r="E133" s="1" t="s">
        <v>5802</v>
      </c>
      <c r="F133" s="2">
        <v>46990</v>
      </c>
      <c r="G133" s="3">
        <v>0.02</v>
      </c>
      <c r="H133" s="3">
        <v>0.03</v>
      </c>
      <c r="I133" s="2">
        <f t="shared" si="4"/>
        <v>939.80000000000007</v>
      </c>
      <c r="J133" s="2">
        <f t="shared" si="5"/>
        <v>1409.7</v>
      </c>
    </row>
    <row r="134" spans="1:10" x14ac:dyDescent="0.3">
      <c r="A134" s="1" t="s">
        <v>5662</v>
      </c>
      <c r="B134" s="1" t="s">
        <v>5662</v>
      </c>
      <c r="C134" s="1">
        <v>3201000246</v>
      </c>
      <c r="D134" s="1">
        <v>1895436032</v>
      </c>
      <c r="E134" s="1" t="s">
        <v>5803</v>
      </c>
      <c r="F134" s="2">
        <v>79990</v>
      </c>
      <c r="G134" s="3">
        <v>0.02</v>
      </c>
      <c r="H134" s="3">
        <v>0.03</v>
      </c>
      <c r="I134" s="2">
        <f t="shared" si="4"/>
        <v>1599.8</v>
      </c>
      <c r="J134" s="2">
        <f t="shared" si="5"/>
        <v>2399.6999999999998</v>
      </c>
    </row>
    <row r="135" spans="1:10" x14ac:dyDescent="0.3">
      <c r="A135" s="1" t="s">
        <v>5736</v>
      </c>
      <c r="B135" s="1" t="s">
        <v>5736</v>
      </c>
      <c r="C135" s="1">
        <v>3201000191</v>
      </c>
      <c r="D135" s="1">
        <v>617726040</v>
      </c>
      <c r="E135" s="1" t="s">
        <v>5804</v>
      </c>
      <c r="F135" s="2">
        <v>53990</v>
      </c>
      <c r="G135" s="3">
        <v>0.02</v>
      </c>
      <c r="H135" s="3">
        <v>0.03</v>
      </c>
      <c r="I135" s="2">
        <f t="shared" si="4"/>
        <v>1079.8</v>
      </c>
      <c r="J135" s="2">
        <f t="shared" si="5"/>
        <v>1619.7</v>
      </c>
    </row>
    <row r="136" spans="1:10" x14ac:dyDescent="0.3">
      <c r="A136" s="1" t="s">
        <v>5731</v>
      </c>
      <c r="B136" s="1" t="s">
        <v>5732</v>
      </c>
      <c r="C136" s="1">
        <v>3201000216</v>
      </c>
      <c r="D136" s="1">
        <v>667416040</v>
      </c>
      <c r="E136" s="1" t="s">
        <v>5805</v>
      </c>
      <c r="F136" s="2">
        <v>37990</v>
      </c>
      <c r="G136" s="3">
        <v>0.02</v>
      </c>
      <c r="H136" s="3">
        <v>0.03</v>
      </c>
      <c r="I136" s="2">
        <f t="shared" si="4"/>
        <v>759.80000000000007</v>
      </c>
      <c r="J136" s="2">
        <f t="shared" si="5"/>
        <v>1139.7</v>
      </c>
    </row>
    <row r="137" spans="1:10" x14ac:dyDescent="0.3">
      <c r="A137" s="1" t="s">
        <v>5662</v>
      </c>
      <c r="B137" s="1" t="s">
        <v>5662</v>
      </c>
      <c r="C137" s="1">
        <v>3201000254</v>
      </c>
      <c r="D137" s="1">
        <v>1895946030</v>
      </c>
      <c r="E137" s="1" t="s">
        <v>5806</v>
      </c>
      <c r="F137" s="2">
        <v>54990</v>
      </c>
      <c r="G137" s="3">
        <v>0.02</v>
      </c>
      <c r="H137" s="3">
        <v>0.03</v>
      </c>
      <c r="I137" s="2">
        <f t="shared" si="4"/>
        <v>1099.8</v>
      </c>
      <c r="J137" s="2">
        <f t="shared" si="5"/>
        <v>1649.7</v>
      </c>
    </row>
    <row r="138" spans="1:10" x14ac:dyDescent="0.3">
      <c r="A138" s="1" t="s">
        <v>5663</v>
      </c>
      <c r="B138" s="1" t="s">
        <v>5724</v>
      </c>
      <c r="C138" s="1">
        <v>3201002625</v>
      </c>
      <c r="D138" s="1">
        <v>728399902</v>
      </c>
      <c r="E138" s="1" t="s">
        <v>5807</v>
      </c>
      <c r="F138" s="2">
        <v>39990</v>
      </c>
      <c r="G138" s="3">
        <v>0.02</v>
      </c>
      <c r="H138" s="3">
        <v>0.03</v>
      </c>
      <c r="I138" s="2">
        <f t="shared" si="4"/>
        <v>799.80000000000007</v>
      </c>
      <c r="J138" s="2">
        <f t="shared" si="5"/>
        <v>1199.7</v>
      </c>
    </row>
    <row r="139" spans="1:10" x14ac:dyDescent="0.3">
      <c r="A139" s="1" t="s">
        <v>5731</v>
      </c>
      <c r="B139" s="1" t="s">
        <v>5732</v>
      </c>
      <c r="C139" s="1">
        <v>3201001653</v>
      </c>
      <c r="D139" s="1">
        <v>917642600</v>
      </c>
      <c r="E139" s="1" t="s">
        <v>5808</v>
      </c>
      <c r="F139" s="2">
        <v>41990</v>
      </c>
      <c r="G139" s="3">
        <v>0.02</v>
      </c>
      <c r="H139" s="3">
        <v>0.03</v>
      </c>
      <c r="I139" s="2">
        <f t="shared" si="4"/>
        <v>839.80000000000007</v>
      </c>
      <c r="J139" s="2">
        <f t="shared" si="5"/>
        <v>1259.7</v>
      </c>
    </row>
    <row r="140" spans="1:10" x14ac:dyDescent="0.3">
      <c r="A140" s="1" t="s">
        <v>5736</v>
      </c>
      <c r="B140" s="1" t="s">
        <v>5736</v>
      </c>
      <c r="C140" s="1">
        <v>3201005777</v>
      </c>
      <c r="D140" s="1">
        <v>651036040</v>
      </c>
      <c r="E140" s="1" t="s">
        <v>5809</v>
      </c>
      <c r="F140" s="2">
        <v>52990</v>
      </c>
      <c r="G140" s="3">
        <v>0.02</v>
      </c>
      <c r="H140" s="3">
        <v>0.03</v>
      </c>
      <c r="I140" s="2">
        <f t="shared" si="4"/>
        <v>1059.8</v>
      </c>
      <c r="J140" s="2">
        <f t="shared" si="5"/>
        <v>1589.7</v>
      </c>
    </row>
    <row r="141" spans="1:10" x14ac:dyDescent="0.3">
      <c r="A141" s="1" t="s">
        <v>5736</v>
      </c>
      <c r="B141" s="1" t="s">
        <v>5736</v>
      </c>
      <c r="C141" s="1">
        <v>3201000659</v>
      </c>
      <c r="D141" s="1">
        <v>658257920</v>
      </c>
      <c r="E141" s="1" t="s">
        <v>5810</v>
      </c>
      <c r="F141" s="2">
        <v>45990</v>
      </c>
      <c r="G141" s="3">
        <v>0.02</v>
      </c>
      <c r="H141" s="3">
        <v>0.03</v>
      </c>
      <c r="I141" s="2">
        <f t="shared" si="4"/>
        <v>919.80000000000007</v>
      </c>
      <c r="J141" s="2">
        <f t="shared" si="5"/>
        <v>1379.7</v>
      </c>
    </row>
    <row r="142" spans="1:10" x14ac:dyDescent="0.3">
      <c r="A142" s="1" t="s">
        <v>5731</v>
      </c>
      <c r="B142" s="1" t="s">
        <v>5677</v>
      </c>
      <c r="C142" s="1">
        <v>3201002511</v>
      </c>
      <c r="D142" s="1">
        <v>1291376040</v>
      </c>
      <c r="E142" s="1" t="s">
        <v>5811</v>
      </c>
      <c r="F142" s="2">
        <v>45990</v>
      </c>
      <c r="G142" s="3">
        <v>0.02</v>
      </c>
      <c r="H142" s="3">
        <v>0.03</v>
      </c>
      <c r="I142" s="2">
        <f t="shared" si="4"/>
        <v>919.80000000000007</v>
      </c>
      <c r="J142" s="2">
        <f t="shared" si="5"/>
        <v>1379.7</v>
      </c>
    </row>
    <row r="143" spans="1:10" x14ac:dyDescent="0.3">
      <c r="A143" s="1" t="s">
        <v>5663</v>
      </c>
      <c r="B143" s="1" t="s">
        <v>5724</v>
      </c>
      <c r="C143" s="1">
        <v>3201002623</v>
      </c>
      <c r="D143" s="1">
        <v>724399902</v>
      </c>
      <c r="E143" s="1" t="s">
        <v>5812</v>
      </c>
      <c r="F143" s="2">
        <v>33990</v>
      </c>
      <c r="G143" s="3">
        <v>0.02</v>
      </c>
      <c r="H143" s="3">
        <v>0.03</v>
      </c>
      <c r="I143" s="2">
        <f t="shared" si="4"/>
        <v>679.80000000000007</v>
      </c>
      <c r="J143" s="2">
        <f t="shared" si="5"/>
        <v>1019.6999999999999</v>
      </c>
    </row>
    <row r="144" spans="1:10" x14ac:dyDescent="0.3">
      <c r="A144" s="1" t="s">
        <v>5731</v>
      </c>
      <c r="B144" s="1" t="s">
        <v>5732</v>
      </c>
      <c r="C144" s="1">
        <v>3201000274</v>
      </c>
      <c r="D144" s="1">
        <v>1291716046</v>
      </c>
      <c r="E144" s="1" t="s">
        <v>5813</v>
      </c>
      <c r="F144" s="2">
        <v>31990</v>
      </c>
      <c r="G144" s="3">
        <v>0.02</v>
      </c>
      <c r="H144" s="3">
        <v>0.03</v>
      </c>
      <c r="I144" s="2">
        <f t="shared" si="4"/>
        <v>639.80000000000007</v>
      </c>
      <c r="J144" s="2">
        <f t="shared" si="5"/>
        <v>959.69999999999993</v>
      </c>
    </row>
    <row r="145" spans="1:10" x14ac:dyDescent="0.3">
      <c r="A145" s="1" t="s">
        <v>5790</v>
      </c>
      <c r="B145" s="1" t="s">
        <v>5677</v>
      </c>
      <c r="C145" s="1">
        <v>3201010818</v>
      </c>
      <c r="D145" s="1">
        <v>1286076040</v>
      </c>
      <c r="E145" s="1" t="s">
        <v>5814</v>
      </c>
      <c r="F145" s="2">
        <v>41990</v>
      </c>
      <c r="G145" s="3">
        <v>0.02</v>
      </c>
      <c r="H145" s="3">
        <v>0.03</v>
      </c>
      <c r="I145" s="2">
        <f t="shared" si="4"/>
        <v>839.80000000000007</v>
      </c>
      <c r="J145" s="2">
        <f t="shared" si="5"/>
        <v>1259.7</v>
      </c>
    </row>
    <row r="146" spans="1:10" x14ac:dyDescent="0.3">
      <c r="A146" s="1" t="s">
        <v>5790</v>
      </c>
      <c r="B146" s="1" t="s">
        <v>5677</v>
      </c>
      <c r="C146" s="1">
        <v>3201002447</v>
      </c>
      <c r="D146" s="1">
        <v>1283506040</v>
      </c>
      <c r="E146" s="1" t="s">
        <v>5815</v>
      </c>
      <c r="F146" s="2">
        <v>36990</v>
      </c>
      <c r="G146" s="3">
        <v>0.02</v>
      </c>
      <c r="H146" s="3">
        <v>0.03</v>
      </c>
      <c r="I146" s="2">
        <f t="shared" si="4"/>
        <v>739.80000000000007</v>
      </c>
      <c r="J146" s="2">
        <f t="shared" si="5"/>
        <v>1109.7</v>
      </c>
    </row>
    <row r="147" spans="1:10" x14ac:dyDescent="0.3">
      <c r="A147" s="1" t="s">
        <v>5731</v>
      </c>
      <c r="B147" s="1" t="s">
        <v>5732</v>
      </c>
      <c r="C147" s="1">
        <v>3201000931</v>
      </c>
      <c r="D147" s="1">
        <v>632576030</v>
      </c>
      <c r="E147" s="1" t="s">
        <v>5816</v>
      </c>
      <c r="F147" s="2">
        <v>39990</v>
      </c>
      <c r="G147" s="3">
        <v>0.02</v>
      </c>
      <c r="H147" s="3">
        <v>0.03</v>
      </c>
      <c r="I147" s="2">
        <f t="shared" si="4"/>
        <v>799.80000000000007</v>
      </c>
      <c r="J147" s="2">
        <f t="shared" si="5"/>
        <v>1199.7</v>
      </c>
    </row>
    <row r="148" spans="1:10" x14ac:dyDescent="0.3">
      <c r="A148" s="1" t="s">
        <v>5736</v>
      </c>
      <c r="B148" s="1" t="s">
        <v>5736</v>
      </c>
      <c r="C148" s="1">
        <v>3201000198</v>
      </c>
      <c r="D148" s="1">
        <v>640717920</v>
      </c>
      <c r="E148" s="1" t="s">
        <v>5817</v>
      </c>
      <c r="F148" s="2">
        <v>28990</v>
      </c>
      <c r="G148" s="3">
        <v>0.02</v>
      </c>
      <c r="H148" s="3">
        <v>0.03</v>
      </c>
      <c r="I148" s="2">
        <f t="shared" si="4"/>
        <v>579.80000000000007</v>
      </c>
      <c r="J148" s="2">
        <f t="shared" si="5"/>
        <v>869.69999999999993</v>
      </c>
    </row>
    <row r="149" spans="1:10" x14ac:dyDescent="0.3">
      <c r="A149" s="1" t="s">
        <v>5790</v>
      </c>
      <c r="B149" s="1" t="s">
        <v>5677</v>
      </c>
      <c r="C149" s="1">
        <v>3201002423</v>
      </c>
      <c r="D149" s="1">
        <v>1280026040</v>
      </c>
      <c r="E149" s="1" t="s">
        <v>5818</v>
      </c>
      <c r="F149" s="2">
        <v>40990</v>
      </c>
      <c r="G149" s="3">
        <v>0.02</v>
      </c>
      <c r="H149" s="3">
        <v>0.03</v>
      </c>
      <c r="I149" s="2">
        <f t="shared" si="4"/>
        <v>819.80000000000007</v>
      </c>
      <c r="J149" s="2">
        <f t="shared" si="5"/>
        <v>1229.7</v>
      </c>
    </row>
    <row r="150" spans="1:10" x14ac:dyDescent="0.3">
      <c r="A150" s="1" t="s">
        <v>5731</v>
      </c>
      <c r="B150" s="1" t="s">
        <v>5732</v>
      </c>
      <c r="C150" s="1">
        <v>3201000157</v>
      </c>
      <c r="D150" s="1">
        <v>1872946030</v>
      </c>
      <c r="E150" s="1" t="s">
        <v>5819</v>
      </c>
      <c r="F150" s="2">
        <v>37990</v>
      </c>
      <c r="G150" s="3">
        <v>0.02</v>
      </c>
      <c r="H150" s="3">
        <v>0.03</v>
      </c>
      <c r="I150" s="2">
        <f t="shared" si="4"/>
        <v>759.80000000000007</v>
      </c>
      <c r="J150" s="2">
        <f t="shared" si="5"/>
        <v>1139.7</v>
      </c>
    </row>
    <row r="151" spans="1:10" x14ac:dyDescent="0.3">
      <c r="A151" s="1" t="s">
        <v>5731</v>
      </c>
      <c r="B151" s="1" t="s">
        <v>5732</v>
      </c>
      <c r="C151" s="1">
        <v>3201000147</v>
      </c>
      <c r="D151" s="1">
        <v>1871636030</v>
      </c>
      <c r="E151" s="1" t="s">
        <v>5820</v>
      </c>
      <c r="F151" s="2">
        <v>37990</v>
      </c>
      <c r="G151" s="3">
        <v>0.02</v>
      </c>
      <c r="H151" s="3">
        <v>0.03</v>
      </c>
      <c r="I151" s="2">
        <f t="shared" si="4"/>
        <v>759.80000000000007</v>
      </c>
      <c r="J151" s="2">
        <f t="shared" si="5"/>
        <v>1139.7</v>
      </c>
    </row>
    <row r="152" spans="1:10" x14ac:dyDescent="0.3">
      <c r="A152" s="1" t="s">
        <v>5731</v>
      </c>
      <c r="B152" s="1" t="s">
        <v>5732</v>
      </c>
      <c r="C152" s="1">
        <v>3201000142</v>
      </c>
      <c r="D152" s="1">
        <v>1871486030</v>
      </c>
      <c r="E152" s="1" t="s">
        <v>5821</v>
      </c>
      <c r="F152" s="2">
        <v>28990</v>
      </c>
      <c r="G152" s="3">
        <v>0.02</v>
      </c>
      <c r="H152" s="3">
        <v>0.03</v>
      </c>
      <c r="I152" s="2">
        <f t="shared" si="4"/>
        <v>579.80000000000007</v>
      </c>
      <c r="J152" s="2">
        <f t="shared" si="5"/>
        <v>869.69999999999993</v>
      </c>
    </row>
    <row r="153" spans="1:10" x14ac:dyDescent="0.3">
      <c r="A153" s="1" t="s">
        <v>5662</v>
      </c>
      <c r="B153" s="1" t="s">
        <v>5662</v>
      </c>
      <c r="C153" s="1">
        <v>3201000233</v>
      </c>
      <c r="D153" s="1">
        <v>1886879990</v>
      </c>
      <c r="E153" s="1" t="s">
        <v>5822</v>
      </c>
      <c r="F153" s="2">
        <v>31990</v>
      </c>
      <c r="G153" s="3">
        <v>0.02</v>
      </c>
      <c r="H153" s="3">
        <v>0.03</v>
      </c>
      <c r="I153" s="2">
        <f t="shared" si="4"/>
        <v>639.80000000000007</v>
      </c>
      <c r="J153" s="2">
        <f t="shared" si="5"/>
        <v>959.69999999999993</v>
      </c>
    </row>
    <row r="154" spans="1:10" x14ac:dyDescent="0.3">
      <c r="A154" s="1" t="s">
        <v>5731</v>
      </c>
      <c r="B154" s="1" t="s">
        <v>5732</v>
      </c>
      <c r="C154" s="1">
        <v>3201002793</v>
      </c>
      <c r="D154" s="1">
        <v>1871976030</v>
      </c>
      <c r="E154" s="1" t="s">
        <v>5823</v>
      </c>
      <c r="F154" s="2">
        <v>31990</v>
      </c>
      <c r="G154" s="3">
        <v>0.02</v>
      </c>
      <c r="H154" s="3">
        <v>0.03</v>
      </c>
      <c r="I154" s="2">
        <f t="shared" si="4"/>
        <v>639.80000000000007</v>
      </c>
      <c r="J154" s="2">
        <f t="shared" si="5"/>
        <v>959.69999999999993</v>
      </c>
    </row>
    <row r="155" spans="1:10" x14ac:dyDescent="0.3">
      <c r="A155" s="1" t="s">
        <v>5731</v>
      </c>
      <c r="B155" s="1" t="s">
        <v>5732</v>
      </c>
      <c r="C155" s="1">
        <v>3201002830</v>
      </c>
      <c r="D155" s="1">
        <v>1883216030</v>
      </c>
      <c r="E155" s="1" t="s">
        <v>5824</v>
      </c>
      <c r="F155" s="2">
        <v>31990</v>
      </c>
      <c r="G155" s="3">
        <v>0.02</v>
      </c>
      <c r="H155" s="3">
        <v>0.03</v>
      </c>
      <c r="I155" s="2">
        <f t="shared" si="4"/>
        <v>639.80000000000007</v>
      </c>
      <c r="J155" s="2">
        <f t="shared" si="5"/>
        <v>959.69999999999993</v>
      </c>
    </row>
    <row r="156" spans="1:10" x14ac:dyDescent="0.3">
      <c r="A156" s="1" t="s">
        <v>5731</v>
      </c>
      <c r="B156" s="1" t="s">
        <v>5732</v>
      </c>
      <c r="C156" s="1">
        <v>3201000138</v>
      </c>
      <c r="D156" s="1">
        <v>1871386030</v>
      </c>
      <c r="E156" s="1" t="s">
        <v>5825</v>
      </c>
      <c r="F156" s="2">
        <v>31990</v>
      </c>
      <c r="G156" s="3">
        <v>0.02</v>
      </c>
      <c r="H156" s="3">
        <v>0.03</v>
      </c>
      <c r="I156" s="2">
        <f t="shared" si="4"/>
        <v>639.80000000000007</v>
      </c>
      <c r="J156" s="2">
        <f t="shared" si="5"/>
        <v>959.69999999999993</v>
      </c>
    </row>
    <row r="157" spans="1:10" x14ac:dyDescent="0.3">
      <c r="A157" s="1" t="s">
        <v>5731</v>
      </c>
      <c r="B157" s="1" t="s">
        <v>5677</v>
      </c>
      <c r="C157" s="1">
        <v>3201000277</v>
      </c>
      <c r="D157" s="1">
        <v>1291786040</v>
      </c>
      <c r="E157" s="1" t="s">
        <v>5826</v>
      </c>
      <c r="F157" s="2">
        <v>31990</v>
      </c>
      <c r="G157" s="3">
        <v>0.02</v>
      </c>
      <c r="H157" s="3">
        <v>0.03</v>
      </c>
      <c r="I157" s="2">
        <f t="shared" si="4"/>
        <v>639.80000000000007</v>
      </c>
      <c r="J157" s="2">
        <f t="shared" si="5"/>
        <v>959.69999999999993</v>
      </c>
    </row>
    <row r="158" spans="1:10" x14ac:dyDescent="0.3">
      <c r="A158" s="1" t="s">
        <v>5736</v>
      </c>
      <c r="B158" s="1" t="s">
        <v>5736</v>
      </c>
      <c r="C158" s="1">
        <v>3201001641</v>
      </c>
      <c r="D158" s="1">
        <v>936382000</v>
      </c>
      <c r="E158" s="1" t="s">
        <v>5827</v>
      </c>
      <c r="F158" s="2">
        <v>22990</v>
      </c>
      <c r="G158" s="3">
        <v>0.02</v>
      </c>
      <c r="H158" s="3">
        <v>0.03</v>
      </c>
      <c r="I158" s="2">
        <f t="shared" si="4"/>
        <v>459.8</v>
      </c>
      <c r="J158" s="2">
        <f t="shared" si="5"/>
        <v>689.69999999999993</v>
      </c>
    </row>
    <row r="159" spans="1:10" x14ac:dyDescent="0.3">
      <c r="A159" s="1" t="s">
        <v>5736</v>
      </c>
      <c r="B159" s="1" t="s">
        <v>5736</v>
      </c>
      <c r="C159" s="1">
        <v>3201000309</v>
      </c>
      <c r="D159" s="1">
        <v>690726600</v>
      </c>
      <c r="E159" s="1" t="s">
        <v>5828</v>
      </c>
      <c r="F159" s="2">
        <v>22990</v>
      </c>
      <c r="G159" s="3">
        <v>0.02</v>
      </c>
      <c r="H159" s="3">
        <v>0.03</v>
      </c>
      <c r="I159" s="2">
        <f t="shared" si="4"/>
        <v>459.8</v>
      </c>
      <c r="J159" s="2">
        <f t="shared" si="5"/>
        <v>689.69999999999993</v>
      </c>
    </row>
    <row r="160" spans="1:10" x14ac:dyDescent="0.3">
      <c r="A160" s="1" t="s">
        <v>5736</v>
      </c>
      <c r="B160" s="1" t="s">
        <v>5736</v>
      </c>
      <c r="C160" s="1">
        <v>3201001641</v>
      </c>
      <c r="D160" s="1">
        <v>936382000</v>
      </c>
      <c r="E160" s="1" t="s">
        <v>5827</v>
      </c>
      <c r="F160" s="2">
        <v>22990</v>
      </c>
      <c r="G160" s="3">
        <v>0.02</v>
      </c>
      <c r="H160" s="3">
        <v>0.03</v>
      </c>
      <c r="I160" s="2">
        <f t="shared" si="4"/>
        <v>459.8</v>
      </c>
      <c r="J160" s="2">
        <f t="shared" si="5"/>
        <v>689.69999999999993</v>
      </c>
    </row>
    <row r="161" spans="1:10" x14ac:dyDescent="0.3">
      <c r="A161" s="1" t="s">
        <v>5736</v>
      </c>
      <c r="B161" s="1" t="s">
        <v>5736</v>
      </c>
      <c r="C161" s="1">
        <v>3201000308</v>
      </c>
      <c r="D161" s="1">
        <v>690726040</v>
      </c>
      <c r="E161" s="1" t="s">
        <v>5829</v>
      </c>
      <c r="F161" s="2">
        <v>22990</v>
      </c>
      <c r="G161" s="3">
        <v>0.02</v>
      </c>
      <c r="H161" s="3">
        <v>0.03</v>
      </c>
      <c r="I161" s="2">
        <f t="shared" si="4"/>
        <v>459.8</v>
      </c>
      <c r="J161" s="2">
        <f t="shared" si="5"/>
        <v>689.69999999999993</v>
      </c>
    </row>
    <row r="162" spans="1:10" x14ac:dyDescent="0.3">
      <c r="A162" s="1" t="s">
        <v>5731</v>
      </c>
      <c r="B162" s="1" t="s">
        <v>5732</v>
      </c>
      <c r="C162" s="1">
        <v>3201000339</v>
      </c>
      <c r="D162" s="1">
        <v>608736040</v>
      </c>
      <c r="E162" s="1" t="s">
        <v>5830</v>
      </c>
      <c r="F162" s="2">
        <v>30990</v>
      </c>
      <c r="G162" s="3">
        <v>0.02</v>
      </c>
      <c r="H162" s="3">
        <v>0.03</v>
      </c>
      <c r="I162" s="2">
        <f t="shared" si="4"/>
        <v>619.80000000000007</v>
      </c>
      <c r="J162" s="2">
        <f t="shared" si="5"/>
        <v>929.69999999999993</v>
      </c>
    </row>
    <row r="163" spans="1:10" x14ac:dyDescent="0.3">
      <c r="A163" s="1" t="s">
        <v>5731</v>
      </c>
      <c r="B163" s="1" t="s">
        <v>5732</v>
      </c>
      <c r="C163" s="1">
        <v>3201002819</v>
      </c>
      <c r="D163" s="1">
        <v>1872316030</v>
      </c>
      <c r="E163" s="1" t="s">
        <v>5831</v>
      </c>
      <c r="F163" s="2">
        <v>30990</v>
      </c>
      <c r="G163" s="3">
        <v>0.02</v>
      </c>
      <c r="H163" s="3">
        <v>0.03</v>
      </c>
      <c r="I163" s="2">
        <f t="shared" si="4"/>
        <v>619.80000000000007</v>
      </c>
      <c r="J163" s="2">
        <f t="shared" si="5"/>
        <v>929.69999999999993</v>
      </c>
    </row>
    <row r="164" spans="1:10" x14ac:dyDescent="0.3">
      <c r="A164" s="1" t="s">
        <v>5731</v>
      </c>
      <c r="B164" s="1" t="s">
        <v>5732</v>
      </c>
      <c r="C164" s="1">
        <v>3201000125</v>
      </c>
      <c r="D164" s="1">
        <v>1871016030</v>
      </c>
      <c r="E164" s="1" t="s">
        <v>5832</v>
      </c>
      <c r="F164" s="2">
        <v>31990</v>
      </c>
      <c r="G164" s="3">
        <v>0.02</v>
      </c>
      <c r="H164" s="3">
        <v>0.03</v>
      </c>
      <c r="I164" s="2">
        <f t="shared" si="4"/>
        <v>639.80000000000007</v>
      </c>
      <c r="J164" s="2">
        <f t="shared" si="5"/>
        <v>959.69999999999993</v>
      </c>
    </row>
    <row r="165" spans="1:10" x14ac:dyDescent="0.3">
      <c r="A165" s="1" t="s">
        <v>5731</v>
      </c>
      <c r="B165" s="1" t="s">
        <v>5732</v>
      </c>
      <c r="C165" s="1">
        <v>3201000127</v>
      </c>
      <c r="D165" s="1">
        <v>1871036030</v>
      </c>
      <c r="E165" s="1" t="s">
        <v>5833</v>
      </c>
      <c r="F165" s="2">
        <v>25990</v>
      </c>
      <c r="G165" s="3">
        <v>0.02</v>
      </c>
      <c r="H165" s="3">
        <v>0.03</v>
      </c>
      <c r="I165" s="2">
        <f t="shared" si="4"/>
        <v>519.79999999999995</v>
      </c>
      <c r="J165" s="2">
        <f t="shared" si="5"/>
        <v>779.69999999999993</v>
      </c>
    </row>
    <row r="166" spans="1:10" x14ac:dyDescent="0.3">
      <c r="A166" s="1" t="s">
        <v>5731</v>
      </c>
      <c r="B166" s="1" t="s">
        <v>5732</v>
      </c>
      <c r="C166" s="1">
        <v>3201000146</v>
      </c>
      <c r="D166" s="1">
        <v>1871596030</v>
      </c>
      <c r="E166" s="1" t="s">
        <v>5834</v>
      </c>
      <c r="F166" s="2">
        <v>27990</v>
      </c>
      <c r="G166" s="3">
        <v>0.02</v>
      </c>
      <c r="H166" s="3">
        <v>0.03</v>
      </c>
      <c r="I166" s="2">
        <f t="shared" si="4"/>
        <v>559.80000000000007</v>
      </c>
      <c r="J166" s="2">
        <f t="shared" si="5"/>
        <v>839.69999999999993</v>
      </c>
    </row>
    <row r="167" spans="1:10" x14ac:dyDescent="0.3">
      <c r="A167" s="1" t="s">
        <v>5731</v>
      </c>
      <c r="B167" s="1" t="s">
        <v>5732</v>
      </c>
      <c r="C167" s="1">
        <v>3201002948</v>
      </c>
      <c r="D167" s="1">
        <v>1881746040</v>
      </c>
      <c r="E167" s="1" t="s">
        <v>5835</v>
      </c>
      <c r="F167" s="2">
        <v>18990</v>
      </c>
      <c r="G167" s="3">
        <v>0.02</v>
      </c>
      <c r="H167" s="3">
        <v>0.03</v>
      </c>
      <c r="I167" s="2">
        <f t="shared" si="4"/>
        <v>379.8</v>
      </c>
      <c r="J167" s="2">
        <f t="shared" si="5"/>
        <v>569.69999999999993</v>
      </c>
    </row>
    <row r="168" spans="1:10" x14ac:dyDescent="0.3">
      <c r="A168" s="1" t="s">
        <v>5731</v>
      </c>
      <c r="B168" s="1" t="s">
        <v>5732</v>
      </c>
      <c r="C168" s="1">
        <v>3201000212</v>
      </c>
      <c r="D168" s="1">
        <v>661056030</v>
      </c>
      <c r="E168" s="1" t="s">
        <v>5836</v>
      </c>
      <c r="F168" s="2">
        <v>24990</v>
      </c>
      <c r="G168" s="3">
        <v>0.02</v>
      </c>
      <c r="H168" s="3">
        <v>0.03</v>
      </c>
      <c r="I168" s="2">
        <f t="shared" si="4"/>
        <v>499.8</v>
      </c>
      <c r="J168" s="2">
        <f t="shared" si="5"/>
        <v>749.69999999999993</v>
      </c>
    </row>
    <row r="169" spans="1:10" x14ac:dyDescent="0.3">
      <c r="A169" s="1" t="s">
        <v>5736</v>
      </c>
      <c r="B169" s="1" t="s">
        <v>5736</v>
      </c>
      <c r="C169" s="1">
        <v>3201001644</v>
      </c>
      <c r="D169" s="1">
        <v>948642040</v>
      </c>
      <c r="E169" s="1" t="s">
        <v>5837</v>
      </c>
      <c r="F169" s="2">
        <v>27990</v>
      </c>
      <c r="G169" s="3">
        <v>0.02</v>
      </c>
      <c r="H169" s="3">
        <v>0.03</v>
      </c>
      <c r="I169" s="2">
        <f t="shared" si="4"/>
        <v>559.80000000000007</v>
      </c>
      <c r="J169" s="2">
        <f t="shared" si="5"/>
        <v>839.69999999999993</v>
      </c>
    </row>
    <row r="170" spans="1:10" x14ac:dyDescent="0.3">
      <c r="A170" s="1" t="s">
        <v>5731</v>
      </c>
      <c r="B170" s="1" t="s">
        <v>5732</v>
      </c>
      <c r="C170" s="1">
        <v>3201000135</v>
      </c>
      <c r="D170" s="1">
        <v>1871346030</v>
      </c>
      <c r="E170" s="1" t="s">
        <v>5838</v>
      </c>
      <c r="F170" s="2">
        <v>18990</v>
      </c>
      <c r="G170" s="3">
        <v>0.02</v>
      </c>
      <c r="H170" s="3">
        <v>0.03</v>
      </c>
      <c r="I170" s="2">
        <f t="shared" si="4"/>
        <v>379.8</v>
      </c>
      <c r="J170" s="2">
        <f t="shared" si="5"/>
        <v>569.69999999999993</v>
      </c>
    </row>
    <row r="171" spans="1:10" x14ac:dyDescent="0.3">
      <c r="A171" s="1" t="s">
        <v>5731</v>
      </c>
      <c r="B171" s="1" t="s">
        <v>5677</v>
      </c>
      <c r="C171" s="1">
        <v>3201000268</v>
      </c>
      <c r="D171" s="1">
        <v>1291406046</v>
      </c>
      <c r="E171" s="1" t="s">
        <v>5839</v>
      </c>
      <c r="F171" s="2">
        <v>27990</v>
      </c>
      <c r="G171" s="3">
        <v>0.02</v>
      </c>
      <c r="H171" s="3">
        <v>0.03</v>
      </c>
      <c r="I171" s="2">
        <f t="shared" si="4"/>
        <v>559.80000000000007</v>
      </c>
      <c r="J171" s="2">
        <f t="shared" si="5"/>
        <v>839.69999999999993</v>
      </c>
    </row>
    <row r="172" spans="1:10" x14ac:dyDescent="0.3">
      <c r="A172" s="1" t="s">
        <v>5790</v>
      </c>
      <c r="B172" s="1" t="s">
        <v>5677</v>
      </c>
      <c r="C172" s="1">
        <v>3201005816</v>
      </c>
      <c r="D172" s="1">
        <v>1296436042</v>
      </c>
      <c r="E172" s="1" t="s">
        <v>5840</v>
      </c>
      <c r="F172" s="2">
        <v>20990</v>
      </c>
      <c r="G172" s="3">
        <v>0.02</v>
      </c>
      <c r="H172" s="3">
        <v>0.03</v>
      </c>
      <c r="I172" s="2">
        <f t="shared" si="4"/>
        <v>419.8</v>
      </c>
      <c r="J172" s="2">
        <f t="shared" si="5"/>
        <v>629.69999999999993</v>
      </c>
    </row>
    <row r="173" spans="1:10" x14ac:dyDescent="0.3">
      <c r="A173" s="1" t="s">
        <v>5736</v>
      </c>
      <c r="B173" s="1" t="s">
        <v>5736</v>
      </c>
      <c r="C173" s="1">
        <v>3201000661</v>
      </c>
      <c r="D173" s="1">
        <v>658337920</v>
      </c>
      <c r="E173" s="1" t="s">
        <v>5841</v>
      </c>
      <c r="F173" s="2">
        <v>19990</v>
      </c>
      <c r="G173" s="3">
        <v>0.02</v>
      </c>
      <c r="H173" s="3">
        <v>0.03</v>
      </c>
      <c r="I173" s="2">
        <f t="shared" si="4"/>
        <v>399.8</v>
      </c>
      <c r="J173" s="2">
        <f t="shared" si="5"/>
        <v>599.69999999999993</v>
      </c>
    </row>
    <row r="174" spans="1:10" x14ac:dyDescent="0.3">
      <c r="A174" s="1" t="s">
        <v>5731</v>
      </c>
      <c r="B174" s="1" t="s">
        <v>5732</v>
      </c>
      <c r="C174" s="1">
        <v>3201002839</v>
      </c>
      <c r="D174" s="1">
        <v>1871156030</v>
      </c>
      <c r="E174" s="1" t="s">
        <v>5842</v>
      </c>
      <c r="F174" s="2">
        <v>26990</v>
      </c>
      <c r="G174" s="3">
        <v>0.02</v>
      </c>
      <c r="H174" s="3">
        <v>0.03</v>
      </c>
      <c r="I174" s="2">
        <f t="shared" si="4"/>
        <v>539.79999999999995</v>
      </c>
      <c r="J174" s="2">
        <f t="shared" si="5"/>
        <v>809.69999999999993</v>
      </c>
    </row>
    <row r="175" spans="1:10" x14ac:dyDescent="0.3">
      <c r="A175" s="1" t="s">
        <v>5731</v>
      </c>
      <c r="B175" s="1" t="s">
        <v>5732</v>
      </c>
      <c r="C175" s="1">
        <v>3201000130</v>
      </c>
      <c r="D175" s="1">
        <v>1871086030</v>
      </c>
      <c r="E175" s="1" t="s">
        <v>5843</v>
      </c>
      <c r="F175" s="2">
        <v>28990</v>
      </c>
      <c r="G175" s="3">
        <v>0.02</v>
      </c>
      <c r="H175" s="3">
        <v>0.03</v>
      </c>
      <c r="I175" s="2">
        <f t="shared" si="4"/>
        <v>579.80000000000007</v>
      </c>
      <c r="J175" s="2">
        <f t="shared" si="5"/>
        <v>869.69999999999993</v>
      </c>
    </row>
    <row r="176" spans="1:10" x14ac:dyDescent="0.3">
      <c r="A176" s="1" t="s">
        <v>5736</v>
      </c>
      <c r="B176" s="1" t="s">
        <v>5736</v>
      </c>
      <c r="C176" s="1">
        <v>3201000637</v>
      </c>
      <c r="D176" s="1">
        <v>640667920</v>
      </c>
      <c r="E176" s="1" t="s">
        <v>5844</v>
      </c>
      <c r="F176" s="2">
        <v>19990</v>
      </c>
      <c r="G176" s="3">
        <v>0.02</v>
      </c>
      <c r="H176" s="3">
        <v>0.03</v>
      </c>
      <c r="I176" s="2">
        <f t="shared" si="4"/>
        <v>399.8</v>
      </c>
      <c r="J176" s="2">
        <f t="shared" si="5"/>
        <v>599.69999999999993</v>
      </c>
    </row>
    <row r="177" spans="1:10" x14ac:dyDescent="0.3">
      <c r="A177" s="1" t="s">
        <v>5731</v>
      </c>
      <c r="B177" s="1" t="s">
        <v>5732</v>
      </c>
      <c r="C177" s="1">
        <v>3201000153</v>
      </c>
      <c r="D177" s="1">
        <v>1872466030</v>
      </c>
      <c r="E177" s="1" t="s">
        <v>5845</v>
      </c>
      <c r="F177" s="2">
        <v>22990</v>
      </c>
      <c r="G177" s="3">
        <v>0.02</v>
      </c>
      <c r="H177" s="3">
        <v>0.03</v>
      </c>
      <c r="I177" s="2">
        <f t="shared" si="4"/>
        <v>459.8</v>
      </c>
      <c r="J177" s="2">
        <f t="shared" si="5"/>
        <v>689.69999999999993</v>
      </c>
    </row>
    <row r="178" spans="1:10" x14ac:dyDescent="0.3">
      <c r="A178" s="1" t="s">
        <v>5731</v>
      </c>
      <c r="B178" s="1" t="s">
        <v>5732</v>
      </c>
      <c r="C178" s="1">
        <v>3201000136</v>
      </c>
      <c r="D178" s="1">
        <v>1871366030</v>
      </c>
      <c r="E178" s="1" t="s">
        <v>5846</v>
      </c>
      <c r="F178" s="2">
        <v>22990</v>
      </c>
      <c r="G178" s="3">
        <v>0.02</v>
      </c>
      <c r="H178" s="3">
        <v>0.03</v>
      </c>
      <c r="I178" s="2">
        <f t="shared" si="4"/>
        <v>459.8</v>
      </c>
      <c r="J178" s="2">
        <f t="shared" si="5"/>
        <v>689.69999999999993</v>
      </c>
    </row>
    <row r="179" spans="1:10" x14ac:dyDescent="0.3">
      <c r="A179" s="1" t="s">
        <v>5731</v>
      </c>
      <c r="B179" s="1" t="s">
        <v>5732</v>
      </c>
      <c r="C179" s="1">
        <v>3201002789</v>
      </c>
      <c r="D179" s="1">
        <v>1871066030</v>
      </c>
      <c r="E179" s="1" t="s">
        <v>5847</v>
      </c>
      <c r="F179" s="2">
        <v>16990</v>
      </c>
      <c r="G179" s="3">
        <v>0.02</v>
      </c>
      <c r="H179" s="3">
        <v>0.03</v>
      </c>
      <c r="I179" s="2">
        <f t="shared" si="4"/>
        <v>339.8</v>
      </c>
      <c r="J179" s="2">
        <f t="shared" si="5"/>
        <v>509.7</v>
      </c>
    </row>
    <row r="180" spans="1:10" x14ac:dyDescent="0.3">
      <c r="A180" s="1" t="s">
        <v>5731</v>
      </c>
      <c r="B180" s="1" t="s">
        <v>5732</v>
      </c>
      <c r="C180" s="1">
        <v>3201000913</v>
      </c>
      <c r="D180" s="1">
        <v>609216030</v>
      </c>
      <c r="E180" s="1" t="s">
        <v>5848</v>
      </c>
      <c r="F180" s="2">
        <v>20990</v>
      </c>
      <c r="G180" s="3">
        <v>0.02</v>
      </c>
      <c r="H180" s="3">
        <v>0.03</v>
      </c>
      <c r="I180" s="2">
        <f t="shared" si="4"/>
        <v>419.8</v>
      </c>
      <c r="J180" s="2">
        <f t="shared" si="5"/>
        <v>629.69999999999993</v>
      </c>
    </row>
    <row r="181" spans="1:10" x14ac:dyDescent="0.3">
      <c r="A181" s="1" t="s">
        <v>5736</v>
      </c>
      <c r="B181" s="1" t="s">
        <v>5736</v>
      </c>
      <c r="C181" s="1">
        <v>3201000209</v>
      </c>
      <c r="D181" s="1">
        <v>658186200</v>
      </c>
      <c r="E181" s="1" t="s">
        <v>5849</v>
      </c>
      <c r="F181" s="2">
        <v>25990</v>
      </c>
      <c r="G181" s="3">
        <v>0.02</v>
      </c>
      <c r="H181" s="3">
        <v>0.03</v>
      </c>
      <c r="I181" s="2">
        <f t="shared" si="4"/>
        <v>519.79999999999995</v>
      </c>
      <c r="J181" s="2">
        <f t="shared" si="5"/>
        <v>779.69999999999993</v>
      </c>
    </row>
    <row r="182" spans="1:10" x14ac:dyDescent="0.3">
      <c r="A182" s="1" t="s">
        <v>5731</v>
      </c>
      <c r="B182" s="1" t="s">
        <v>5677</v>
      </c>
      <c r="C182" s="1">
        <v>3201002571</v>
      </c>
      <c r="D182" s="1">
        <v>1297356040</v>
      </c>
      <c r="E182" s="1" t="s">
        <v>5850</v>
      </c>
      <c r="F182" s="2">
        <v>27990</v>
      </c>
      <c r="G182" s="3">
        <v>0.02</v>
      </c>
      <c r="H182" s="3">
        <v>0.03</v>
      </c>
      <c r="I182" s="2">
        <f t="shared" si="4"/>
        <v>559.80000000000007</v>
      </c>
      <c r="J182" s="2">
        <f t="shared" si="5"/>
        <v>839.69999999999993</v>
      </c>
    </row>
    <row r="183" spans="1:10" x14ac:dyDescent="0.3">
      <c r="A183" s="1" t="s">
        <v>5731</v>
      </c>
      <c r="B183" s="1" t="s">
        <v>5677</v>
      </c>
      <c r="C183" s="1">
        <v>3201000281</v>
      </c>
      <c r="D183" s="1">
        <v>1297336040</v>
      </c>
      <c r="E183" s="1" t="s">
        <v>5851</v>
      </c>
      <c r="F183" s="2">
        <v>27990</v>
      </c>
      <c r="G183" s="3">
        <v>0.02</v>
      </c>
      <c r="H183" s="3">
        <v>0.03</v>
      </c>
      <c r="I183" s="2">
        <f t="shared" si="4"/>
        <v>559.80000000000007</v>
      </c>
      <c r="J183" s="2">
        <f t="shared" si="5"/>
        <v>839.69999999999993</v>
      </c>
    </row>
    <row r="184" spans="1:10" x14ac:dyDescent="0.3">
      <c r="A184" s="1" t="s">
        <v>5731</v>
      </c>
      <c r="B184" s="1" t="s">
        <v>5677</v>
      </c>
      <c r="C184" s="1">
        <v>3201002539</v>
      </c>
      <c r="D184" s="1">
        <v>1291746046</v>
      </c>
      <c r="E184" s="1" t="s">
        <v>5852</v>
      </c>
      <c r="F184" s="2">
        <v>27990</v>
      </c>
      <c r="G184" s="3">
        <v>0.02</v>
      </c>
      <c r="H184" s="3">
        <v>0.03</v>
      </c>
      <c r="I184" s="2">
        <f t="shared" si="4"/>
        <v>559.80000000000007</v>
      </c>
      <c r="J184" s="2">
        <f t="shared" si="5"/>
        <v>839.69999999999993</v>
      </c>
    </row>
    <row r="185" spans="1:10" x14ac:dyDescent="0.3">
      <c r="A185" s="1" t="s">
        <v>5731</v>
      </c>
      <c r="B185" s="1" t="s">
        <v>5732</v>
      </c>
      <c r="C185" s="1">
        <v>3201000197</v>
      </c>
      <c r="D185" s="1">
        <v>634546040</v>
      </c>
      <c r="E185" s="1" t="s">
        <v>5853</v>
      </c>
      <c r="F185" s="2">
        <v>25990</v>
      </c>
      <c r="G185" s="3">
        <v>0.02</v>
      </c>
      <c r="H185" s="3">
        <v>0.03</v>
      </c>
      <c r="I185" s="2">
        <f t="shared" si="4"/>
        <v>519.79999999999995</v>
      </c>
      <c r="J185" s="2">
        <f t="shared" si="5"/>
        <v>779.69999999999993</v>
      </c>
    </row>
    <row r="186" spans="1:10" x14ac:dyDescent="0.3">
      <c r="A186" s="1" t="s">
        <v>5731</v>
      </c>
      <c r="B186" s="1" t="s">
        <v>5677</v>
      </c>
      <c r="C186" s="1">
        <v>3201000273</v>
      </c>
      <c r="D186" s="1">
        <v>1291666046</v>
      </c>
      <c r="E186" s="1" t="s">
        <v>5854</v>
      </c>
      <c r="F186" s="2">
        <v>23990</v>
      </c>
      <c r="G186" s="3">
        <v>0.02</v>
      </c>
      <c r="H186" s="3">
        <v>0.03</v>
      </c>
      <c r="I186" s="2">
        <f t="shared" si="4"/>
        <v>479.8</v>
      </c>
      <c r="J186" s="2">
        <f t="shared" si="5"/>
        <v>719.69999999999993</v>
      </c>
    </row>
    <row r="187" spans="1:10" x14ac:dyDescent="0.3">
      <c r="A187" s="1" t="s">
        <v>5736</v>
      </c>
      <c r="B187" s="1" t="s">
        <v>5736</v>
      </c>
      <c r="C187" s="1">
        <v>3201000298</v>
      </c>
      <c r="D187" s="1">
        <v>636466040</v>
      </c>
      <c r="E187" s="1" t="s">
        <v>5855</v>
      </c>
      <c r="F187" s="2">
        <v>22990</v>
      </c>
      <c r="G187" s="3">
        <v>0.02</v>
      </c>
      <c r="H187" s="3">
        <v>0.03</v>
      </c>
      <c r="I187" s="2">
        <f t="shared" si="4"/>
        <v>459.8</v>
      </c>
      <c r="J187" s="2">
        <f t="shared" si="5"/>
        <v>689.69999999999993</v>
      </c>
    </row>
    <row r="188" spans="1:10" x14ac:dyDescent="0.3">
      <c r="A188" s="1" t="s">
        <v>5731</v>
      </c>
      <c r="B188" s="1" t="s">
        <v>5677</v>
      </c>
      <c r="C188" s="1">
        <v>3201002515</v>
      </c>
      <c r="D188" s="1">
        <v>1291426040</v>
      </c>
      <c r="E188" s="1" t="s">
        <v>5856</v>
      </c>
      <c r="F188" s="2">
        <v>23990</v>
      </c>
      <c r="G188" s="3">
        <v>0.02</v>
      </c>
      <c r="H188" s="3">
        <v>0.03</v>
      </c>
      <c r="I188" s="2">
        <f t="shared" si="4"/>
        <v>479.8</v>
      </c>
      <c r="J188" s="2">
        <f t="shared" si="5"/>
        <v>719.69999999999993</v>
      </c>
    </row>
    <row r="189" spans="1:10" x14ac:dyDescent="0.3">
      <c r="A189" s="1" t="s">
        <v>5790</v>
      </c>
      <c r="B189" s="1" t="s">
        <v>5677</v>
      </c>
      <c r="C189" s="1">
        <v>3201002450</v>
      </c>
      <c r="D189" s="1">
        <v>1283526040</v>
      </c>
      <c r="E189" s="1" t="s">
        <v>5857</v>
      </c>
      <c r="F189" s="2">
        <v>16990</v>
      </c>
      <c r="G189" s="3">
        <v>0.02</v>
      </c>
      <c r="H189" s="3">
        <v>0.03</v>
      </c>
      <c r="I189" s="2">
        <f t="shared" si="4"/>
        <v>339.8</v>
      </c>
      <c r="J189" s="2">
        <f t="shared" si="5"/>
        <v>509.7</v>
      </c>
    </row>
    <row r="190" spans="1:10" x14ac:dyDescent="0.3">
      <c r="A190" s="1" t="s">
        <v>5731</v>
      </c>
      <c r="B190" s="1" t="s">
        <v>5732</v>
      </c>
      <c r="C190" s="1">
        <v>3201002815</v>
      </c>
      <c r="D190" s="1">
        <v>1871296030</v>
      </c>
      <c r="E190" s="1" t="s">
        <v>5858</v>
      </c>
      <c r="F190" s="2">
        <v>21990</v>
      </c>
      <c r="G190" s="3">
        <v>0.02</v>
      </c>
      <c r="H190" s="3">
        <v>0.03</v>
      </c>
      <c r="I190" s="2">
        <f t="shared" si="4"/>
        <v>439.8</v>
      </c>
      <c r="J190" s="2">
        <f t="shared" si="5"/>
        <v>659.69999999999993</v>
      </c>
    </row>
    <row r="191" spans="1:10" x14ac:dyDescent="0.3">
      <c r="A191" s="1" t="s">
        <v>5736</v>
      </c>
      <c r="B191" s="1" t="s">
        <v>5736</v>
      </c>
      <c r="C191" s="1">
        <v>3201000208</v>
      </c>
      <c r="D191" s="1">
        <v>658136030</v>
      </c>
      <c r="E191" s="1" t="s">
        <v>5859</v>
      </c>
      <c r="F191" s="2">
        <v>19990</v>
      </c>
      <c r="G191" s="3">
        <v>0.02</v>
      </c>
      <c r="H191" s="3">
        <v>0.03</v>
      </c>
      <c r="I191" s="2">
        <f t="shared" si="4"/>
        <v>399.8</v>
      </c>
      <c r="J191" s="2">
        <f t="shared" si="5"/>
        <v>599.69999999999993</v>
      </c>
    </row>
    <row r="192" spans="1:10" x14ac:dyDescent="0.3">
      <c r="A192" s="1" t="s">
        <v>5731</v>
      </c>
      <c r="B192" s="1" t="s">
        <v>5732</v>
      </c>
      <c r="C192" s="1">
        <v>3201000176</v>
      </c>
      <c r="D192" s="1">
        <v>1874986030</v>
      </c>
      <c r="E192" s="1" t="s">
        <v>5860</v>
      </c>
      <c r="F192" s="2">
        <v>18990</v>
      </c>
      <c r="G192" s="3">
        <v>0.02</v>
      </c>
      <c r="H192" s="3">
        <v>0.03</v>
      </c>
      <c r="I192" s="2">
        <f t="shared" si="4"/>
        <v>379.8</v>
      </c>
      <c r="J192" s="2">
        <f t="shared" si="5"/>
        <v>569.69999999999993</v>
      </c>
    </row>
    <row r="193" spans="1:10" x14ac:dyDescent="0.3">
      <c r="A193" s="1" t="s">
        <v>5731</v>
      </c>
      <c r="B193" s="1" t="s">
        <v>5732</v>
      </c>
      <c r="C193" s="1">
        <v>3201000352</v>
      </c>
      <c r="D193" s="1">
        <v>1287949990</v>
      </c>
      <c r="E193" s="1" t="s">
        <v>5861</v>
      </c>
      <c r="F193" s="2">
        <v>11990</v>
      </c>
      <c r="G193" s="3">
        <v>0.02</v>
      </c>
      <c r="H193" s="3">
        <v>0.03</v>
      </c>
      <c r="I193" s="2">
        <f t="shared" si="4"/>
        <v>239.8</v>
      </c>
      <c r="J193" s="2">
        <f t="shared" si="5"/>
        <v>359.7</v>
      </c>
    </row>
    <row r="194" spans="1:10" x14ac:dyDescent="0.3">
      <c r="A194" s="1" t="s">
        <v>5731</v>
      </c>
      <c r="B194" s="1" t="s">
        <v>5732</v>
      </c>
      <c r="C194" s="1">
        <v>3201000139</v>
      </c>
      <c r="D194" s="1">
        <v>1871396030</v>
      </c>
      <c r="E194" s="1" t="s">
        <v>5862</v>
      </c>
      <c r="F194" s="2">
        <v>17990</v>
      </c>
      <c r="G194" s="3">
        <v>0.02</v>
      </c>
      <c r="H194" s="3">
        <v>0.03</v>
      </c>
      <c r="I194" s="2">
        <f t="shared" si="4"/>
        <v>359.8</v>
      </c>
      <c r="J194" s="2">
        <f t="shared" si="5"/>
        <v>539.69999999999993</v>
      </c>
    </row>
    <row r="195" spans="1:10" x14ac:dyDescent="0.3">
      <c r="A195" s="1" t="s">
        <v>5731</v>
      </c>
      <c r="B195" s="1" t="s">
        <v>5732</v>
      </c>
      <c r="C195" s="1">
        <v>3201000338</v>
      </c>
      <c r="D195" s="1">
        <v>605796030</v>
      </c>
      <c r="E195" s="1" t="s">
        <v>5863</v>
      </c>
      <c r="F195" s="2">
        <v>17990</v>
      </c>
      <c r="G195" s="3">
        <v>0.02</v>
      </c>
      <c r="H195" s="3">
        <v>0.03</v>
      </c>
      <c r="I195" s="2">
        <f t="shared" si="4"/>
        <v>359.8</v>
      </c>
      <c r="J195" s="2">
        <f t="shared" si="5"/>
        <v>539.69999999999993</v>
      </c>
    </row>
    <row r="196" spans="1:10" x14ac:dyDescent="0.3">
      <c r="A196" s="1" t="s">
        <v>5736</v>
      </c>
      <c r="B196" s="1" t="s">
        <v>5736</v>
      </c>
      <c r="C196" s="1">
        <v>3201000188</v>
      </c>
      <c r="D196" s="1">
        <v>617597390</v>
      </c>
      <c r="E196" s="1" t="s">
        <v>5864</v>
      </c>
      <c r="F196" s="2">
        <v>18990</v>
      </c>
      <c r="G196" s="3">
        <v>0.02</v>
      </c>
      <c r="H196" s="3">
        <v>0.03</v>
      </c>
      <c r="I196" s="2">
        <f t="shared" ref="I196:I248" si="6">F196*G196</f>
        <v>379.8</v>
      </c>
      <c r="J196" s="2">
        <f t="shared" ref="J196:J248" si="7">F196*H196</f>
        <v>569.69999999999993</v>
      </c>
    </row>
    <row r="197" spans="1:10" x14ac:dyDescent="0.3">
      <c r="A197" s="1" t="s">
        <v>5731</v>
      </c>
      <c r="B197" s="1" t="s">
        <v>5677</v>
      </c>
      <c r="C197" s="1">
        <v>3201002521</v>
      </c>
      <c r="D197" s="1">
        <v>1291476040</v>
      </c>
      <c r="E197" s="1" t="s">
        <v>5865</v>
      </c>
      <c r="F197" s="2">
        <v>17990</v>
      </c>
      <c r="G197" s="3">
        <v>0.02</v>
      </c>
      <c r="H197" s="3">
        <v>0.03</v>
      </c>
      <c r="I197" s="2">
        <f t="shared" si="6"/>
        <v>359.8</v>
      </c>
      <c r="J197" s="2">
        <f t="shared" si="7"/>
        <v>539.69999999999993</v>
      </c>
    </row>
    <row r="198" spans="1:10" x14ac:dyDescent="0.3">
      <c r="A198" s="1" t="s">
        <v>5736</v>
      </c>
      <c r="B198" s="1" t="s">
        <v>5736</v>
      </c>
      <c r="C198" s="1">
        <v>3201000642</v>
      </c>
      <c r="D198" s="1">
        <v>641036030</v>
      </c>
      <c r="E198" s="1" t="s">
        <v>5866</v>
      </c>
      <c r="F198" s="2">
        <v>10990</v>
      </c>
      <c r="G198" s="3">
        <v>0.02</v>
      </c>
      <c r="H198" s="3">
        <v>0.03</v>
      </c>
      <c r="I198" s="2">
        <f t="shared" si="6"/>
        <v>219.8</v>
      </c>
      <c r="J198" s="2">
        <f t="shared" si="7"/>
        <v>329.7</v>
      </c>
    </row>
    <row r="199" spans="1:10" x14ac:dyDescent="0.3">
      <c r="A199" s="1" t="s">
        <v>5736</v>
      </c>
      <c r="B199" s="1" t="s">
        <v>5736</v>
      </c>
      <c r="C199" s="1">
        <v>3201000194</v>
      </c>
      <c r="D199" s="1">
        <v>618086040</v>
      </c>
      <c r="E199" s="1" t="s">
        <v>5867</v>
      </c>
      <c r="F199" s="2">
        <v>18990</v>
      </c>
      <c r="G199" s="3">
        <v>0.02</v>
      </c>
      <c r="H199" s="3">
        <v>0.03</v>
      </c>
      <c r="I199" s="2">
        <f t="shared" si="6"/>
        <v>379.8</v>
      </c>
      <c r="J199" s="2">
        <f t="shared" si="7"/>
        <v>569.69999999999993</v>
      </c>
    </row>
    <row r="200" spans="1:10" x14ac:dyDescent="0.3">
      <c r="A200" s="1" t="s">
        <v>5731</v>
      </c>
      <c r="B200" s="1" t="s">
        <v>5677</v>
      </c>
      <c r="C200" s="1">
        <v>3201002528</v>
      </c>
      <c r="D200" s="1">
        <v>1291586040</v>
      </c>
      <c r="E200" s="1" t="s">
        <v>5868</v>
      </c>
      <c r="F200" s="2">
        <v>16990</v>
      </c>
      <c r="G200" s="3">
        <v>0.02</v>
      </c>
      <c r="H200" s="3">
        <v>0.03</v>
      </c>
      <c r="I200" s="2">
        <f t="shared" si="6"/>
        <v>339.8</v>
      </c>
      <c r="J200" s="2">
        <f t="shared" si="7"/>
        <v>509.7</v>
      </c>
    </row>
    <row r="201" spans="1:10" x14ac:dyDescent="0.3">
      <c r="A201" s="1" t="s">
        <v>5731</v>
      </c>
      <c r="B201" s="1" t="s">
        <v>5677</v>
      </c>
      <c r="C201" s="1">
        <v>3201002523</v>
      </c>
      <c r="D201" s="1">
        <v>1291496042</v>
      </c>
      <c r="E201" s="1" t="s">
        <v>5869</v>
      </c>
      <c r="F201" s="2">
        <v>9990</v>
      </c>
      <c r="G201" s="3">
        <v>0.02</v>
      </c>
      <c r="H201" s="3">
        <v>0.03</v>
      </c>
      <c r="I201" s="2">
        <f t="shared" si="6"/>
        <v>199.8</v>
      </c>
      <c r="J201" s="2">
        <f t="shared" si="7"/>
        <v>299.7</v>
      </c>
    </row>
    <row r="202" spans="1:10" x14ac:dyDescent="0.3">
      <c r="A202" s="1" t="s">
        <v>5736</v>
      </c>
      <c r="B202" s="1" t="s">
        <v>5736</v>
      </c>
      <c r="C202" s="1">
        <v>3201000663</v>
      </c>
      <c r="D202" s="1">
        <v>658516030</v>
      </c>
      <c r="E202" s="1" t="s">
        <v>5870</v>
      </c>
      <c r="F202" s="2">
        <v>16990</v>
      </c>
      <c r="G202" s="3">
        <v>0.02</v>
      </c>
      <c r="H202" s="3">
        <v>0.03</v>
      </c>
      <c r="I202" s="2">
        <f t="shared" si="6"/>
        <v>339.8</v>
      </c>
      <c r="J202" s="2">
        <f t="shared" si="7"/>
        <v>509.7</v>
      </c>
    </row>
    <row r="203" spans="1:10" x14ac:dyDescent="0.3">
      <c r="A203" s="1" t="s">
        <v>5736</v>
      </c>
      <c r="B203" s="1" t="s">
        <v>5736</v>
      </c>
      <c r="C203" s="1">
        <v>3201000639</v>
      </c>
      <c r="D203" s="1">
        <v>640727920</v>
      </c>
      <c r="E203" s="1" t="s">
        <v>5871</v>
      </c>
      <c r="F203" s="2">
        <v>10990</v>
      </c>
      <c r="G203" s="3">
        <v>0.02</v>
      </c>
      <c r="H203" s="3">
        <v>0.03</v>
      </c>
      <c r="I203" s="2">
        <f t="shared" si="6"/>
        <v>219.8</v>
      </c>
      <c r="J203" s="2">
        <f t="shared" si="7"/>
        <v>329.7</v>
      </c>
    </row>
    <row r="204" spans="1:10" x14ac:dyDescent="0.3">
      <c r="A204" s="1" t="s">
        <v>5731</v>
      </c>
      <c r="B204" s="1" t="s">
        <v>5677</v>
      </c>
      <c r="C204" s="1">
        <v>3201002530</v>
      </c>
      <c r="D204" s="1">
        <v>1291606040</v>
      </c>
      <c r="E204" s="1" t="s">
        <v>5872</v>
      </c>
      <c r="F204" s="2">
        <v>9990</v>
      </c>
      <c r="G204" s="3">
        <v>0.02</v>
      </c>
      <c r="H204" s="3">
        <v>0.03</v>
      </c>
      <c r="I204" s="2">
        <f t="shared" si="6"/>
        <v>199.8</v>
      </c>
      <c r="J204" s="2">
        <f t="shared" si="7"/>
        <v>299.7</v>
      </c>
    </row>
    <row r="205" spans="1:10" x14ac:dyDescent="0.3">
      <c r="A205" s="1" t="s">
        <v>5736</v>
      </c>
      <c r="B205" s="1" t="s">
        <v>5736</v>
      </c>
      <c r="C205" s="1">
        <v>3201000200</v>
      </c>
      <c r="D205" s="1">
        <v>641026030</v>
      </c>
      <c r="E205" s="1" t="s">
        <v>5873</v>
      </c>
      <c r="F205" s="2">
        <v>8990</v>
      </c>
      <c r="G205" s="3">
        <v>0.02</v>
      </c>
      <c r="H205" s="3">
        <v>0.03</v>
      </c>
      <c r="I205" s="2">
        <f t="shared" si="6"/>
        <v>179.8</v>
      </c>
      <c r="J205" s="2">
        <f t="shared" si="7"/>
        <v>269.7</v>
      </c>
    </row>
    <row r="206" spans="1:10" x14ac:dyDescent="0.3">
      <c r="A206" s="1" t="s">
        <v>5790</v>
      </c>
      <c r="B206" s="1" t="s">
        <v>5677</v>
      </c>
      <c r="C206" s="1">
        <v>3201000256</v>
      </c>
      <c r="D206" s="1">
        <v>616687400</v>
      </c>
      <c r="E206" s="1" t="s">
        <v>5874</v>
      </c>
      <c r="F206" s="2">
        <v>16990</v>
      </c>
      <c r="G206" s="3">
        <v>0.02</v>
      </c>
      <c r="H206" s="3">
        <v>0.03</v>
      </c>
      <c r="I206" s="90">
        <f t="shared" si="6"/>
        <v>339.8</v>
      </c>
      <c r="J206" s="2">
        <f t="shared" si="7"/>
        <v>509.7</v>
      </c>
    </row>
    <row r="207" spans="1:10" x14ac:dyDescent="0.3">
      <c r="A207" s="1" t="s">
        <v>5790</v>
      </c>
      <c r="B207" s="1" t="s">
        <v>5677</v>
      </c>
      <c r="C207" s="1">
        <v>3201000341</v>
      </c>
      <c r="D207" s="1">
        <v>616687290</v>
      </c>
      <c r="E207" s="1" t="s">
        <v>5875</v>
      </c>
      <c r="F207" s="2">
        <v>9990</v>
      </c>
      <c r="G207" s="3">
        <v>0.02</v>
      </c>
      <c r="H207" s="3">
        <v>0.03</v>
      </c>
      <c r="I207" s="90">
        <f t="shared" si="6"/>
        <v>199.8</v>
      </c>
      <c r="J207" s="2">
        <f t="shared" si="7"/>
        <v>299.7</v>
      </c>
    </row>
    <row r="208" spans="1:10" x14ac:dyDescent="0.3">
      <c r="C208" s="1">
        <v>3201000272</v>
      </c>
      <c r="D208" s="1">
        <f>_xlfn.XLOOKUP(C208,'[1]by weeks'!$B:$B,'[1]by weeks'!$E:$E,0)</f>
        <v>1291656046</v>
      </c>
      <c r="E208" s="1" t="str">
        <f>_xlfn.XLOOKUP(C208,'[1]by weeks'!$B:$B,'[1]by weeks'!$H:$H,0)</f>
        <v>НАБОР ЧАЙНЫХ ЛОЖЕК 6ШТ. NUOVA</v>
      </c>
      <c r="F208" s="2">
        <v>22990</v>
      </c>
      <c r="G208" s="3">
        <v>0.02</v>
      </c>
      <c r="H208" s="3">
        <v>0.03</v>
      </c>
      <c r="I208" s="90">
        <f t="shared" si="6"/>
        <v>459.8</v>
      </c>
      <c r="J208" s="2">
        <f t="shared" si="7"/>
        <v>689.69999999999993</v>
      </c>
    </row>
    <row r="209" spans="3:10" x14ac:dyDescent="0.3">
      <c r="C209" s="1">
        <v>3201002428</v>
      </c>
      <c r="D209" s="1">
        <f>_xlfn.XLOOKUP(C209,'[1]by weeks'!$B:$B,'[1]by weeks'!$E:$E,0)</f>
        <v>1280636046</v>
      </c>
      <c r="E209" s="1" t="str">
        <f>_xlfn.XLOOKUP(C209,'[1]by weeks'!$B:$B,'[1]by weeks'!$H:$H,0)</f>
        <v>НАБОР ДЛЯ СТЕЙКА 12 ПР. RANCH</v>
      </c>
      <c r="F209" s="2">
        <v>256990</v>
      </c>
      <c r="G209" s="3">
        <v>0.03</v>
      </c>
      <c r="H209" s="3">
        <v>0.04</v>
      </c>
      <c r="I209" s="90">
        <f t="shared" si="6"/>
        <v>7709.7</v>
      </c>
      <c r="J209" s="2">
        <f t="shared" si="7"/>
        <v>10279.6</v>
      </c>
    </row>
    <row r="210" spans="3:10" x14ac:dyDescent="0.3">
      <c r="C210" s="1">
        <v>3201000795</v>
      </c>
      <c r="D210" s="1">
        <f>_xlfn.XLOOKUP(C210,'[1]by weeks'!$B:$B,'[1]by weeks'!$E:$E,0)</f>
        <v>646596030</v>
      </c>
      <c r="E210" s="1" t="str">
        <f>_xlfn.XLOOKUP(C210,'[1]by weeks'!$B:$B,'[1]by weeks'!$H:$H,0)</f>
        <v>МИСКА 20СМ GOURMET KUECHE</v>
      </c>
      <c r="F210" s="2">
        <v>32990</v>
      </c>
      <c r="G210" s="3">
        <v>0.02</v>
      </c>
      <c r="H210" s="3">
        <v>0.03</v>
      </c>
      <c r="I210" s="90">
        <f t="shared" si="6"/>
        <v>659.80000000000007</v>
      </c>
      <c r="J210" s="2">
        <f t="shared" si="7"/>
        <v>989.69999999999993</v>
      </c>
    </row>
    <row r="211" spans="3:10" x14ac:dyDescent="0.3">
      <c r="C211" s="1">
        <v>3201002795</v>
      </c>
      <c r="D211" s="1">
        <f>_xlfn.XLOOKUP(C211,'[1]by weeks'!$B:$B,'[1]by weeks'!$E:$E,0)</f>
        <v>1873086030</v>
      </c>
      <c r="E211" s="1" t="str">
        <f>_xlfn.XLOOKUP(C211,'[1]by weeks'!$B:$B,'[1]by weeks'!$H:$H,0)</f>
        <v>ЛОПАТКА ДЛЯ РЫБЫ PROFI PLUS</v>
      </c>
      <c r="F211" s="2">
        <v>15990</v>
      </c>
      <c r="G211" s="3">
        <v>0.02</v>
      </c>
      <c r="H211" s="3">
        <v>0.03</v>
      </c>
      <c r="I211" s="90">
        <f t="shared" si="6"/>
        <v>319.8</v>
      </c>
      <c r="J211" s="2">
        <f t="shared" si="7"/>
        <v>479.7</v>
      </c>
    </row>
    <row r="212" spans="3:10" x14ac:dyDescent="0.3">
      <c r="C212" s="1">
        <v>3201002764</v>
      </c>
      <c r="D212" s="1">
        <f>_xlfn.XLOOKUP(C212,'[1]by weeks'!$B:$B,'[1]by weeks'!$E:$E,0)</f>
        <v>1894929992</v>
      </c>
      <c r="E212" s="1" t="str">
        <f>_xlfn.XLOOKUP(C212,'[1]by weeks'!$B:$B,'[1]by weeks'!$H:$H,0)</f>
        <v>НАБОР НОЖЕЙ 3 ПР GRAND CLASS</v>
      </c>
      <c r="F212" s="2">
        <v>279990</v>
      </c>
      <c r="G212" s="3">
        <v>0.03</v>
      </c>
      <c r="H212" s="3">
        <v>0.04</v>
      </c>
      <c r="I212" s="90">
        <f t="shared" si="6"/>
        <v>8399.6999999999989</v>
      </c>
      <c r="J212" s="2">
        <f t="shared" si="7"/>
        <v>11199.6</v>
      </c>
    </row>
    <row r="213" spans="3:10" x14ac:dyDescent="0.3">
      <c r="C213" s="1">
        <v>3201002767</v>
      </c>
      <c r="D213" s="1">
        <f>_xlfn.XLOOKUP(C213,'[1]by weeks'!$B:$B,'[1]by weeks'!$E:$E,0)</f>
        <v>1895246032</v>
      </c>
      <c r="E213" s="1" t="str">
        <f>_xlfn.XLOOKUP(C213,'[1]by weeks'!$B:$B,'[1]by weeks'!$H:$H,0)</f>
        <v>РАЗДЕЛОЧНЫЙ НОЖ 12СМ SPITZENKLASSE</v>
      </c>
      <c r="F213" s="2">
        <v>83990</v>
      </c>
      <c r="G213" s="3">
        <v>0.02</v>
      </c>
      <c r="H213" s="3">
        <v>0.03</v>
      </c>
      <c r="I213" s="90">
        <f t="shared" si="6"/>
        <v>1679.8</v>
      </c>
      <c r="J213" s="2">
        <f t="shared" si="7"/>
        <v>2519.6999999999998</v>
      </c>
    </row>
    <row r="214" spans="3:10" x14ac:dyDescent="0.3">
      <c r="C214" s="1">
        <v>3201000189</v>
      </c>
      <c r="D214" s="1">
        <f>_xlfn.XLOOKUP(C214,'[1]by weeks'!$B:$B,'[1]by weeks'!$E:$E,0)</f>
        <v>617706040</v>
      </c>
      <c r="E214" s="1" t="str">
        <f>_xlfn.XLOOKUP(C214,'[1]by weeks'!$B:$B,'[1]by weeks'!$H:$H,0)</f>
        <v>ГРАФИН ДЛЯ ВОДЫ 1 Л BASIC</v>
      </c>
      <c r="F214" s="2">
        <v>52990</v>
      </c>
      <c r="G214" s="3">
        <v>0.02</v>
      </c>
      <c r="H214" s="3">
        <v>0.03</v>
      </c>
      <c r="I214" s="90">
        <f t="shared" si="6"/>
        <v>1059.8</v>
      </c>
      <c r="J214" s="2">
        <f t="shared" si="7"/>
        <v>1589.7</v>
      </c>
    </row>
    <row r="215" spans="3:10" x14ac:dyDescent="0.3">
      <c r="C215" s="1">
        <v>3201005778</v>
      </c>
      <c r="D215" s="1">
        <f>_xlfn.XLOOKUP(C215,'[1]by weeks'!$B:$B,'[1]by weeks'!$E:$E,0)</f>
        <v>651046040</v>
      </c>
      <c r="E215" s="1" t="str">
        <f>_xlfn.XLOOKUP(C215,'[1]by weeks'!$B:$B,'[1]by weeks'!$H:$H,0)</f>
        <v>ГРАФИН 0.8 L, MOTION</v>
      </c>
      <c r="F215" s="2">
        <v>42990</v>
      </c>
      <c r="G215" s="3">
        <v>0.02</v>
      </c>
      <c r="H215" s="3">
        <v>0.03</v>
      </c>
      <c r="I215" s="90">
        <f t="shared" si="6"/>
        <v>859.80000000000007</v>
      </c>
      <c r="J215" s="2">
        <f t="shared" si="7"/>
        <v>1289.7</v>
      </c>
    </row>
    <row r="216" spans="3:10" x14ac:dyDescent="0.3">
      <c r="C216" s="1">
        <v>3201000287</v>
      </c>
      <c r="D216" s="1">
        <f>_xlfn.XLOOKUP(C216,'[1]by weeks'!$B:$B,'[1]by weeks'!$E:$E,0)</f>
        <v>1741016040</v>
      </c>
      <c r="E216" s="1" t="str">
        <f>_xlfn.XLOOKUP(C216,'[1]by weeks'!$B:$B,'[1]by weeks'!$H:$H,0)</f>
        <v xml:space="preserve">ЖАРОВНЯ 6,5 Л VITALIS </v>
      </c>
      <c r="F216" s="2">
        <v>246990</v>
      </c>
      <c r="G216" s="3">
        <v>0.03</v>
      </c>
      <c r="H216" s="3">
        <v>0.04</v>
      </c>
      <c r="I216" s="90">
        <f t="shared" si="6"/>
        <v>7409.7</v>
      </c>
      <c r="J216" s="2">
        <f t="shared" si="7"/>
        <v>9879.6</v>
      </c>
    </row>
    <row r="217" spans="3:10" x14ac:dyDescent="0.3">
      <c r="C217" s="1">
        <v>3201111701</v>
      </c>
      <c r="D217" s="1">
        <f>_xlfn.XLOOKUP(C217,'[1]by weeks'!$B:$B,'[1]by weeks'!$E:$E,0)</f>
        <v>517405290</v>
      </c>
      <c r="E217" s="1" t="str">
        <f>_xlfn.XLOOKUP(C217,'[1]by weeks'!$B:$B,'[1]by weeks'!$H:$H,0)</f>
        <v>НАБОР КАСТРЮЛЬ FT FUNCTIONAL T 4-ПР. (ЧЕРНЫЙ)</v>
      </c>
      <c r="F217" s="2">
        <v>652990</v>
      </c>
      <c r="G217" s="3">
        <v>0.03</v>
      </c>
      <c r="H217" s="3">
        <v>0.04</v>
      </c>
      <c r="I217" s="90">
        <f t="shared" si="6"/>
        <v>19589.7</v>
      </c>
      <c r="J217" s="2">
        <f t="shared" si="7"/>
        <v>26119.600000000002</v>
      </c>
    </row>
    <row r="218" spans="3:10" x14ac:dyDescent="0.3">
      <c r="C218" s="1">
        <v>3201006007</v>
      </c>
      <c r="D218" s="1">
        <f>_xlfn.XLOOKUP(C218,'[1]by weeks'!$B:$B,'[1]by weeks'!$E:$E,0)</f>
        <v>514395290</v>
      </c>
      <c r="E218" s="1" t="str">
        <f>_xlfn.XLOOKUP(C218,'[1]by weeks'!$B:$B,'[1]by weeks'!$H:$H,0)</f>
        <v>КАСТРЮЛЯ  20 СМ ROSE QUARTZ FUSIONTEC</v>
      </c>
      <c r="F218" s="2">
        <v>191990</v>
      </c>
      <c r="G218" s="3">
        <v>0.02</v>
      </c>
      <c r="H218" s="3">
        <v>0.03</v>
      </c>
      <c r="I218" s="90">
        <f t="shared" si="6"/>
        <v>3839.8</v>
      </c>
      <c r="J218" s="2">
        <f t="shared" si="7"/>
        <v>5759.7</v>
      </c>
    </row>
    <row r="219" spans="3:10" x14ac:dyDescent="0.3">
      <c r="C219" s="1">
        <v>8900547728</v>
      </c>
      <c r="D219" s="1">
        <f>_xlfn.XLOOKUP(C219,'[1]by weeks'!$B:$B,'[1]by weeks'!$E:$E,0)</f>
        <v>790556380</v>
      </c>
      <c r="E219" s="1" t="str">
        <f>_xlfn.XLOOKUP(C219,'[1]by weeks'!$B:$B,'[1]by weeks'!$H:$H,0)</f>
        <v>НАБОР КАСТРЮЛЬ 5 ПРЕДМЕТОВ COMPACT CUISINE</v>
      </c>
      <c r="F219" s="2">
        <v>554990</v>
      </c>
      <c r="G219" s="3">
        <v>0.03</v>
      </c>
      <c r="H219" s="3">
        <v>0.04</v>
      </c>
      <c r="I219" s="90">
        <f t="shared" si="6"/>
        <v>16649.7</v>
      </c>
      <c r="J219" s="2">
        <f t="shared" si="7"/>
        <v>22199.600000000002</v>
      </c>
    </row>
    <row r="220" spans="3:10" x14ac:dyDescent="0.3">
      <c r="C220" s="1">
        <v>3201112135</v>
      </c>
      <c r="D220" s="1">
        <f>_xlfn.XLOOKUP(C220,'[1]by weeks'!$B:$B,'[1]by weeks'!$E:$E,0)</f>
        <v>732556040</v>
      </c>
      <c r="E220" s="1" t="str">
        <f>_xlfn.XLOOKUP(C220,'[1]by weeks'!$B:$B,'[1]by weeks'!$H:$H,0)</f>
        <v>НАБОР КАСТРЮЛЬ 5 ПР. COMFORT LINE</v>
      </c>
      <c r="F220" s="2">
        <v>256990</v>
      </c>
      <c r="G220" s="3">
        <v>0.03</v>
      </c>
      <c r="H220" s="3">
        <v>0.04</v>
      </c>
      <c r="I220" s="90">
        <f t="shared" si="6"/>
        <v>7709.7</v>
      </c>
      <c r="J220" s="2">
        <f t="shared" si="7"/>
        <v>10279.6</v>
      </c>
    </row>
    <row r="221" spans="3:10" x14ac:dyDescent="0.3">
      <c r="C221" s="1">
        <v>3200000015</v>
      </c>
      <c r="D221" s="1">
        <f>_xlfn.XLOOKUP(C221,'[1]by weeks'!$B:$B,'[1]by weeks'!$E:$E,0)</f>
        <v>414100011</v>
      </c>
      <c r="E221" s="1" t="str">
        <f>_xlfn.XLOOKUP(C221,'[1]by weeks'!$B:$B,'[1]by weeks'!$H:$H,0)</f>
        <v>ТОСТЕР KITCHENMINIS</v>
      </c>
      <c r="F221" s="2">
        <v>78990</v>
      </c>
      <c r="G221" s="3">
        <v>0.02</v>
      </c>
      <c r="H221" s="3">
        <v>0.03</v>
      </c>
      <c r="I221" s="90">
        <f t="shared" si="6"/>
        <v>1579.8</v>
      </c>
      <c r="J221" s="2">
        <f t="shared" si="7"/>
        <v>2369.6999999999998</v>
      </c>
    </row>
    <row r="222" spans="3:10" x14ac:dyDescent="0.3">
      <c r="C222" s="1">
        <v>3200002260</v>
      </c>
      <c r="D222" s="1">
        <f>_xlfn.XLOOKUP(C222,'[1]by weeks'!$B:$B,'[1]by weeks'!$E:$E,0)</f>
        <v>413140071</v>
      </c>
      <c r="E222" s="1" t="str">
        <f>_xlfn.XLOOKUP(C222,'[1]by weeks'!$B:$B,'[1]by weeks'!$H:$H,0)</f>
        <v>ЭЛЕКТРИЧЕСКИЙ ЧАЙНИК 0,8Л KITCHENMINIS BLACK</v>
      </c>
      <c r="F222" s="2">
        <v>121990</v>
      </c>
      <c r="G222" s="3">
        <v>0.02</v>
      </c>
      <c r="H222" s="3">
        <v>0.03</v>
      </c>
      <c r="I222" s="90">
        <f t="shared" si="6"/>
        <v>2439.8000000000002</v>
      </c>
      <c r="J222" s="90">
        <f t="shared" si="7"/>
        <v>3659.7</v>
      </c>
    </row>
    <row r="223" spans="3:10" x14ac:dyDescent="0.3">
      <c r="C223" s="1">
        <v>3201112310</v>
      </c>
      <c r="D223" s="1">
        <f>_xlfn.XLOOKUP(C223,'[1]by weeks'!$B:$B,'[1]by weeks'!$E:$E,0)</f>
        <v>1882199992</v>
      </c>
      <c r="E223" s="1" t="str">
        <f>_xlfn.XLOOKUP(C223,'[1]by weeks'!$B:$B,'[1]by weeks'!$H:$H,0)</f>
        <v>НАБОР НОЖЕЙ 6 ПР. С БЛОКОМ SEQUENCE</v>
      </c>
      <c r="F223" s="2">
        <v>303990</v>
      </c>
      <c r="G223" s="3">
        <v>0.03</v>
      </c>
      <c r="H223" s="3">
        <v>0.04</v>
      </c>
      <c r="I223" s="90">
        <f t="shared" si="6"/>
        <v>9119.6999999999989</v>
      </c>
      <c r="J223" s="90">
        <f t="shared" si="7"/>
        <v>12159.6</v>
      </c>
    </row>
    <row r="224" spans="3:10" x14ac:dyDescent="0.3">
      <c r="C224" s="1">
        <v>3201112503</v>
      </c>
      <c r="D224" s="1">
        <f>_xlfn.XLOOKUP(C224,'[1]by weeks'!$B:$B,'[1]by weeks'!$E:$E,0)</f>
        <v>1120009002</v>
      </c>
      <c r="E224" s="1" t="str">
        <f>_xlfn.XLOOKUP(C224,'[1]by weeks'!$B:$B,'[1]by weeks'!$H:$H,0)</f>
        <v>НАБОР СТОЛОВЫХ ПРИБОРОВ 60 ПР.  BOSTON</v>
      </c>
      <c r="F224" s="2">
        <v>240990</v>
      </c>
      <c r="G224" s="3">
        <v>0.03</v>
      </c>
      <c r="H224" s="3">
        <v>0.04</v>
      </c>
      <c r="I224" s="90">
        <f t="shared" si="6"/>
        <v>7229.7</v>
      </c>
      <c r="J224" s="90">
        <f t="shared" si="7"/>
        <v>9639.6</v>
      </c>
    </row>
    <row r="225" spans="3:10" x14ac:dyDescent="0.3">
      <c r="C225" s="1">
        <v>3201000232</v>
      </c>
      <c r="D225" s="1">
        <f>_xlfn.XLOOKUP(C225,'[1]by weeks'!$B:$B,'[1]by weeks'!$E:$E,0)</f>
        <v>1886869990</v>
      </c>
      <c r="E225" s="1" t="str">
        <f>_xlfn.XLOOKUP(C225,'[1]by weeks'!$B:$B,'[1]by weeks'!$H:$H,0)</f>
        <v>РАЗДЕЛОЧНАЯ ДОСКА СО СЛИВОМ 26Х20 СМ</v>
      </c>
      <c r="F225" s="2">
        <v>23990</v>
      </c>
      <c r="G225" s="3">
        <v>0.02</v>
      </c>
      <c r="H225" s="3">
        <v>0.03</v>
      </c>
      <c r="I225" s="90">
        <f t="shared" si="6"/>
        <v>479.8</v>
      </c>
      <c r="J225" s="90">
        <f t="shared" si="7"/>
        <v>719.69999999999993</v>
      </c>
    </row>
    <row r="226" spans="3:10" x14ac:dyDescent="0.3">
      <c r="C226" s="1">
        <v>3200002323</v>
      </c>
      <c r="D226" s="1">
        <f>_xlfn.XLOOKUP(C226,'[1]by weeks'!$B:$B,'[1]by weeks'!$E:$E,0)</f>
        <v>415570011</v>
      </c>
      <c r="E226" s="1" t="str">
        <f>_xlfn.XLOOKUP(C226,'[1]by weeks'!$B:$B,'[1]by weeks'!$H:$H,0)</f>
        <v>АЭРОГРИЛЬ MULTI TASTE</v>
      </c>
      <c r="F226" s="2">
        <v>238990</v>
      </c>
      <c r="G226" s="3">
        <v>0.03</v>
      </c>
      <c r="H226" s="3">
        <v>0.04</v>
      </c>
      <c r="I226" s="90">
        <f t="shared" si="6"/>
        <v>7169.7</v>
      </c>
      <c r="J226" s="90">
        <f t="shared" si="7"/>
        <v>9559.6</v>
      </c>
    </row>
    <row r="227" spans="3:10" x14ac:dyDescent="0.3">
      <c r="C227" s="1">
        <v>3200002234</v>
      </c>
      <c r="D227" s="1">
        <f>_xlfn.XLOOKUP(C227,'[1]by weeks'!$B:$B,'[1]by weeks'!$E:$E,0)</f>
        <v>414120071</v>
      </c>
      <c r="E227" s="1" t="str">
        <f>_xlfn.XLOOKUP(C227,'[1]by weeks'!$B:$B,'[1]by weeks'!$H:$H,0)</f>
        <v>ЭЛЕКТРИЧЕСКИЙ ТОСТЕР LONG SLOT KITCHENMINIS BLACK</v>
      </c>
      <c r="F227" s="2">
        <v>121990</v>
      </c>
      <c r="G227" s="3">
        <v>0.02</v>
      </c>
      <c r="H227" s="3">
        <v>0.03</v>
      </c>
      <c r="I227" s="90">
        <f t="shared" si="6"/>
        <v>2439.8000000000002</v>
      </c>
      <c r="J227" s="90">
        <f t="shared" si="7"/>
        <v>3659.7</v>
      </c>
    </row>
    <row r="228" spans="3:10" x14ac:dyDescent="0.3">
      <c r="C228" s="1">
        <v>3200002261</v>
      </c>
      <c r="D228" s="1">
        <f>_xlfn.XLOOKUP(C228,'[1]by weeks'!$B:$B,'[1]by weeks'!$E:$E,0)</f>
        <v>416500071</v>
      </c>
      <c r="E228" s="1" t="str">
        <f>_xlfn.XLOOKUP(C228,'[1]by weeks'!$B:$B,'[1]by weeks'!$H:$H,0)</f>
        <v>Электрический блендер Smoothie-to-go KITCHENminis Black</v>
      </c>
      <c r="F228" s="2">
        <v>82990</v>
      </c>
      <c r="G228" s="3">
        <v>0.02</v>
      </c>
      <c r="H228" s="3">
        <v>0.03</v>
      </c>
      <c r="I228" s="90">
        <f t="shared" si="6"/>
        <v>1659.8</v>
      </c>
      <c r="J228" s="90">
        <f t="shared" si="7"/>
        <v>2489.6999999999998</v>
      </c>
    </row>
    <row r="229" spans="3:10" x14ac:dyDescent="0.3">
      <c r="C229" s="1">
        <v>3201112521</v>
      </c>
      <c r="D229" s="1">
        <f>_xlfn.XLOOKUP(C229,[2]Sheet1!$A:$A,[2]Sheet1!$B:$B)</f>
        <v>1207916340</v>
      </c>
      <c r="E229" s="1" t="str">
        <f>_xlfn.XLOOKUP(C229,[2]Sheet1!$A:$A,[2]Sheet1!$J:$J)</f>
        <v>Столовые приборы 30 пр. KENT Plus</v>
      </c>
      <c r="F229" s="2">
        <v>292990</v>
      </c>
      <c r="G229" s="3">
        <v>0.03</v>
      </c>
      <c r="H229" s="3">
        <v>0.04</v>
      </c>
      <c r="I229" s="90">
        <f t="shared" si="6"/>
        <v>8789.6999999999989</v>
      </c>
      <c r="J229" s="90">
        <f t="shared" si="7"/>
        <v>11719.6</v>
      </c>
    </row>
    <row r="230" spans="3:10" x14ac:dyDescent="0.3">
      <c r="C230" s="1">
        <v>3201112302</v>
      </c>
      <c r="D230" s="1">
        <f>_xlfn.XLOOKUP(C230,[2]Sheet1!$A:$A,[2]Sheet1!$B:$B)</f>
        <v>1894929992</v>
      </c>
      <c r="E230" s="1" t="str">
        <f>_xlfn.XLOOKUP(C230,[2]Sheet1!$A:$A,[2]Sheet1!$J:$J)</f>
        <v>Набор ножей 3 пр GRAND CLASS</v>
      </c>
      <c r="F230" s="2">
        <v>279990</v>
      </c>
      <c r="G230" s="3">
        <v>0.03</v>
      </c>
      <c r="H230" s="3">
        <v>0.04</v>
      </c>
      <c r="I230" s="90">
        <f t="shared" si="6"/>
        <v>8399.6999999999989</v>
      </c>
      <c r="J230" s="90">
        <f t="shared" si="7"/>
        <v>11199.6</v>
      </c>
    </row>
    <row r="231" spans="3:10" x14ac:dyDescent="0.3">
      <c r="C231" s="1">
        <v>3201112305</v>
      </c>
      <c r="D231" s="1">
        <f>_xlfn.XLOOKUP(C231,[2]Sheet1!$A:$A,[2]Sheet1!$B:$B)</f>
        <v>1894919992</v>
      </c>
      <c r="E231" s="1" t="str">
        <f>_xlfn.XLOOKUP(C231,[2]Sheet1!$A:$A,[2]Sheet1!$J:$J)</f>
        <v>Набор кухонных ножей 3 пр. SPITZENKLASSE</v>
      </c>
      <c r="F231" s="2">
        <v>256990</v>
      </c>
      <c r="G231" s="3">
        <v>0.03</v>
      </c>
      <c r="H231" s="3">
        <v>0.04</v>
      </c>
      <c r="I231" s="90">
        <f t="shared" si="6"/>
        <v>7709.7</v>
      </c>
      <c r="J231" s="90">
        <f t="shared" si="7"/>
        <v>10279.6</v>
      </c>
    </row>
    <row r="232" spans="3:10" x14ac:dyDescent="0.3">
      <c r="C232" s="1">
        <v>3200000436</v>
      </c>
      <c r="D232" s="1">
        <f>_xlfn.XLOOKUP(C232,[2]Sheet1!$A:$A,[2]Sheet1!$B:$B)</f>
        <v>419070011</v>
      </c>
      <c r="E232" s="1" t="str">
        <f>_xlfn.XLOOKUP(C232,[2]Sheet1!$A:$A,[2]Sheet1!$J:$J)</f>
        <v xml:space="preserve">ВАКУУМНЫЙ УПАКОВЩИК LONO </v>
      </c>
      <c r="F232" s="2">
        <v>172990</v>
      </c>
      <c r="G232" s="3">
        <v>0.02</v>
      </c>
      <c r="H232" s="3">
        <v>0.03</v>
      </c>
      <c r="I232" s="90">
        <f t="shared" si="6"/>
        <v>3459.8</v>
      </c>
      <c r="J232" s="90">
        <f t="shared" si="7"/>
        <v>5189.7</v>
      </c>
    </row>
    <row r="233" spans="3:10" x14ac:dyDescent="0.3">
      <c r="C233" s="1">
        <v>3200000496</v>
      </c>
      <c r="D233" s="1">
        <f>_xlfn.XLOOKUP(C233,[2]Sheet1!$A:$A,[2]Sheet1!$B:$B)</f>
        <v>413170711</v>
      </c>
      <c r="E233" s="1" t="str">
        <f>_xlfn.XLOOKUP(C233,[2]Sheet1!$A:$A,[2]Sheet1!$J:$J)</f>
        <v>Капучинатор  LONO Milk&amp;Choc</v>
      </c>
      <c r="F233" s="2">
        <v>165990</v>
      </c>
      <c r="G233" s="3">
        <v>0.02</v>
      </c>
      <c r="H233" s="3">
        <v>0.03</v>
      </c>
      <c r="I233" s="90">
        <f t="shared" si="6"/>
        <v>3319.8</v>
      </c>
      <c r="J233" s="90">
        <f t="shared" si="7"/>
        <v>4979.7</v>
      </c>
    </row>
    <row r="234" spans="3:10" x14ac:dyDescent="0.3">
      <c r="C234" s="1">
        <v>3201112492</v>
      </c>
      <c r="D234" s="1">
        <f>_xlfn.XLOOKUP(C234,[2]Sheet1!$A:$A,[2]Sheet1!$B:$B)</f>
        <v>1120916040</v>
      </c>
      <c r="E234" s="1" t="str">
        <f>_xlfn.XLOOKUP(C234,[2]Sheet1!$A:$A,[2]Sheet1!$J:$J)</f>
        <v>Столовые приборы 30 пр.  BOSTON</v>
      </c>
      <c r="F234" s="2">
        <v>167990</v>
      </c>
      <c r="G234" s="3">
        <v>0.02</v>
      </c>
      <c r="H234" s="3">
        <v>0.03</v>
      </c>
      <c r="I234" s="90">
        <f t="shared" si="6"/>
        <v>3359.8</v>
      </c>
      <c r="J234" s="90">
        <f t="shared" si="7"/>
        <v>5039.7</v>
      </c>
    </row>
    <row r="235" spans="3:10" x14ac:dyDescent="0.3">
      <c r="C235" s="1">
        <v>3200000026</v>
      </c>
      <c r="D235" s="1">
        <f>_xlfn.XLOOKUP(C235,[2]Sheet1!$A:$A,[2]Sheet1!$B:$B)</f>
        <v>416400011</v>
      </c>
      <c r="E235" s="1" t="str">
        <f>_xlfn.XLOOKUP(C235,[2]Sheet1!$A:$A,[2]Sheet1!$J:$J)</f>
        <v>ОВОЩЕРЕЗКА KITCHENMINIS SALAD-TO-GO</v>
      </c>
      <c r="F235" s="2">
        <v>113990</v>
      </c>
      <c r="G235" s="3">
        <v>0.02</v>
      </c>
      <c r="H235" s="3">
        <v>0.03</v>
      </c>
      <c r="I235" s="90">
        <f t="shared" si="6"/>
        <v>2279.8000000000002</v>
      </c>
      <c r="J235" s="90">
        <f t="shared" si="7"/>
        <v>3419.7</v>
      </c>
    </row>
    <row r="236" spans="3:10" x14ac:dyDescent="0.3">
      <c r="C236" s="1">
        <v>3200000452</v>
      </c>
      <c r="D236" s="1">
        <f>_xlfn.XLOOKUP(C236,[2]Sheet1!$A:$A,[2]Sheet1!$B:$B)</f>
        <v>415400011</v>
      </c>
      <c r="E236" s="1" t="str">
        <f>_xlfn.XLOOKUP(C236,[2]Sheet1!$A:$A,[2]Sheet1!$J:$J)</f>
        <v>Охладитель для вина и шампанского AMBIENTE</v>
      </c>
      <c r="F236" s="2">
        <v>103990</v>
      </c>
      <c r="G236" s="3">
        <v>0.02</v>
      </c>
      <c r="H236" s="3">
        <v>0.03</v>
      </c>
      <c r="I236" s="90">
        <f t="shared" si="6"/>
        <v>2079.8000000000002</v>
      </c>
      <c r="J236" s="90">
        <f t="shared" si="7"/>
        <v>3119.7</v>
      </c>
    </row>
    <row r="237" spans="3:10" x14ac:dyDescent="0.3">
      <c r="C237" s="1">
        <v>3200000444</v>
      </c>
      <c r="D237" s="1">
        <f>_xlfn.XLOOKUP(C237,[2]Sheet1!$A:$A,[2]Sheet1!$B:$B)</f>
        <v>413190011</v>
      </c>
      <c r="E237" s="1" t="str">
        <f>_xlfn.XLOOKUP(C237,[2]Sheet1!$A:$A,[2]Sheet1!$J:$J)</f>
        <v xml:space="preserve">Чайник стеклянный KITCHENminis 0.8
</v>
      </c>
      <c r="F237" s="2">
        <v>103990</v>
      </c>
      <c r="G237" s="3">
        <v>0.02</v>
      </c>
      <c r="H237" s="3">
        <v>0.03</v>
      </c>
      <c r="I237" s="90">
        <f t="shared" si="6"/>
        <v>2079.8000000000002</v>
      </c>
      <c r="J237" s="90">
        <f t="shared" si="7"/>
        <v>3119.7</v>
      </c>
    </row>
    <row r="238" spans="3:10" x14ac:dyDescent="0.3">
      <c r="C238" s="1">
        <v>3200000478</v>
      </c>
      <c r="D238" s="1">
        <f>_xlfn.XLOOKUP(C238,[2]Sheet1!$A:$A,[2]Sheet1!$B:$B)</f>
        <v>414100711</v>
      </c>
      <c r="E238" s="1" t="str">
        <f>_xlfn.XLOOKUP(C238,[2]Sheet1!$A:$A,[2]Sheet1!$J:$J)</f>
        <v>ЭЛЕКТРИЧЕСКИЙ ТОСТЕР KITCHENMINIS (НА 1 ТОСТ)</v>
      </c>
      <c r="F238" s="2">
        <v>72990</v>
      </c>
      <c r="G238" s="3">
        <v>0.02</v>
      </c>
      <c r="H238" s="3">
        <v>0.03</v>
      </c>
      <c r="I238" s="90">
        <f t="shared" si="6"/>
        <v>1459.8</v>
      </c>
      <c r="J238" s="90">
        <f t="shared" si="7"/>
        <v>2189.6999999999998</v>
      </c>
    </row>
    <row r="239" spans="3:10" x14ac:dyDescent="0.3">
      <c r="C239" s="1">
        <v>3201000248</v>
      </c>
      <c r="D239" s="1">
        <f>_xlfn.XLOOKUP(C239,[2]Sheet1!$A:$A,[2]Sheet1!$B:$B)</f>
        <v>1895476032</v>
      </c>
      <c r="E239" s="1" t="str">
        <f>_xlfn.XLOOKUP(C239,[2]Sheet1!$A:$A,[2]Sheet1!$J:$J)</f>
        <v>Нож поварской 15 см SPITZENKLASSE</v>
      </c>
      <c r="F239" s="2">
        <v>83990</v>
      </c>
      <c r="G239" s="3">
        <v>0.02</v>
      </c>
      <c r="H239" s="3">
        <v>0.03</v>
      </c>
      <c r="I239" s="90">
        <f t="shared" si="6"/>
        <v>1679.8</v>
      </c>
      <c r="J239" s="90">
        <f t="shared" si="7"/>
        <v>2519.6999999999998</v>
      </c>
    </row>
    <row r="240" spans="3:10" x14ac:dyDescent="0.3">
      <c r="C240" s="1">
        <v>3201000247</v>
      </c>
      <c r="D240" s="1">
        <f>_xlfn.XLOOKUP(C240,[2]Sheet1!$A:$A,[2]Sheet1!$B:$B)</f>
        <v>1895466032</v>
      </c>
      <c r="E240" s="1" t="str">
        <f>_xlfn.XLOOKUP(C240,[2]Sheet1!$A:$A,[2]Sheet1!$J:$J)</f>
        <v>Нож для стейка 12 см SPITZENKLASSE</v>
      </c>
      <c r="F240" s="2">
        <v>72990</v>
      </c>
      <c r="G240" s="3">
        <v>0.02</v>
      </c>
      <c r="H240" s="3">
        <v>0.03</v>
      </c>
      <c r="I240" s="90">
        <f t="shared" si="6"/>
        <v>1459.8</v>
      </c>
      <c r="J240" s="90">
        <f t="shared" si="7"/>
        <v>2189.6999999999998</v>
      </c>
    </row>
    <row r="241" spans="3:10" x14ac:dyDescent="0.3">
      <c r="C241" s="1">
        <v>3201002425</v>
      </c>
      <c r="D241" s="1">
        <f>_xlfn.XLOOKUP(C241,[2]Sheet1!$A:$A,[2]Sheet1!$B:$B)</f>
        <v>1280029964</v>
      </c>
      <c r="E241" s="1" t="str">
        <f>_xlfn.XLOOKUP(C241,[2]Sheet1!$A:$A,[2]Sheet1!$J:$J)</f>
        <v>Детский набор приборов, 6 шт, Safari</v>
      </c>
      <c r="F241" s="2">
        <v>61990</v>
      </c>
      <c r="G241" s="3">
        <v>0.02</v>
      </c>
      <c r="H241" s="3">
        <v>0.03</v>
      </c>
      <c r="I241" s="90">
        <f t="shared" si="6"/>
        <v>1239.8</v>
      </c>
      <c r="J241" s="90">
        <f t="shared" si="7"/>
        <v>1859.6999999999998</v>
      </c>
    </row>
    <row r="242" spans="3:10" x14ac:dyDescent="0.3">
      <c r="C242" s="1">
        <v>3201000280</v>
      </c>
      <c r="D242" s="1">
        <f>_xlfn.XLOOKUP(C242,[2]Sheet1!$A:$A,[2]Sheet1!$B:$B)</f>
        <v>1294059964</v>
      </c>
      <c r="E242" s="1" t="str">
        <f>_xlfn.XLOOKUP(C242,[2]Sheet1!$A:$A,[2]Sheet1!$J:$J)</f>
        <v>Детский набор приборов, 6 шт, The Litt</v>
      </c>
      <c r="F242" s="2">
        <v>61990</v>
      </c>
      <c r="G242" s="3">
        <v>0.02</v>
      </c>
      <c r="H242" s="3">
        <v>0.03</v>
      </c>
      <c r="I242" s="90">
        <f t="shared" si="6"/>
        <v>1239.8</v>
      </c>
      <c r="J242" s="90">
        <f t="shared" si="7"/>
        <v>1859.6999999999998</v>
      </c>
    </row>
    <row r="243" spans="3:10" x14ac:dyDescent="0.3">
      <c r="C243" s="1">
        <v>3201001268</v>
      </c>
      <c r="D243" s="1">
        <f>_xlfn.XLOOKUP(C243,[2]Sheet1!$A:$A,[2]Sheet1!$B:$B)</f>
        <v>741086290</v>
      </c>
      <c r="E243" s="1" t="str">
        <f>_xlfn.XLOOKUP(C243,[2]Sheet1!$A:$A,[2]Sheet1!$J:$J)</f>
        <v>Сковорода WMF NordicProfi 28cm</v>
      </c>
      <c r="F243" s="2">
        <v>49990</v>
      </c>
      <c r="G243" s="3">
        <v>0.02</v>
      </c>
      <c r="H243" s="3">
        <v>0.03</v>
      </c>
      <c r="I243" s="90">
        <f t="shared" si="6"/>
        <v>999.80000000000007</v>
      </c>
      <c r="J243" s="90">
        <f t="shared" si="7"/>
        <v>1499.7</v>
      </c>
    </row>
    <row r="244" spans="3:10" x14ac:dyDescent="0.3">
      <c r="C244" s="1">
        <v>3201000792</v>
      </c>
      <c r="D244" s="1">
        <f>_xlfn.XLOOKUP(C244,[2]Sheet1!$A:$A,[2]Sheet1!$B:$B)</f>
        <v>646176040</v>
      </c>
      <c r="E244" s="1" t="str">
        <f>_xlfn.XLOOKUP(C244,[2]Sheet1!$A:$A,[2]Sheet1!$J:$J)</f>
        <v>Дуршлаг на ножках 24 см GOURMET KUECHE</v>
      </c>
      <c r="F244" s="2">
        <v>50990</v>
      </c>
      <c r="G244" s="3">
        <v>0.02</v>
      </c>
      <c r="H244" s="3">
        <v>0.03</v>
      </c>
      <c r="I244" s="90">
        <f t="shared" si="6"/>
        <v>1019.8000000000001</v>
      </c>
      <c r="J244" s="90">
        <f t="shared" si="7"/>
        <v>1529.7</v>
      </c>
    </row>
    <row r="245" spans="3:10" x14ac:dyDescent="0.3">
      <c r="C245" s="1">
        <v>3201002562</v>
      </c>
      <c r="D245" s="1">
        <f>_xlfn.XLOOKUP(C245,[2]Sheet1!$A:$A,[2]Sheet1!$B:$B)</f>
        <v>1294406040</v>
      </c>
      <c r="E245" s="1" t="str">
        <f>_xlfn.XLOOKUP(C245,[2]Sheet1!$A:$A,[2]Sheet1!$J:$J)</f>
        <v>Детский набор приборов, 4 шт, Biene Maya</v>
      </c>
      <c r="F245" s="2">
        <v>43990</v>
      </c>
      <c r="G245" s="3">
        <v>0.02</v>
      </c>
      <c r="H245" s="3">
        <v>0.03</v>
      </c>
      <c r="I245" s="90">
        <f t="shared" si="6"/>
        <v>879.80000000000007</v>
      </c>
      <c r="J245" s="90">
        <f t="shared" si="7"/>
        <v>1319.7</v>
      </c>
    </row>
    <row r="246" spans="3:10" x14ac:dyDescent="0.3">
      <c r="C246" s="1">
        <v>3201001651</v>
      </c>
      <c r="D246" s="1">
        <f>_xlfn.XLOOKUP(C246,[2]Sheet1!$A:$A,[2]Sheet1!$B:$B)</f>
        <v>917622600</v>
      </c>
      <c r="E246" s="1" t="str">
        <f>_xlfn.XLOOKUP(C246,[2]Sheet1!$A:$A,[2]Sheet1!$J:$J)</f>
        <v>Набор для салата 3пр. маленький TAVERNO</v>
      </c>
      <c r="F246" s="2">
        <v>39990</v>
      </c>
      <c r="G246" s="3">
        <v>0.02</v>
      </c>
      <c r="H246" s="3">
        <v>0.03</v>
      </c>
      <c r="I246" s="90">
        <f t="shared" si="6"/>
        <v>799.80000000000007</v>
      </c>
      <c r="J246" s="90">
        <f t="shared" si="7"/>
        <v>1199.7</v>
      </c>
    </row>
    <row r="247" spans="3:10" x14ac:dyDescent="0.3">
      <c r="C247" s="1">
        <v>3201002621</v>
      </c>
      <c r="D247" s="1">
        <f>_xlfn.XLOOKUP(C247,[2]Sheet1!$A:$A,[2]Sheet1!$B:$B)</f>
        <v>720399902</v>
      </c>
      <c r="E247" s="1" t="str">
        <f>_xlfn.XLOOKUP(C247,[2]Sheet1!$A:$A,[2]Sheet1!$J:$J)</f>
        <v>Крышка для сковороды 20 см WMF</v>
      </c>
      <c r="F247" s="2">
        <v>27990</v>
      </c>
      <c r="G247" s="3">
        <v>0.02</v>
      </c>
      <c r="H247" s="3">
        <v>0.03</v>
      </c>
      <c r="I247" s="90">
        <f t="shared" si="6"/>
        <v>559.80000000000007</v>
      </c>
      <c r="J247" s="90">
        <f t="shared" si="7"/>
        <v>839.69999999999993</v>
      </c>
    </row>
    <row r="248" spans="3:10" x14ac:dyDescent="0.3">
      <c r="C248" s="1">
        <v>3201000118</v>
      </c>
      <c r="D248" s="1">
        <f>_xlfn.XLOOKUP(C248,[2]Sheet1!$A:$A,[2]Sheet1!$B:$B)</f>
        <v>644416030</v>
      </c>
      <c r="E248" s="1" t="str">
        <f>_xlfn.XLOOKUP(C248,[2]Sheet1!$A:$A,[2]Sheet1!$J:$J)</f>
        <v>Терка 4-хгранная</v>
      </c>
      <c r="F248" s="2">
        <v>24990</v>
      </c>
      <c r="G248" s="3">
        <v>0.02</v>
      </c>
      <c r="H248" s="3">
        <v>0.03</v>
      </c>
      <c r="I248" s="90">
        <f t="shared" si="6"/>
        <v>499.8</v>
      </c>
      <c r="J248" s="90">
        <f t="shared" si="7"/>
        <v>749.69999999999993</v>
      </c>
    </row>
  </sheetData>
  <autoFilter ref="A2:J228" xr:uid="{4F993933-0058-4F30-BF81-3D1A1EA8AB8F}"/>
  <conditionalFormatting sqref="C1:C228 C249:C1048576">
    <cfRule type="duplicateValues" dxfId="5" priority="6"/>
    <cfRule type="duplicateValues" dxfId="4" priority="204"/>
  </conditionalFormatting>
  <conditionalFormatting sqref="C229:C248">
    <cfRule type="duplicateValues" dxfId="3" priority="2"/>
    <cfRule type="duplicateValues" dxfId="2" priority="3"/>
    <cfRule type="duplicateValues" dxfId="1" priority="4"/>
  </conditionalFormatting>
  <conditionalFormatting sqref="D249:D1048576 D1:D207 C208:C228">
    <cfRule type="duplicateValues" dxfId="0" priority="7"/>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48E6-1011-499A-A2CE-8483F3D37131}">
  <dimension ref="A1:E5322"/>
  <sheetViews>
    <sheetView workbookViewId="0">
      <selection activeCell="D966" sqref="D966"/>
    </sheetView>
  </sheetViews>
  <sheetFormatPr defaultRowHeight="14.4" x14ac:dyDescent="0.3"/>
  <cols>
    <col min="3" max="3" width="65.88671875" customWidth="1"/>
    <col min="4" max="4" width="37.33203125" customWidth="1"/>
  </cols>
  <sheetData>
    <row r="1" spans="1:5" x14ac:dyDescent="0.3">
      <c r="A1" t="s">
        <v>449</v>
      </c>
      <c r="B1" t="s">
        <v>0</v>
      </c>
      <c r="C1" t="s">
        <v>450</v>
      </c>
      <c r="D1" t="s">
        <v>451</v>
      </c>
    </row>
    <row r="2" spans="1:5" x14ac:dyDescent="0.3">
      <c r="A2" t="s">
        <v>446</v>
      </c>
      <c r="B2">
        <v>0</v>
      </c>
      <c r="C2">
        <v>0</v>
      </c>
      <c r="D2" t="s">
        <v>452</v>
      </c>
      <c r="E2" t="str">
        <f>A2&amp;B2</f>
        <v>Sulpak0</v>
      </c>
    </row>
    <row r="3" spans="1:5" x14ac:dyDescent="0.3">
      <c r="A3" t="s">
        <v>446</v>
      </c>
      <c r="B3">
        <v>0</v>
      </c>
      <c r="C3">
        <v>0</v>
      </c>
      <c r="D3" t="s">
        <v>453</v>
      </c>
      <c r="E3" t="str">
        <f t="shared" ref="E3:E66" si="0">A3&amp;B3</f>
        <v>Sulpak0</v>
      </c>
    </row>
    <row r="4" spans="1:5" x14ac:dyDescent="0.3">
      <c r="A4" t="s">
        <v>446</v>
      </c>
      <c r="B4">
        <v>2027447120</v>
      </c>
      <c r="C4">
        <v>2744712</v>
      </c>
      <c r="D4" t="s">
        <v>454</v>
      </c>
      <c r="E4" t="str">
        <f t="shared" si="0"/>
        <v>Sulpak2027447120</v>
      </c>
    </row>
    <row r="5" spans="1:5" x14ac:dyDescent="0.3">
      <c r="A5" t="s">
        <v>446</v>
      </c>
      <c r="B5">
        <v>1110020257</v>
      </c>
      <c r="C5" t="s">
        <v>455</v>
      </c>
      <c r="D5" t="s">
        <v>456</v>
      </c>
      <c r="E5" t="str">
        <f t="shared" si="0"/>
        <v>Sulpak1110020257</v>
      </c>
    </row>
    <row r="6" spans="1:5" x14ac:dyDescent="0.3">
      <c r="A6" t="s">
        <v>446</v>
      </c>
      <c r="B6">
        <v>2820100630</v>
      </c>
      <c r="C6" t="s">
        <v>457</v>
      </c>
      <c r="D6" t="s">
        <v>458</v>
      </c>
      <c r="E6" t="str">
        <f t="shared" si="0"/>
        <v>Sulpak2820100630</v>
      </c>
    </row>
    <row r="7" spans="1:5" x14ac:dyDescent="0.3">
      <c r="A7" t="s">
        <v>446</v>
      </c>
      <c r="B7">
        <v>2027437120</v>
      </c>
      <c r="C7">
        <v>2743712</v>
      </c>
      <c r="D7" t="s">
        <v>459</v>
      </c>
      <c r="E7" t="str">
        <f t="shared" si="0"/>
        <v>Sulpak2027437120</v>
      </c>
    </row>
    <row r="8" spans="1:5" x14ac:dyDescent="0.3">
      <c r="A8" t="s">
        <v>446</v>
      </c>
      <c r="B8">
        <v>2027441120</v>
      </c>
      <c r="C8" t="s">
        <v>460</v>
      </c>
      <c r="D8" t="s">
        <v>461</v>
      </c>
      <c r="E8" t="str">
        <f t="shared" si="0"/>
        <v>Sulpak2027441120</v>
      </c>
    </row>
    <row r="9" spans="1:5" x14ac:dyDescent="0.3">
      <c r="A9" t="s">
        <v>446</v>
      </c>
      <c r="B9">
        <v>2027443120</v>
      </c>
      <c r="C9" t="s">
        <v>462</v>
      </c>
      <c r="D9" t="s">
        <v>463</v>
      </c>
      <c r="E9" t="str">
        <f t="shared" si="0"/>
        <v>Sulpak2027443120</v>
      </c>
    </row>
    <row r="10" spans="1:5" x14ac:dyDescent="0.3">
      <c r="A10" t="s">
        <v>446</v>
      </c>
      <c r="B10">
        <v>2027445120</v>
      </c>
      <c r="C10" t="s">
        <v>464</v>
      </c>
      <c r="D10" t="s">
        <v>465</v>
      </c>
      <c r="E10" t="str">
        <f t="shared" si="0"/>
        <v>Sulpak2027445120</v>
      </c>
    </row>
    <row r="11" spans="1:5" x14ac:dyDescent="0.3">
      <c r="A11" t="s">
        <v>446</v>
      </c>
      <c r="B11">
        <v>9100004194</v>
      </c>
      <c r="C11" t="s">
        <v>466</v>
      </c>
      <c r="D11" t="s">
        <v>467</v>
      </c>
      <c r="E11" t="str">
        <f t="shared" si="0"/>
        <v>Sulpak9100004194</v>
      </c>
    </row>
    <row r="12" spans="1:5" x14ac:dyDescent="0.3">
      <c r="A12" t="s">
        <v>446</v>
      </c>
      <c r="B12">
        <v>9100004193</v>
      </c>
      <c r="C12" t="s">
        <v>468</v>
      </c>
      <c r="D12" t="s">
        <v>469</v>
      </c>
      <c r="E12" t="str">
        <f t="shared" si="0"/>
        <v>Sulpak9100004193</v>
      </c>
    </row>
    <row r="13" spans="1:5" x14ac:dyDescent="0.3">
      <c r="A13" t="s">
        <v>446</v>
      </c>
      <c r="B13">
        <v>9100004192</v>
      </c>
      <c r="C13" t="s">
        <v>470</v>
      </c>
      <c r="D13" t="s">
        <v>471</v>
      </c>
      <c r="E13" t="str">
        <f t="shared" si="0"/>
        <v>Sulpak9100004192</v>
      </c>
    </row>
    <row r="14" spans="1:5" x14ac:dyDescent="0.3">
      <c r="A14" t="s">
        <v>446</v>
      </c>
      <c r="B14">
        <v>9100004179</v>
      </c>
      <c r="C14" t="s">
        <v>472</v>
      </c>
      <c r="D14" t="s">
        <v>473</v>
      </c>
      <c r="E14" t="str">
        <f t="shared" si="0"/>
        <v>Sulpak9100004179</v>
      </c>
    </row>
    <row r="15" spans="1:5" x14ac:dyDescent="0.3">
      <c r="A15" t="s">
        <v>446</v>
      </c>
      <c r="B15">
        <v>1830004488</v>
      </c>
      <c r="C15" t="s">
        <v>474</v>
      </c>
      <c r="D15" t="s">
        <v>475</v>
      </c>
      <c r="E15" t="str">
        <f t="shared" si="0"/>
        <v>Sulpak1830004488</v>
      </c>
    </row>
    <row r="16" spans="1:5" x14ac:dyDescent="0.3">
      <c r="A16" t="s">
        <v>446</v>
      </c>
      <c r="B16">
        <v>1830003217</v>
      </c>
      <c r="C16" t="s">
        <v>476</v>
      </c>
      <c r="D16" t="s">
        <v>477</v>
      </c>
      <c r="E16" t="str">
        <f t="shared" si="0"/>
        <v>Sulpak1830003217</v>
      </c>
    </row>
    <row r="17" spans="1:5" x14ac:dyDescent="0.3">
      <c r="A17" t="s">
        <v>446</v>
      </c>
      <c r="B17">
        <v>8010000350</v>
      </c>
      <c r="C17" t="s">
        <v>478</v>
      </c>
      <c r="D17" t="s">
        <v>479</v>
      </c>
      <c r="E17" t="str">
        <f t="shared" si="0"/>
        <v>Sulpak8010000350</v>
      </c>
    </row>
    <row r="18" spans="1:5" x14ac:dyDescent="0.3">
      <c r="A18" t="s">
        <v>446</v>
      </c>
      <c r="B18">
        <v>1830003901</v>
      </c>
      <c r="C18" t="s">
        <v>480</v>
      </c>
      <c r="D18" t="s">
        <v>481</v>
      </c>
      <c r="E18" t="str">
        <f t="shared" si="0"/>
        <v>Sulpak1830003901</v>
      </c>
    </row>
    <row r="19" spans="1:5" x14ac:dyDescent="0.3">
      <c r="A19" t="s">
        <v>446</v>
      </c>
      <c r="B19">
        <v>1830003867</v>
      </c>
      <c r="C19" t="s">
        <v>482</v>
      </c>
      <c r="D19" t="s">
        <v>483</v>
      </c>
      <c r="E19" t="str">
        <f t="shared" si="0"/>
        <v>Sulpak1830003867</v>
      </c>
    </row>
    <row r="20" spans="1:5" x14ac:dyDescent="0.3">
      <c r="A20" t="s">
        <v>446</v>
      </c>
      <c r="B20">
        <v>2100068613</v>
      </c>
      <c r="C20" t="s">
        <v>484</v>
      </c>
      <c r="D20" t="s">
        <v>485</v>
      </c>
      <c r="E20" t="str">
        <f t="shared" si="0"/>
        <v>Sulpak2100068613</v>
      </c>
    </row>
    <row r="21" spans="1:5" x14ac:dyDescent="0.3">
      <c r="A21" t="s">
        <v>446</v>
      </c>
      <c r="B21">
        <v>7211001107</v>
      </c>
      <c r="C21" t="s">
        <v>486</v>
      </c>
      <c r="D21" t="s">
        <v>487</v>
      </c>
      <c r="E21" t="str">
        <f t="shared" si="0"/>
        <v>Sulpak7211001107</v>
      </c>
    </row>
    <row r="22" spans="1:5" x14ac:dyDescent="0.3">
      <c r="A22" t="s">
        <v>446</v>
      </c>
      <c r="B22">
        <v>7211001108</v>
      </c>
      <c r="C22" t="s">
        <v>488</v>
      </c>
      <c r="D22" t="s">
        <v>489</v>
      </c>
      <c r="E22" t="str">
        <f t="shared" si="0"/>
        <v>Sulpak7211001108</v>
      </c>
    </row>
    <row r="23" spans="1:5" x14ac:dyDescent="0.3">
      <c r="A23" t="s">
        <v>446</v>
      </c>
      <c r="B23">
        <v>1510001655</v>
      </c>
      <c r="C23" t="s">
        <v>412</v>
      </c>
      <c r="D23" t="s">
        <v>490</v>
      </c>
      <c r="E23" t="str">
        <f t="shared" si="0"/>
        <v>Sulpak1510001655</v>
      </c>
    </row>
    <row r="24" spans="1:5" x14ac:dyDescent="0.3">
      <c r="A24" t="s">
        <v>446</v>
      </c>
      <c r="B24">
        <v>1830004589</v>
      </c>
      <c r="C24" t="s">
        <v>491</v>
      </c>
      <c r="D24" t="s">
        <v>492</v>
      </c>
      <c r="E24" t="str">
        <f t="shared" si="0"/>
        <v>Sulpak1830004589</v>
      </c>
    </row>
    <row r="25" spans="1:5" x14ac:dyDescent="0.3">
      <c r="A25" t="s">
        <v>446</v>
      </c>
      <c r="B25">
        <v>1830004849</v>
      </c>
      <c r="C25" t="s">
        <v>493</v>
      </c>
      <c r="D25" t="s">
        <v>494</v>
      </c>
      <c r="E25" t="str">
        <f t="shared" si="0"/>
        <v>Sulpak1830004849</v>
      </c>
    </row>
    <row r="26" spans="1:5" x14ac:dyDescent="0.3">
      <c r="A26" t="s">
        <v>446</v>
      </c>
      <c r="B26">
        <v>1830004640</v>
      </c>
      <c r="C26" t="s">
        <v>495</v>
      </c>
      <c r="D26" t="s">
        <v>496</v>
      </c>
      <c r="E26" t="str">
        <f t="shared" si="0"/>
        <v>Sulpak1830004640</v>
      </c>
    </row>
    <row r="27" spans="1:5" x14ac:dyDescent="0.3">
      <c r="A27" t="s">
        <v>446</v>
      </c>
      <c r="B27">
        <v>1830007854</v>
      </c>
      <c r="C27" t="s">
        <v>497</v>
      </c>
      <c r="D27" t="s">
        <v>498</v>
      </c>
      <c r="E27" t="str">
        <f t="shared" si="0"/>
        <v>Sulpak1830007854</v>
      </c>
    </row>
    <row r="28" spans="1:5" x14ac:dyDescent="0.3">
      <c r="A28" t="s">
        <v>446</v>
      </c>
      <c r="B28">
        <v>1830004993</v>
      </c>
      <c r="C28" t="s">
        <v>499</v>
      </c>
      <c r="D28" t="s">
        <v>500</v>
      </c>
      <c r="E28" t="str">
        <f t="shared" si="0"/>
        <v>Sulpak1830004993</v>
      </c>
    </row>
    <row r="29" spans="1:5" x14ac:dyDescent="0.3">
      <c r="A29" t="s">
        <v>446</v>
      </c>
      <c r="B29">
        <v>1830008005</v>
      </c>
      <c r="C29" t="s">
        <v>501</v>
      </c>
      <c r="D29" t="s">
        <v>502</v>
      </c>
      <c r="E29" t="str">
        <f t="shared" si="0"/>
        <v>Sulpak1830008005</v>
      </c>
    </row>
    <row r="30" spans="1:5" x14ac:dyDescent="0.3">
      <c r="A30" t="s">
        <v>446</v>
      </c>
      <c r="B30">
        <v>7211001263</v>
      </c>
      <c r="C30" t="s">
        <v>503</v>
      </c>
      <c r="D30" t="s">
        <v>504</v>
      </c>
      <c r="E30" t="str">
        <f t="shared" si="0"/>
        <v>Sulpak7211001263</v>
      </c>
    </row>
    <row r="31" spans="1:5" x14ac:dyDescent="0.3">
      <c r="A31" t="s">
        <v>446</v>
      </c>
      <c r="B31">
        <v>1500869984</v>
      </c>
      <c r="C31" t="s">
        <v>65</v>
      </c>
      <c r="D31" t="s">
        <v>319</v>
      </c>
      <c r="E31" t="str">
        <f t="shared" si="0"/>
        <v>Sulpak1500869984</v>
      </c>
    </row>
    <row r="32" spans="1:5" x14ac:dyDescent="0.3">
      <c r="A32" t="s">
        <v>446</v>
      </c>
      <c r="B32">
        <v>1500636319</v>
      </c>
      <c r="C32" t="s">
        <v>505</v>
      </c>
      <c r="D32" t="s">
        <v>506</v>
      </c>
      <c r="E32" t="str">
        <f t="shared" si="0"/>
        <v>Sulpak1500636319</v>
      </c>
    </row>
    <row r="33" spans="1:5" x14ac:dyDescent="0.3">
      <c r="A33" t="s">
        <v>446</v>
      </c>
      <c r="B33">
        <v>2100102542</v>
      </c>
      <c r="C33" t="s">
        <v>507</v>
      </c>
      <c r="D33" t="s">
        <v>508</v>
      </c>
      <c r="E33" t="str">
        <f t="shared" si="0"/>
        <v>Sulpak2100102542</v>
      </c>
    </row>
    <row r="34" spans="1:5" x14ac:dyDescent="0.3">
      <c r="A34" t="s">
        <v>446</v>
      </c>
      <c r="B34">
        <v>1830005290</v>
      </c>
      <c r="C34" t="s">
        <v>509</v>
      </c>
      <c r="D34" t="s">
        <v>510</v>
      </c>
      <c r="E34" t="str">
        <f t="shared" si="0"/>
        <v>Sulpak1830005290</v>
      </c>
    </row>
    <row r="35" spans="1:5" x14ac:dyDescent="0.3">
      <c r="A35" t="s">
        <v>446</v>
      </c>
      <c r="B35">
        <v>1830005220</v>
      </c>
      <c r="C35" t="s">
        <v>511</v>
      </c>
      <c r="D35" t="s">
        <v>512</v>
      </c>
      <c r="E35" t="str">
        <f t="shared" si="0"/>
        <v>Sulpak1830005220</v>
      </c>
    </row>
    <row r="36" spans="1:5" x14ac:dyDescent="0.3">
      <c r="A36" t="s">
        <v>446</v>
      </c>
      <c r="B36">
        <v>1830005371</v>
      </c>
      <c r="C36" t="s">
        <v>513</v>
      </c>
      <c r="D36" t="s">
        <v>514</v>
      </c>
      <c r="E36" t="str">
        <f t="shared" si="0"/>
        <v>Sulpak1830005371</v>
      </c>
    </row>
    <row r="37" spans="1:5" x14ac:dyDescent="0.3">
      <c r="A37" t="s">
        <v>446</v>
      </c>
      <c r="B37">
        <v>8000001814</v>
      </c>
      <c r="C37" t="s">
        <v>515</v>
      </c>
      <c r="D37" t="s">
        <v>516</v>
      </c>
      <c r="E37" t="str">
        <f t="shared" si="0"/>
        <v>Sulpak8000001814</v>
      </c>
    </row>
    <row r="38" spans="1:5" x14ac:dyDescent="0.3">
      <c r="A38" t="s">
        <v>446</v>
      </c>
      <c r="B38">
        <v>2820130131</v>
      </c>
      <c r="C38" t="s">
        <v>517</v>
      </c>
      <c r="D38" t="s">
        <v>518</v>
      </c>
      <c r="E38" t="str">
        <f t="shared" si="0"/>
        <v>Sulpak2820130131</v>
      </c>
    </row>
    <row r="39" spans="1:5" x14ac:dyDescent="0.3">
      <c r="A39" t="s">
        <v>446</v>
      </c>
      <c r="B39">
        <v>1500578228</v>
      </c>
      <c r="C39" t="s">
        <v>519</v>
      </c>
      <c r="D39" t="s">
        <v>520</v>
      </c>
      <c r="E39" t="str">
        <f t="shared" si="0"/>
        <v>Sulpak1500578228</v>
      </c>
    </row>
    <row r="40" spans="1:5" x14ac:dyDescent="0.3">
      <c r="A40" t="s">
        <v>446</v>
      </c>
      <c r="B40">
        <v>2100086690</v>
      </c>
      <c r="C40" t="s">
        <v>521</v>
      </c>
      <c r="D40" t="s">
        <v>522</v>
      </c>
      <c r="E40" t="str">
        <f t="shared" si="0"/>
        <v>Sulpak2100086690</v>
      </c>
    </row>
    <row r="41" spans="1:5" x14ac:dyDescent="0.3">
      <c r="A41" t="s">
        <v>446</v>
      </c>
      <c r="B41">
        <v>1510001003</v>
      </c>
      <c r="C41" t="s">
        <v>523</v>
      </c>
      <c r="D41" t="s">
        <v>524</v>
      </c>
      <c r="E41" t="str">
        <f t="shared" si="0"/>
        <v>Sulpak1510001003</v>
      </c>
    </row>
    <row r="42" spans="1:5" x14ac:dyDescent="0.3">
      <c r="A42" t="s">
        <v>446</v>
      </c>
      <c r="B42">
        <v>1500818695</v>
      </c>
      <c r="C42" t="s">
        <v>525</v>
      </c>
      <c r="D42" t="s">
        <v>526</v>
      </c>
      <c r="E42" t="str">
        <f t="shared" si="0"/>
        <v>Sulpak1500818695</v>
      </c>
    </row>
    <row r="43" spans="1:5" x14ac:dyDescent="0.3">
      <c r="A43" t="s">
        <v>446</v>
      </c>
      <c r="B43">
        <v>7211001810</v>
      </c>
      <c r="C43" t="s">
        <v>527</v>
      </c>
      <c r="D43" t="s">
        <v>528</v>
      </c>
      <c r="E43" t="str">
        <f t="shared" si="0"/>
        <v>Sulpak7211001810</v>
      </c>
    </row>
    <row r="44" spans="1:5" x14ac:dyDescent="0.3">
      <c r="A44" t="s">
        <v>446</v>
      </c>
      <c r="B44">
        <v>1830005197</v>
      </c>
      <c r="C44" t="s">
        <v>529</v>
      </c>
      <c r="D44" t="s">
        <v>530</v>
      </c>
      <c r="E44" t="str">
        <f t="shared" si="0"/>
        <v>Sulpak1830005197</v>
      </c>
    </row>
    <row r="45" spans="1:5" x14ac:dyDescent="0.3">
      <c r="A45" t="s">
        <v>446</v>
      </c>
      <c r="B45">
        <v>2100088989</v>
      </c>
      <c r="C45" t="s">
        <v>531</v>
      </c>
      <c r="D45" t="s">
        <v>532</v>
      </c>
      <c r="E45" t="str">
        <f t="shared" si="0"/>
        <v>Sulpak2100088989</v>
      </c>
    </row>
    <row r="46" spans="1:5" x14ac:dyDescent="0.3">
      <c r="A46" t="s">
        <v>446</v>
      </c>
      <c r="B46">
        <v>2100088991</v>
      </c>
      <c r="C46" t="s">
        <v>533</v>
      </c>
      <c r="D46" t="s">
        <v>534</v>
      </c>
      <c r="E46" t="str">
        <f t="shared" si="0"/>
        <v>Sulpak2100088991</v>
      </c>
    </row>
    <row r="47" spans="1:5" x14ac:dyDescent="0.3">
      <c r="A47" t="s">
        <v>446</v>
      </c>
      <c r="B47">
        <v>2100088987</v>
      </c>
      <c r="C47" t="s">
        <v>535</v>
      </c>
      <c r="D47" t="s">
        <v>536</v>
      </c>
      <c r="E47" t="str">
        <f t="shared" si="0"/>
        <v>Sulpak2100088987</v>
      </c>
    </row>
    <row r="48" spans="1:5" x14ac:dyDescent="0.3">
      <c r="A48" t="s">
        <v>446</v>
      </c>
      <c r="B48">
        <v>2100089955</v>
      </c>
      <c r="C48" t="s">
        <v>537</v>
      </c>
      <c r="D48" t="s">
        <v>538</v>
      </c>
      <c r="E48" t="str">
        <f t="shared" si="0"/>
        <v>Sulpak2100089955</v>
      </c>
    </row>
    <row r="49" spans="1:5" x14ac:dyDescent="0.3">
      <c r="A49" t="s">
        <v>446</v>
      </c>
      <c r="B49">
        <v>2100088993</v>
      </c>
      <c r="C49" t="s">
        <v>539</v>
      </c>
      <c r="D49" t="s">
        <v>540</v>
      </c>
      <c r="E49" t="str">
        <f t="shared" si="0"/>
        <v>Sulpak2100088993</v>
      </c>
    </row>
    <row r="50" spans="1:5" x14ac:dyDescent="0.3">
      <c r="A50" t="s">
        <v>446</v>
      </c>
      <c r="B50">
        <v>7211002101</v>
      </c>
      <c r="C50" t="s">
        <v>425</v>
      </c>
      <c r="D50" t="s">
        <v>541</v>
      </c>
      <c r="E50" t="str">
        <f t="shared" si="0"/>
        <v>Sulpak7211002101</v>
      </c>
    </row>
    <row r="51" spans="1:5" x14ac:dyDescent="0.3">
      <c r="A51" t="s">
        <v>446</v>
      </c>
      <c r="B51">
        <v>2100088404</v>
      </c>
      <c r="C51" t="s">
        <v>542</v>
      </c>
      <c r="D51" t="s">
        <v>543</v>
      </c>
      <c r="E51" t="str">
        <f t="shared" si="0"/>
        <v>Sulpak2100088404</v>
      </c>
    </row>
    <row r="52" spans="1:5" x14ac:dyDescent="0.3">
      <c r="A52" t="s">
        <v>446</v>
      </c>
      <c r="B52">
        <v>1510001005</v>
      </c>
      <c r="C52" t="s">
        <v>544</v>
      </c>
      <c r="D52" t="s">
        <v>545</v>
      </c>
      <c r="E52" t="str">
        <f t="shared" si="0"/>
        <v>Sulpak1510001005</v>
      </c>
    </row>
    <row r="53" spans="1:5" x14ac:dyDescent="0.3">
      <c r="A53" t="s">
        <v>446</v>
      </c>
      <c r="B53">
        <v>1830008226</v>
      </c>
      <c r="C53" t="s">
        <v>546</v>
      </c>
      <c r="D53" t="s">
        <v>547</v>
      </c>
      <c r="E53" t="str">
        <f t="shared" si="0"/>
        <v>Sulpak1830008226</v>
      </c>
    </row>
    <row r="54" spans="1:5" x14ac:dyDescent="0.3">
      <c r="A54" t="s">
        <v>446</v>
      </c>
      <c r="B54">
        <v>1510001079</v>
      </c>
      <c r="C54" t="s">
        <v>548</v>
      </c>
      <c r="D54" t="s">
        <v>549</v>
      </c>
      <c r="E54" t="str">
        <f t="shared" si="0"/>
        <v>Sulpak1510001079</v>
      </c>
    </row>
    <row r="55" spans="1:5" x14ac:dyDescent="0.3">
      <c r="A55" t="s">
        <v>446</v>
      </c>
      <c r="B55">
        <v>1830008007</v>
      </c>
      <c r="C55" t="s">
        <v>550</v>
      </c>
      <c r="D55" t="s">
        <v>551</v>
      </c>
      <c r="E55" t="str">
        <f t="shared" si="0"/>
        <v>Sulpak1830008007</v>
      </c>
    </row>
    <row r="56" spans="1:5" x14ac:dyDescent="0.3">
      <c r="A56" t="s">
        <v>446</v>
      </c>
      <c r="B56">
        <v>1830007952</v>
      </c>
      <c r="C56" t="s">
        <v>552</v>
      </c>
      <c r="D56" t="s">
        <v>553</v>
      </c>
      <c r="E56" t="str">
        <f t="shared" si="0"/>
        <v>Sulpak1830007952</v>
      </c>
    </row>
    <row r="57" spans="1:5" x14ac:dyDescent="0.3">
      <c r="A57" t="s">
        <v>446</v>
      </c>
      <c r="B57">
        <v>1500859369</v>
      </c>
      <c r="C57" t="s">
        <v>554</v>
      </c>
      <c r="D57" t="s">
        <v>555</v>
      </c>
      <c r="E57" t="str">
        <f t="shared" si="0"/>
        <v>Sulpak1500859369</v>
      </c>
    </row>
    <row r="58" spans="1:5" x14ac:dyDescent="0.3">
      <c r="A58" t="s">
        <v>446</v>
      </c>
      <c r="B58">
        <v>7211002271</v>
      </c>
      <c r="C58" t="s">
        <v>556</v>
      </c>
      <c r="D58" t="s">
        <v>557</v>
      </c>
      <c r="E58" t="str">
        <f t="shared" si="0"/>
        <v>Sulpak7211002271</v>
      </c>
    </row>
    <row r="59" spans="1:5" x14ac:dyDescent="0.3">
      <c r="A59" t="s">
        <v>446</v>
      </c>
      <c r="B59">
        <v>1830005956</v>
      </c>
      <c r="C59" t="s">
        <v>558</v>
      </c>
      <c r="D59" t="s">
        <v>559</v>
      </c>
      <c r="E59" t="str">
        <f t="shared" si="0"/>
        <v>Sulpak1830005956</v>
      </c>
    </row>
    <row r="60" spans="1:5" x14ac:dyDescent="0.3">
      <c r="A60" t="s">
        <v>446</v>
      </c>
      <c r="B60">
        <v>1830004932</v>
      </c>
      <c r="C60" t="s">
        <v>560</v>
      </c>
      <c r="D60" t="s">
        <v>561</v>
      </c>
      <c r="E60" t="str">
        <f t="shared" si="0"/>
        <v>Sulpak1830004932</v>
      </c>
    </row>
    <row r="61" spans="1:5" x14ac:dyDescent="0.3">
      <c r="A61" t="s">
        <v>446</v>
      </c>
      <c r="B61">
        <v>7211002311</v>
      </c>
      <c r="C61" t="s">
        <v>562</v>
      </c>
      <c r="D61" t="s">
        <v>563</v>
      </c>
      <c r="E61" t="str">
        <f t="shared" si="0"/>
        <v>Sulpak7211002311</v>
      </c>
    </row>
    <row r="62" spans="1:5" x14ac:dyDescent="0.3">
      <c r="A62" t="s">
        <v>446</v>
      </c>
      <c r="B62">
        <v>7211002465</v>
      </c>
      <c r="C62" t="s">
        <v>564</v>
      </c>
      <c r="D62" t="s">
        <v>565</v>
      </c>
      <c r="E62" t="str">
        <f t="shared" si="0"/>
        <v>Sulpak7211002465</v>
      </c>
    </row>
    <row r="63" spans="1:5" x14ac:dyDescent="0.3">
      <c r="A63" t="s">
        <v>446</v>
      </c>
      <c r="B63">
        <v>7211001078</v>
      </c>
      <c r="C63" t="s">
        <v>566</v>
      </c>
      <c r="D63" t="s">
        <v>567</v>
      </c>
      <c r="E63" t="str">
        <f t="shared" si="0"/>
        <v>Sulpak7211001078</v>
      </c>
    </row>
    <row r="64" spans="1:5" x14ac:dyDescent="0.3">
      <c r="A64" t="s">
        <v>446</v>
      </c>
      <c r="B64">
        <v>7211002180</v>
      </c>
      <c r="C64" t="s">
        <v>568</v>
      </c>
      <c r="D64" t="s">
        <v>569</v>
      </c>
      <c r="E64" t="str">
        <f t="shared" si="0"/>
        <v>Sulpak7211002180</v>
      </c>
    </row>
    <row r="65" spans="1:5" x14ac:dyDescent="0.3">
      <c r="A65" t="s">
        <v>446</v>
      </c>
      <c r="B65">
        <v>1830005683</v>
      </c>
      <c r="C65" t="s">
        <v>570</v>
      </c>
      <c r="D65" t="s">
        <v>571</v>
      </c>
      <c r="E65" t="str">
        <f t="shared" si="0"/>
        <v>Sulpak1830005683</v>
      </c>
    </row>
    <row r="66" spans="1:5" x14ac:dyDescent="0.3">
      <c r="A66" t="s">
        <v>446</v>
      </c>
      <c r="B66">
        <v>1830004339</v>
      </c>
      <c r="C66" t="s">
        <v>572</v>
      </c>
      <c r="D66" t="s">
        <v>573</v>
      </c>
      <c r="E66" t="str">
        <f t="shared" si="0"/>
        <v>Sulpak1830004339</v>
      </c>
    </row>
    <row r="67" spans="1:5" x14ac:dyDescent="0.3">
      <c r="A67" t="s">
        <v>446</v>
      </c>
      <c r="B67">
        <v>1830005712</v>
      </c>
      <c r="C67" t="s">
        <v>574</v>
      </c>
      <c r="D67" t="s">
        <v>575</v>
      </c>
      <c r="E67" t="str">
        <f t="shared" ref="E67:E130" si="1">A67&amp;B67</f>
        <v>Sulpak1830005712</v>
      </c>
    </row>
    <row r="68" spans="1:5" x14ac:dyDescent="0.3">
      <c r="A68" t="s">
        <v>446</v>
      </c>
      <c r="B68">
        <v>2100093085</v>
      </c>
      <c r="C68" t="s">
        <v>576</v>
      </c>
      <c r="D68" t="s">
        <v>577</v>
      </c>
      <c r="E68" t="str">
        <f t="shared" si="1"/>
        <v>Sulpak2100093085</v>
      </c>
    </row>
    <row r="69" spans="1:5" x14ac:dyDescent="0.3">
      <c r="A69" t="s">
        <v>446</v>
      </c>
      <c r="B69">
        <v>1830005922</v>
      </c>
      <c r="C69" t="s">
        <v>578</v>
      </c>
      <c r="D69" t="s">
        <v>579</v>
      </c>
      <c r="E69" t="str">
        <f t="shared" si="1"/>
        <v>Sulpak1830005922</v>
      </c>
    </row>
    <row r="70" spans="1:5" x14ac:dyDescent="0.3">
      <c r="A70" t="s">
        <v>446</v>
      </c>
      <c r="B70">
        <v>7211002431</v>
      </c>
      <c r="C70" t="s">
        <v>580</v>
      </c>
      <c r="D70" t="s">
        <v>581</v>
      </c>
      <c r="E70" t="str">
        <f t="shared" si="1"/>
        <v>Sulpak7211002431</v>
      </c>
    </row>
    <row r="71" spans="1:5" x14ac:dyDescent="0.3">
      <c r="A71" t="s">
        <v>446</v>
      </c>
      <c r="B71">
        <v>1830005843</v>
      </c>
      <c r="C71" t="s">
        <v>582</v>
      </c>
      <c r="D71" t="s">
        <v>583</v>
      </c>
      <c r="E71" t="str">
        <f t="shared" si="1"/>
        <v>Sulpak1830005843</v>
      </c>
    </row>
    <row r="72" spans="1:5" x14ac:dyDescent="0.3">
      <c r="A72" t="s">
        <v>446</v>
      </c>
      <c r="B72">
        <v>1830005369</v>
      </c>
      <c r="C72" t="s">
        <v>584</v>
      </c>
      <c r="D72" t="s">
        <v>585</v>
      </c>
      <c r="E72" t="str">
        <f t="shared" si="1"/>
        <v>Sulpak1830005369</v>
      </c>
    </row>
    <row r="73" spans="1:5" x14ac:dyDescent="0.3">
      <c r="A73" t="s">
        <v>446</v>
      </c>
      <c r="B73">
        <v>2100058891</v>
      </c>
      <c r="C73" t="s">
        <v>586</v>
      </c>
      <c r="D73" t="s">
        <v>587</v>
      </c>
      <c r="E73" t="str">
        <f t="shared" si="1"/>
        <v>Sulpak2100058891</v>
      </c>
    </row>
    <row r="74" spans="1:5" x14ac:dyDescent="0.3">
      <c r="A74" t="s">
        <v>446</v>
      </c>
      <c r="B74">
        <v>7211000828</v>
      </c>
      <c r="C74" t="s">
        <v>588</v>
      </c>
      <c r="D74" t="s">
        <v>589</v>
      </c>
      <c r="E74" t="str">
        <f t="shared" si="1"/>
        <v>Sulpak7211000828</v>
      </c>
    </row>
    <row r="75" spans="1:5" x14ac:dyDescent="0.3">
      <c r="A75" t="s">
        <v>446</v>
      </c>
      <c r="B75">
        <v>2211400072</v>
      </c>
      <c r="C75" t="s">
        <v>590</v>
      </c>
      <c r="D75" t="s">
        <v>591</v>
      </c>
      <c r="E75" t="str">
        <f t="shared" si="1"/>
        <v>Sulpak2211400072</v>
      </c>
    </row>
    <row r="76" spans="1:5" x14ac:dyDescent="0.3">
      <c r="A76" t="s">
        <v>446</v>
      </c>
      <c r="B76">
        <v>2211400062</v>
      </c>
      <c r="C76" t="s">
        <v>592</v>
      </c>
      <c r="D76" t="s">
        <v>593</v>
      </c>
      <c r="E76" t="str">
        <f t="shared" si="1"/>
        <v>Sulpak2211400062</v>
      </c>
    </row>
    <row r="77" spans="1:5" x14ac:dyDescent="0.3">
      <c r="A77" t="s">
        <v>446</v>
      </c>
      <c r="B77">
        <v>2211400063</v>
      </c>
      <c r="C77" t="s">
        <v>594</v>
      </c>
      <c r="D77" t="s">
        <v>595</v>
      </c>
      <c r="E77" t="str">
        <f t="shared" si="1"/>
        <v>Sulpak2211400063</v>
      </c>
    </row>
    <row r="78" spans="1:5" x14ac:dyDescent="0.3">
      <c r="A78" t="s">
        <v>446</v>
      </c>
      <c r="B78">
        <v>1500888531</v>
      </c>
      <c r="C78" t="s">
        <v>596</v>
      </c>
      <c r="D78" t="s">
        <v>597</v>
      </c>
      <c r="E78" t="str">
        <f t="shared" si="1"/>
        <v>Sulpak1500888531</v>
      </c>
    </row>
    <row r="79" spans="1:5" x14ac:dyDescent="0.3">
      <c r="A79" t="s">
        <v>446</v>
      </c>
      <c r="B79">
        <v>2211400068</v>
      </c>
      <c r="C79" t="s">
        <v>598</v>
      </c>
      <c r="D79" t="s">
        <v>599</v>
      </c>
      <c r="E79" t="str">
        <f t="shared" si="1"/>
        <v>Sulpak2211400068</v>
      </c>
    </row>
    <row r="80" spans="1:5" x14ac:dyDescent="0.3">
      <c r="A80" t="s">
        <v>446</v>
      </c>
      <c r="B80">
        <v>7211002491</v>
      </c>
      <c r="C80" t="s">
        <v>600</v>
      </c>
      <c r="D80" t="s">
        <v>601</v>
      </c>
      <c r="E80" t="str">
        <f t="shared" si="1"/>
        <v>Sulpak7211002491</v>
      </c>
    </row>
    <row r="81" spans="1:5" x14ac:dyDescent="0.3">
      <c r="A81" t="s">
        <v>446</v>
      </c>
      <c r="B81">
        <v>7211002459</v>
      </c>
      <c r="C81" t="s">
        <v>41</v>
      </c>
      <c r="D81" t="s">
        <v>307</v>
      </c>
      <c r="E81" t="str">
        <f t="shared" si="1"/>
        <v>Sulpak7211002459</v>
      </c>
    </row>
    <row r="82" spans="1:5" x14ac:dyDescent="0.3">
      <c r="A82" t="s">
        <v>446</v>
      </c>
      <c r="B82">
        <v>2210014988</v>
      </c>
      <c r="C82" t="s">
        <v>602</v>
      </c>
      <c r="D82" t="s">
        <v>603</v>
      </c>
      <c r="E82" t="str">
        <f t="shared" si="1"/>
        <v>Sulpak2210014988</v>
      </c>
    </row>
    <row r="83" spans="1:5" x14ac:dyDescent="0.3">
      <c r="A83" t="s">
        <v>446</v>
      </c>
      <c r="B83">
        <v>1600004831</v>
      </c>
      <c r="C83" t="s">
        <v>604</v>
      </c>
      <c r="D83" t="s">
        <v>605</v>
      </c>
      <c r="E83" t="str">
        <f t="shared" si="1"/>
        <v>Sulpak1600004831</v>
      </c>
    </row>
    <row r="84" spans="1:5" x14ac:dyDescent="0.3">
      <c r="A84" t="s">
        <v>446</v>
      </c>
      <c r="B84">
        <v>2210018825</v>
      </c>
      <c r="C84" t="s">
        <v>606</v>
      </c>
      <c r="D84" t="s">
        <v>607</v>
      </c>
      <c r="E84" t="str">
        <f t="shared" si="1"/>
        <v>Sulpak2210018825</v>
      </c>
    </row>
    <row r="85" spans="1:5" x14ac:dyDescent="0.3">
      <c r="A85" t="s">
        <v>446</v>
      </c>
      <c r="B85">
        <v>2210018196</v>
      </c>
      <c r="C85" t="s">
        <v>608</v>
      </c>
      <c r="D85" t="s">
        <v>609</v>
      </c>
      <c r="E85" t="str">
        <f t="shared" si="1"/>
        <v>Sulpak2210018196</v>
      </c>
    </row>
    <row r="86" spans="1:5" x14ac:dyDescent="0.3">
      <c r="A86" t="s">
        <v>446</v>
      </c>
      <c r="B86">
        <v>2210019385</v>
      </c>
      <c r="C86" t="s">
        <v>610</v>
      </c>
      <c r="D86" t="s">
        <v>611</v>
      </c>
      <c r="E86" t="str">
        <f t="shared" si="1"/>
        <v>Sulpak2210019385</v>
      </c>
    </row>
    <row r="87" spans="1:5" x14ac:dyDescent="0.3">
      <c r="A87" t="s">
        <v>446</v>
      </c>
      <c r="B87">
        <v>2210019196</v>
      </c>
      <c r="C87" t="s">
        <v>612</v>
      </c>
      <c r="D87" t="s">
        <v>613</v>
      </c>
      <c r="E87" t="str">
        <f t="shared" si="1"/>
        <v>Sulpak2210019196</v>
      </c>
    </row>
    <row r="88" spans="1:5" x14ac:dyDescent="0.3">
      <c r="A88" t="s">
        <v>446</v>
      </c>
      <c r="B88">
        <v>2100121737</v>
      </c>
      <c r="C88" t="s">
        <v>614</v>
      </c>
      <c r="D88" t="s">
        <v>615</v>
      </c>
      <c r="E88" t="str">
        <f t="shared" si="1"/>
        <v>Sulpak2100121737</v>
      </c>
    </row>
    <row r="89" spans="1:5" x14ac:dyDescent="0.3">
      <c r="A89" t="s">
        <v>446</v>
      </c>
      <c r="B89">
        <v>2100121738</v>
      </c>
      <c r="C89" t="s">
        <v>616</v>
      </c>
      <c r="D89" t="s">
        <v>617</v>
      </c>
      <c r="E89" t="str">
        <f t="shared" si="1"/>
        <v>Sulpak2100121738</v>
      </c>
    </row>
    <row r="90" spans="1:5" x14ac:dyDescent="0.3">
      <c r="A90" t="s">
        <v>446</v>
      </c>
      <c r="B90">
        <v>1830005921</v>
      </c>
      <c r="C90" t="s">
        <v>618</v>
      </c>
      <c r="D90" t="s">
        <v>619</v>
      </c>
      <c r="E90" t="str">
        <f t="shared" si="1"/>
        <v>Sulpak1830005921</v>
      </c>
    </row>
    <row r="91" spans="1:5" x14ac:dyDescent="0.3">
      <c r="A91" t="s">
        <v>446</v>
      </c>
      <c r="B91">
        <v>2100096683</v>
      </c>
      <c r="C91" t="s">
        <v>620</v>
      </c>
      <c r="D91" t="s">
        <v>621</v>
      </c>
      <c r="E91" t="str">
        <f t="shared" si="1"/>
        <v>Sulpak2100096683</v>
      </c>
    </row>
    <row r="92" spans="1:5" x14ac:dyDescent="0.3">
      <c r="A92" t="s">
        <v>446</v>
      </c>
      <c r="B92">
        <v>2100096684</v>
      </c>
      <c r="C92" t="s">
        <v>622</v>
      </c>
      <c r="D92" t="s">
        <v>623</v>
      </c>
      <c r="E92" t="str">
        <f t="shared" si="1"/>
        <v>Sulpak2100096684</v>
      </c>
    </row>
    <row r="93" spans="1:5" x14ac:dyDescent="0.3">
      <c r="A93" t="s">
        <v>446</v>
      </c>
      <c r="B93">
        <v>2100096685</v>
      </c>
      <c r="C93" t="s">
        <v>624</v>
      </c>
      <c r="D93" t="s">
        <v>625</v>
      </c>
      <c r="E93" t="str">
        <f t="shared" si="1"/>
        <v>Sulpak2100096685</v>
      </c>
    </row>
    <row r="94" spans="1:5" x14ac:dyDescent="0.3">
      <c r="A94" t="s">
        <v>446</v>
      </c>
      <c r="B94">
        <v>2100096681</v>
      </c>
      <c r="C94" t="s">
        <v>626</v>
      </c>
      <c r="D94" t="s">
        <v>627</v>
      </c>
      <c r="E94" t="str">
        <f t="shared" si="1"/>
        <v>Sulpak2100096681</v>
      </c>
    </row>
    <row r="95" spans="1:5" x14ac:dyDescent="0.3">
      <c r="A95" t="s">
        <v>446</v>
      </c>
      <c r="B95">
        <v>2100099082</v>
      </c>
      <c r="C95" t="s">
        <v>628</v>
      </c>
      <c r="D95" t="s">
        <v>629</v>
      </c>
      <c r="E95" t="str">
        <f t="shared" si="1"/>
        <v>Sulpak2100099082</v>
      </c>
    </row>
    <row r="96" spans="1:5" x14ac:dyDescent="0.3">
      <c r="A96" t="s">
        <v>446</v>
      </c>
      <c r="B96">
        <v>7211002441</v>
      </c>
      <c r="C96" t="s">
        <v>40</v>
      </c>
      <c r="D96" t="s">
        <v>306</v>
      </c>
      <c r="E96" t="str">
        <f t="shared" si="1"/>
        <v>Sulpak7211002441</v>
      </c>
    </row>
    <row r="97" spans="1:5" x14ac:dyDescent="0.3">
      <c r="A97" t="s">
        <v>446</v>
      </c>
      <c r="B97">
        <v>2100094926</v>
      </c>
      <c r="C97" t="s">
        <v>630</v>
      </c>
      <c r="D97" t="s">
        <v>631</v>
      </c>
      <c r="E97" t="str">
        <f t="shared" si="1"/>
        <v>Sulpak2100094926</v>
      </c>
    </row>
    <row r="98" spans="1:5" x14ac:dyDescent="0.3">
      <c r="A98" t="s">
        <v>446</v>
      </c>
      <c r="B98">
        <v>2100095878</v>
      </c>
      <c r="C98" t="s">
        <v>632</v>
      </c>
      <c r="D98" t="s">
        <v>633</v>
      </c>
      <c r="E98" t="str">
        <f t="shared" si="1"/>
        <v>Sulpak2100095878</v>
      </c>
    </row>
    <row r="99" spans="1:5" x14ac:dyDescent="0.3">
      <c r="A99" t="s">
        <v>446</v>
      </c>
      <c r="B99">
        <v>2100094922</v>
      </c>
      <c r="C99" t="s">
        <v>634</v>
      </c>
      <c r="D99" t="s">
        <v>635</v>
      </c>
      <c r="E99" t="str">
        <f t="shared" si="1"/>
        <v>Sulpak2100094922</v>
      </c>
    </row>
    <row r="100" spans="1:5" x14ac:dyDescent="0.3">
      <c r="A100" t="s">
        <v>446</v>
      </c>
      <c r="B100">
        <v>2100094923</v>
      </c>
      <c r="C100" t="s">
        <v>636</v>
      </c>
      <c r="D100" t="s">
        <v>637</v>
      </c>
      <c r="E100" t="str">
        <f t="shared" si="1"/>
        <v>Sulpak2100094923</v>
      </c>
    </row>
    <row r="101" spans="1:5" x14ac:dyDescent="0.3">
      <c r="A101" t="s">
        <v>446</v>
      </c>
      <c r="B101">
        <v>2100098628</v>
      </c>
      <c r="C101" t="s">
        <v>638</v>
      </c>
      <c r="D101" t="s">
        <v>639</v>
      </c>
      <c r="E101" t="str">
        <f t="shared" si="1"/>
        <v>Sulpak2100098628</v>
      </c>
    </row>
    <row r="102" spans="1:5" x14ac:dyDescent="0.3">
      <c r="A102" t="s">
        <v>446</v>
      </c>
      <c r="B102">
        <v>2100098635</v>
      </c>
      <c r="C102" t="s">
        <v>640</v>
      </c>
      <c r="D102" t="s">
        <v>641</v>
      </c>
      <c r="E102" t="str">
        <f t="shared" si="1"/>
        <v>Sulpak2100098635</v>
      </c>
    </row>
    <row r="103" spans="1:5" x14ac:dyDescent="0.3">
      <c r="A103" t="s">
        <v>446</v>
      </c>
      <c r="B103">
        <v>1830007967</v>
      </c>
      <c r="C103" t="s">
        <v>642</v>
      </c>
      <c r="D103" t="s">
        <v>643</v>
      </c>
      <c r="E103" t="str">
        <f t="shared" si="1"/>
        <v>Sulpak1830007967</v>
      </c>
    </row>
    <row r="104" spans="1:5" x14ac:dyDescent="0.3">
      <c r="A104" t="s">
        <v>446</v>
      </c>
      <c r="B104">
        <v>2100098072</v>
      </c>
      <c r="C104" t="s">
        <v>644</v>
      </c>
      <c r="D104" t="s">
        <v>645</v>
      </c>
      <c r="E104" t="str">
        <f t="shared" si="1"/>
        <v>Sulpak2100098072</v>
      </c>
    </row>
    <row r="105" spans="1:5" x14ac:dyDescent="0.3">
      <c r="A105" t="s">
        <v>446</v>
      </c>
      <c r="B105">
        <v>2100121731</v>
      </c>
      <c r="C105" t="s">
        <v>646</v>
      </c>
      <c r="D105" t="s">
        <v>647</v>
      </c>
      <c r="E105" t="str">
        <f t="shared" si="1"/>
        <v>Sulpak2100121731</v>
      </c>
    </row>
    <row r="106" spans="1:5" x14ac:dyDescent="0.3">
      <c r="A106" t="s">
        <v>446</v>
      </c>
      <c r="B106">
        <v>2100098994</v>
      </c>
      <c r="C106" t="s">
        <v>648</v>
      </c>
      <c r="D106" t="s">
        <v>649</v>
      </c>
      <c r="E106" t="str">
        <f t="shared" si="1"/>
        <v>Sulpak2100098994</v>
      </c>
    </row>
    <row r="107" spans="1:5" x14ac:dyDescent="0.3">
      <c r="A107" t="s">
        <v>446</v>
      </c>
      <c r="B107">
        <v>2100121739</v>
      </c>
      <c r="C107" t="s">
        <v>650</v>
      </c>
      <c r="D107" t="s">
        <v>651</v>
      </c>
      <c r="E107" t="str">
        <f t="shared" si="1"/>
        <v>Sulpak2100121739</v>
      </c>
    </row>
    <row r="108" spans="1:5" x14ac:dyDescent="0.3">
      <c r="A108" t="s">
        <v>446</v>
      </c>
      <c r="B108">
        <v>2100121732</v>
      </c>
      <c r="C108" t="s">
        <v>652</v>
      </c>
      <c r="D108" t="s">
        <v>653</v>
      </c>
      <c r="E108" t="str">
        <f t="shared" si="1"/>
        <v>Sulpak2100121732</v>
      </c>
    </row>
    <row r="109" spans="1:5" x14ac:dyDescent="0.3">
      <c r="A109" t="s">
        <v>446</v>
      </c>
      <c r="B109">
        <v>2100098995</v>
      </c>
      <c r="C109" t="s">
        <v>654</v>
      </c>
      <c r="D109" t="s">
        <v>655</v>
      </c>
      <c r="E109" t="str">
        <f t="shared" si="1"/>
        <v>Sulpak2100098995</v>
      </c>
    </row>
    <row r="110" spans="1:5" x14ac:dyDescent="0.3">
      <c r="A110" t="s">
        <v>446</v>
      </c>
      <c r="B110">
        <v>2100098996</v>
      </c>
      <c r="C110" t="s">
        <v>656</v>
      </c>
      <c r="D110" t="s">
        <v>657</v>
      </c>
      <c r="E110" t="str">
        <f t="shared" si="1"/>
        <v>Sulpak2100098996</v>
      </c>
    </row>
    <row r="111" spans="1:5" x14ac:dyDescent="0.3">
      <c r="A111" t="s">
        <v>446</v>
      </c>
      <c r="B111">
        <v>1830006091</v>
      </c>
      <c r="C111" t="s">
        <v>658</v>
      </c>
      <c r="D111" t="s">
        <v>659</v>
      </c>
      <c r="E111" t="str">
        <f t="shared" si="1"/>
        <v>Sulpak1830006091</v>
      </c>
    </row>
    <row r="112" spans="1:5" x14ac:dyDescent="0.3">
      <c r="A112" t="s">
        <v>446</v>
      </c>
      <c r="B112">
        <v>1510001004</v>
      </c>
      <c r="C112" t="s">
        <v>660</v>
      </c>
      <c r="D112" t="s">
        <v>661</v>
      </c>
      <c r="E112" t="str">
        <f t="shared" si="1"/>
        <v>Sulpak1510001004</v>
      </c>
    </row>
    <row r="113" spans="1:5" x14ac:dyDescent="0.3">
      <c r="A113" t="s">
        <v>446</v>
      </c>
      <c r="B113">
        <v>7211003188</v>
      </c>
      <c r="C113" t="s">
        <v>662</v>
      </c>
      <c r="D113" t="s">
        <v>663</v>
      </c>
      <c r="E113" t="str">
        <f t="shared" si="1"/>
        <v>Sulpak7211003188</v>
      </c>
    </row>
    <row r="114" spans="1:5" x14ac:dyDescent="0.3">
      <c r="A114" t="s">
        <v>446</v>
      </c>
      <c r="B114">
        <v>9100023390</v>
      </c>
      <c r="C114" t="s">
        <v>664</v>
      </c>
      <c r="D114" t="s">
        <v>665</v>
      </c>
      <c r="E114" t="str">
        <f t="shared" si="1"/>
        <v>Sulpak9100023390</v>
      </c>
    </row>
    <row r="115" spans="1:5" x14ac:dyDescent="0.3">
      <c r="A115" t="s">
        <v>446</v>
      </c>
      <c r="B115">
        <v>9100023391</v>
      </c>
      <c r="C115" t="s">
        <v>666</v>
      </c>
      <c r="D115" t="s">
        <v>667</v>
      </c>
      <c r="E115" t="str">
        <f t="shared" si="1"/>
        <v>Sulpak9100023391</v>
      </c>
    </row>
    <row r="116" spans="1:5" x14ac:dyDescent="0.3">
      <c r="A116" t="s">
        <v>446</v>
      </c>
      <c r="B116">
        <v>9100023392</v>
      </c>
      <c r="C116" t="s">
        <v>668</v>
      </c>
      <c r="D116" t="s">
        <v>669</v>
      </c>
      <c r="E116" t="str">
        <f t="shared" si="1"/>
        <v>Sulpak9100023392</v>
      </c>
    </row>
    <row r="117" spans="1:5" x14ac:dyDescent="0.3">
      <c r="A117" t="s">
        <v>446</v>
      </c>
      <c r="B117">
        <v>9100023393</v>
      </c>
      <c r="C117" t="s">
        <v>670</v>
      </c>
      <c r="D117" t="s">
        <v>671</v>
      </c>
      <c r="E117" t="str">
        <f t="shared" si="1"/>
        <v>Sulpak9100023393</v>
      </c>
    </row>
    <row r="118" spans="1:5" x14ac:dyDescent="0.3">
      <c r="A118" t="s">
        <v>446</v>
      </c>
      <c r="B118">
        <v>9100023394</v>
      </c>
      <c r="C118" t="s">
        <v>672</v>
      </c>
      <c r="D118" t="s">
        <v>673</v>
      </c>
      <c r="E118" t="str">
        <f t="shared" si="1"/>
        <v>Sulpak9100023394</v>
      </c>
    </row>
    <row r="119" spans="1:5" x14ac:dyDescent="0.3">
      <c r="A119" t="s">
        <v>446</v>
      </c>
      <c r="B119">
        <v>9100023395</v>
      </c>
      <c r="C119" t="s">
        <v>674</v>
      </c>
      <c r="D119" t="s">
        <v>675</v>
      </c>
      <c r="E119" t="str">
        <f t="shared" si="1"/>
        <v>Sulpak9100023395</v>
      </c>
    </row>
    <row r="120" spans="1:5" x14ac:dyDescent="0.3">
      <c r="A120" t="s">
        <v>446</v>
      </c>
      <c r="B120">
        <v>9100023396</v>
      </c>
      <c r="C120" t="s">
        <v>676</v>
      </c>
      <c r="D120" t="s">
        <v>677</v>
      </c>
      <c r="E120" t="str">
        <f t="shared" si="1"/>
        <v>Sulpak9100023396</v>
      </c>
    </row>
    <row r="121" spans="1:5" x14ac:dyDescent="0.3">
      <c r="A121" t="s">
        <v>446</v>
      </c>
      <c r="B121">
        <v>1830006329</v>
      </c>
      <c r="C121" t="s">
        <v>678</v>
      </c>
      <c r="D121" t="s">
        <v>679</v>
      </c>
      <c r="E121" t="str">
        <f t="shared" si="1"/>
        <v>Sulpak1830006329</v>
      </c>
    </row>
    <row r="122" spans="1:5" x14ac:dyDescent="0.3">
      <c r="A122" t="s">
        <v>446</v>
      </c>
      <c r="B122">
        <v>7211002505</v>
      </c>
      <c r="C122" t="s">
        <v>680</v>
      </c>
      <c r="D122" t="s">
        <v>681</v>
      </c>
      <c r="E122" t="str">
        <f t="shared" si="1"/>
        <v>Sulpak7211002505</v>
      </c>
    </row>
    <row r="123" spans="1:5" x14ac:dyDescent="0.3">
      <c r="A123" t="s">
        <v>446</v>
      </c>
      <c r="B123">
        <v>9100023401</v>
      </c>
      <c r="C123" t="s">
        <v>682</v>
      </c>
      <c r="D123" t="s">
        <v>683</v>
      </c>
      <c r="E123" t="str">
        <f t="shared" si="1"/>
        <v>Sulpak9100023401</v>
      </c>
    </row>
    <row r="124" spans="1:5" x14ac:dyDescent="0.3">
      <c r="A124" t="s">
        <v>446</v>
      </c>
      <c r="B124">
        <v>9100023402</v>
      </c>
      <c r="C124" t="s">
        <v>684</v>
      </c>
      <c r="D124" t="s">
        <v>685</v>
      </c>
      <c r="E124" t="str">
        <f t="shared" si="1"/>
        <v>Sulpak9100023402</v>
      </c>
    </row>
    <row r="125" spans="1:5" x14ac:dyDescent="0.3">
      <c r="A125" t="s">
        <v>446</v>
      </c>
      <c r="B125">
        <v>9100023404</v>
      </c>
      <c r="C125" t="s">
        <v>686</v>
      </c>
      <c r="D125" t="s">
        <v>687</v>
      </c>
      <c r="E125" t="str">
        <f t="shared" si="1"/>
        <v>Sulpak9100023404</v>
      </c>
    </row>
    <row r="126" spans="1:5" x14ac:dyDescent="0.3">
      <c r="A126" t="s">
        <v>446</v>
      </c>
      <c r="B126">
        <v>9100023405</v>
      </c>
      <c r="C126" t="s">
        <v>688</v>
      </c>
      <c r="D126" t="s">
        <v>689</v>
      </c>
      <c r="E126" t="str">
        <f t="shared" si="1"/>
        <v>Sulpak9100023405</v>
      </c>
    </row>
    <row r="127" spans="1:5" x14ac:dyDescent="0.3">
      <c r="A127" t="s">
        <v>446</v>
      </c>
      <c r="B127">
        <v>9100023407</v>
      </c>
      <c r="C127" t="s">
        <v>690</v>
      </c>
      <c r="D127" t="s">
        <v>691</v>
      </c>
      <c r="E127" t="str">
        <f t="shared" si="1"/>
        <v>Sulpak9100023407</v>
      </c>
    </row>
    <row r="128" spans="1:5" x14ac:dyDescent="0.3">
      <c r="A128" t="s">
        <v>446</v>
      </c>
      <c r="B128">
        <v>9100023409</v>
      </c>
      <c r="C128">
        <v>4166322</v>
      </c>
      <c r="D128" t="s">
        <v>692</v>
      </c>
      <c r="E128" t="str">
        <f t="shared" si="1"/>
        <v>Sulpak9100023409</v>
      </c>
    </row>
    <row r="129" spans="1:5" x14ac:dyDescent="0.3">
      <c r="A129" t="s">
        <v>446</v>
      </c>
      <c r="B129">
        <v>9100023408</v>
      </c>
      <c r="C129">
        <v>4166418</v>
      </c>
      <c r="D129" t="s">
        <v>693</v>
      </c>
      <c r="E129" t="str">
        <f t="shared" si="1"/>
        <v>Sulpak9100023408</v>
      </c>
    </row>
    <row r="130" spans="1:5" x14ac:dyDescent="0.3">
      <c r="A130" t="s">
        <v>446</v>
      </c>
      <c r="B130">
        <v>1830006555</v>
      </c>
      <c r="C130" t="s">
        <v>694</v>
      </c>
      <c r="D130" t="s">
        <v>695</v>
      </c>
      <c r="E130" t="str">
        <f t="shared" si="1"/>
        <v>Sulpak1830006555</v>
      </c>
    </row>
    <row r="131" spans="1:5" x14ac:dyDescent="0.3">
      <c r="A131" t="s">
        <v>446</v>
      </c>
      <c r="B131">
        <v>1830005749</v>
      </c>
      <c r="C131" t="s">
        <v>696</v>
      </c>
      <c r="D131" t="s">
        <v>697</v>
      </c>
      <c r="E131" t="str">
        <f t="shared" ref="E131:E194" si="2">A131&amp;B131</f>
        <v>Sulpak1830005749</v>
      </c>
    </row>
    <row r="132" spans="1:5" x14ac:dyDescent="0.3">
      <c r="A132" t="s">
        <v>446</v>
      </c>
      <c r="B132">
        <v>1830007830</v>
      </c>
      <c r="C132" t="s">
        <v>698</v>
      </c>
      <c r="D132" t="s">
        <v>699</v>
      </c>
      <c r="E132" t="str">
        <f t="shared" si="2"/>
        <v>Sulpak1830007830</v>
      </c>
    </row>
    <row r="133" spans="1:5" x14ac:dyDescent="0.3">
      <c r="A133" t="s">
        <v>446</v>
      </c>
      <c r="B133">
        <v>2100101961</v>
      </c>
      <c r="C133" t="s">
        <v>700</v>
      </c>
      <c r="D133" t="s">
        <v>701</v>
      </c>
      <c r="E133" t="str">
        <f t="shared" si="2"/>
        <v>Sulpak2100101961</v>
      </c>
    </row>
    <row r="134" spans="1:5" x14ac:dyDescent="0.3">
      <c r="A134" t="s">
        <v>446</v>
      </c>
      <c r="B134">
        <v>1830005841</v>
      </c>
      <c r="C134" t="s">
        <v>702</v>
      </c>
      <c r="D134" t="s">
        <v>703</v>
      </c>
      <c r="E134" t="str">
        <f t="shared" si="2"/>
        <v>Sulpak1830005841</v>
      </c>
    </row>
    <row r="135" spans="1:5" x14ac:dyDescent="0.3">
      <c r="A135" t="s">
        <v>446</v>
      </c>
      <c r="B135">
        <v>1830006273</v>
      </c>
      <c r="C135" t="s">
        <v>704</v>
      </c>
      <c r="D135" t="s">
        <v>705</v>
      </c>
      <c r="E135" t="str">
        <f t="shared" si="2"/>
        <v>Sulpak1830006273</v>
      </c>
    </row>
    <row r="136" spans="1:5" x14ac:dyDescent="0.3">
      <c r="A136" t="s">
        <v>446</v>
      </c>
      <c r="B136">
        <v>1830006016</v>
      </c>
      <c r="C136" t="s">
        <v>706</v>
      </c>
      <c r="D136" t="s">
        <v>707</v>
      </c>
      <c r="E136" t="str">
        <f t="shared" si="2"/>
        <v>Sulpak1830006016</v>
      </c>
    </row>
    <row r="137" spans="1:5" x14ac:dyDescent="0.3">
      <c r="A137" t="s">
        <v>446</v>
      </c>
      <c r="B137">
        <v>2211400159</v>
      </c>
      <c r="C137" t="s">
        <v>708</v>
      </c>
      <c r="D137" t="s">
        <v>709</v>
      </c>
      <c r="E137" t="str">
        <f t="shared" si="2"/>
        <v>Sulpak2211400159</v>
      </c>
    </row>
    <row r="138" spans="1:5" x14ac:dyDescent="0.3">
      <c r="A138" t="s">
        <v>446</v>
      </c>
      <c r="B138">
        <v>2100100887</v>
      </c>
      <c r="C138" t="s">
        <v>402</v>
      </c>
      <c r="D138" t="s">
        <v>710</v>
      </c>
      <c r="E138" t="str">
        <f t="shared" si="2"/>
        <v>Sulpak2100100887</v>
      </c>
    </row>
    <row r="139" spans="1:5" x14ac:dyDescent="0.3">
      <c r="A139" t="s">
        <v>446</v>
      </c>
      <c r="B139">
        <v>9100024451</v>
      </c>
      <c r="C139">
        <v>4170924</v>
      </c>
      <c r="D139" t="s">
        <v>711</v>
      </c>
      <c r="E139" t="str">
        <f t="shared" si="2"/>
        <v>Sulpak9100024451</v>
      </c>
    </row>
    <row r="140" spans="1:5" x14ac:dyDescent="0.3">
      <c r="A140" t="s">
        <v>446</v>
      </c>
      <c r="B140">
        <v>9100023403</v>
      </c>
      <c r="C140" t="s">
        <v>712</v>
      </c>
      <c r="D140" t="s">
        <v>713</v>
      </c>
      <c r="E140" t="str">
        <f t="shared" si="2"/>
        <v>Sulpak9100023403</v>
      </c>
    </row>
    <row r="141" spans="1:5" x14ac:dyDescent="0.3">
      <c r="A141" t="s">
        <v>446</v>
      </c>
      <c r="B141">
        <v>7211002805</v>
      </c>
      <c r="C141" t="s">
        <v>714</v>
      </c>
      <c r="D141" t="s">
        <v>715</v>
      </c>
      <c r="E141" t="str">
        <f t="shared" si="2"/>
        <v>Sulpak7211002805</v>
      </c>
    </row>
    <row r="142" spans="1:5" x14ac:dyDescent="0.3">
      <c r="A142" t="s">
        <v>446</v>
      </c>
      <c r="B142">
        <v>8000036018</v>
      </c>
      <c r="C142" t="s">
        <v>716</v>
      </c>
      <c r="D142" t="s">
        <v>717</v>
      </c>
      <c r="E142" t="str">
        <f t="shared" si="2"/>
        <v>Sulpak8000036018</v>
      </c>
    </row>
    <row r="143" spans="1:5" x14ac:dyDescent="0.3">
      <c r="A143" t="s">
        <v>446</v>
      </c>
      <c r="B143">
        <v>3100508270</v>
      </c>
      <c r="C143">
        <v>508270</v>
      </c>
      <c r="D143" t="s">
        <v>718</v>
      </c>
      <c r="E143" t="str">
        <f t="shared" si="2"/>
        <v>Sulpak3100508270</v>
      </c>
    </row>
    <row r="144" spans="1:5" x14ac:dyDescent="0.3">
      <c r="A144" t="s">
        <v>446</v>
      </c>
      <c r="B144">
        <v>3100514567</v>
      </c>
      <c r="C144">
        <v>514567</v>
      </c>
      <c r="D144" t="s">
        <v>719</v>
      </c>
      <c r="E144" t="str">
        <f t="shared" si="2"/>
        <v>Sulpak3100514567</v>
      </c>
    </row>
    <row r="145" spans="1:5" x14ac:dyDescent="0.3">
      <c r="A145" t="s">
        <v>446</v>
      </c>
      <c r="B145">
        <v>3100504917</v>
      </c>
      <c r="C145">
        <v>504917</v>
      </c>
      <c r="D145" t="s">
        <v>720</v>
      </c>
      <c r="E145" t="str">
        <f t="shared" si="2"/>
        <v>Sulpak3100504917</v>
      </c>
    </row>
    <row r="146" spans="1:5" x14ac:dyDescent="0.3">
      <c r="A146" t="s">
        <v>446</v>
      </c>
      <c r="B146">
        <v>3100508020</v>
      </c>
      <c r="C146">
        <v>508020</v>
      </c>
      <c r="D146" t="s">
        <v>721</v>
      </c>
      <c r="E146" t="str">
        <f t="shared" si="2"/>
        <v>Sulpak3100508020</v>
      </c>
    </row>
    <row r="147" spans="1:5" x14ac:dyDescent="0.3">
      <c r="A147" t="s">
        <v>446</v>
      </c>
      <c r="B147">
        <v>3100508268</v>
      </c>
      <c r="C147">
        <v>508268</v>
      </c>
      <c r="D147" t="s">
        <v>722</v>
      </c>
      <c r="E147" t="str">
        <f t="shared" si="2"/>
        <v>Sulpak3100508268</v>
      </c>
    </row>
    <row r="148" spans="1:5" x14ac:dyDescent="0.3">
      <c r="A148" t="s">
        <v>446</v>
      </c>
      <c r="B148">
        <v>3100508269</v>
      </c>
      <c r="C148">
        <v>508269</v>
      </c>
      <c r="D148" t="s">
        <v>723</v>
      </c>
      <c r="E148" t="str">
        <f t="shared" si="2"/>
        <v>Sulpak3100508269</v>
      </c>
    </row>
    <row r="149" spans="1:5" x14ac:dyDescent="0.3">
      <c r="A149" t="s">
        <v>446</v>
      </c>
      <c r="B149">
        <v>3100514558</v>
      </c>
      <c r="C149">
        <v>514558</v>
      </c>
      <c r="D149" t="s">
        <v>724</v>
      </c>
      <c r="E149" t="str">
        <f t="shared" si="2"/>
        <v>Sulpak3100514558</v>
      </c>
    </row>
    <row r="150" spans="1:5" x14ac:dyDescent="0.3">
      <c r="A150" t="s">
        <v>446</v>
      </c>
      <c r="B150">
        <v>3100514557</v>
      </c>
      <c r="C150">
        <v>514557</v>
      </c>
      <c r="D150" t="s">
        <v>725</v>
      </c>
      <c r="E150" t="str">
        <f t="shared" si="2"/>
        <v>Sulpak3100514557</v>
      </c>
    </row>
    <row r="151" spans="1:5" x14ac:dyDescent="0.3">
      <c r="A151" t="s">
        <v>446</v>
      </c>
      <c r="B151">
        <v>3100504918</v>
      </c>
      <c r="C151">
        <v>504918</v>
      </c>
      <c r="D151" t="s">
        <v>726</v>
      </c>
      <c r="E151" t="str">
        <f t="shared" si="2"/>
        <v>Sulpak3100504918</v>
      </c>
    </row>
    <row r="152" spans="1:5" x14ac:dyDescent="0.3">
      <c r="A152" t="s">
        <v>446</v>
      </c>
      <c r="B152">
        <v>3100514286</v>
      </c>
      <c r="C152">
        <v>514286</v>
      </c>
      <c r="D152" t="s">
        <v>727</v>
      </c>
      <c r="E152" t="str">
        <f t="shared" si="2"/>
        <v>Sulpak3100514286</v>
      </c>
    </row>
    <row r="153" spans="1:5" x14ac:dyDescent="0.3">
      <c r="A153" t="s">
        <v>446</v>
      </c>
      <c r="B153">
        <v>3100515562</v>
      </c>
      <c r="C153">
        <v>515562</v>
      </c>
      <c r="D153" t="s">
        <v>728</v>
      </c>
      <c r="E153" t="str">
        <f t="shared" si="2"/>
        <v>Sulpak3100515562</v>
      </c>
    </row>
    <row r="154" spans="1:5" x14ac:dyDescent="0.3">
      <c r="A154" t="s">
        <v>446</v>
      </c>
      <c r="B154">
        <v>3100508570</v>
      </c>
      <c r="C154" t="s">
        <v>729</v>
      </c>
      <c r="D154" t="s">
        <v>730</v>
      </c>
      <c r="E154" t="str">
        <f t="shared" si="2"/>
        <v>Sulpak3100508570</v>
      </c>
    </row>
    <row r="155" spans="1:5" x14ac:dyDescent="0.3">
      <c r="A155" t="s">
        <v>446</v>
      </c>
      <c r="B155">
        <v>3100508566</v>
      </c>
      <c r="C155" t="s">
        <v>731</v>
      </c>
      <c r="D155" t="s">
        <v>732</v>
      </c>
      <c r="E155" t="str">
        <f t="shared" si="2"/>
        <v>Sulpak3100508566</v>
      </c>
    </row>
    <row r="156" spans="1:5" x14ac:dyDescent="0.3">
      <c r="A156" t="s">
        <v>446</v>
      </c>
      <c r="B156">
        <v>3100508535</v>
      </c>
      <c r="C156">
        <v>508535</v>
      </c>
      <c r="D156" t="s">
        <v>733</v>
      </c>
      <c r="E156" t="str">
        <f t="shared" si="2"/>
        <v>Sulpak3100508535</v>
      </c>
    </row>
    <row r="157" spans="1:5" x14ac:dyDescent="0.3">
      <c r="A157" t="s">
        <v>446</v>
      </c>
      <c r="B157">
        <v>3100508538</v>
      </c>
      <c r="C157" t="s">
        <v>734</v>
      </c>
      <c r="D157" t="s">
        <v>735</v>
      </c>
      <c r="E157" t="str">
        <f t="shared" si="2"/>
        <v>Sulpak3100508538</v>
      </c>
    </row>
    <row r="158" spans="1:5" x14ac:dyDescent="0.3">
      <c r="A158" t="s">
        <v>446</v>
      </c>
      <c r="B158">
        <v>3100508540</v>
      </c>
      <c r="C158" t="s">
        <v>736</v>
      </c>
      <c r="D158" t="s">
        <v>737</v>
      </c>
      <c r="E158" t="str">
        <f t="shared" si="2"/>
        <v>Sulpak3100508540</v>
      </c>
    </row>
    <row r="159" spans="1:5" x14ac:dyDescent="0.3">
      <c r="A159" t="s">
        <v>446</v>
      </c>
      <c r="B159">
        <v>3100513555</v>
      </c>
      <c r="C159">
        <v>513555</v>
      </c>
      <c r="D159" t="s">
        <v>738</v>
      </c>
      <c r="E159" t="str">
        <f t="shared" si="2"/>
        <v>Sulpak3100513555</v>
      </c>
    </row>
    <row r="160" spans="1:5" x14ac:dyDescent="0.3">
      <c r="A160" t="s">
        <v>446</v>
      </c>
      <c r="B160">
        <v>3100513556</v>
      </c>
      <c r="C160">
        <v>513556</v>
      </c>
      <c r="D160" t="s">
        <v>739</v>
      </c>
      <c r="E160" t="str">
        <f t="shared" si="2"/>
        <v>Sulpak3100513556</v>
      </c>
    </row>
    <row r="161" spans="1:5" x14ac:dyDescent="0.3">
      <c r="A161" t="s">
        <v>446</v>
      </c>
      <c r="B161">
        <v>3100513558</v>
      </c>
      <c r="C161">
        <v>513558</v>
      </c>
      <c r="D161" t="s">
        <v>740</v>
      </c>
      <c r="E161" t="str">
        <f t="shared" si="2"/>
        <v>Sulpak3100513558</v>
      </c>
    </row>
    <row r="162" spans="1:5" x14ac:dyDescent="0.3">
      <c r="A162" t="s">
        <v>446</v>
      </c>
      <c r="B162">
        <v>3100513557</v>
      </c>
      <c r="C162">
        <v>513557</v>
      </c>
      <c r="D162" t="s">
        <v>741</v>
      </c>
      <c r="E162" t="str">
        <f t="shared" si="2"/>
        <v>Sulpak3100513557</v>
      </c>
    </row>
    <row r="163" spans="1:5" x14ac:dyDescent="0.3">
      <c r="A163" t="s">
        <v>446</v>
      </c>
      <c r="B163">
        <v>3100514550</v>
      </c>
      <c r="C163">
        <v>514550</v>
      </c>
      <c r="D163" t="s">
        <v>742</v>
      </c>
      <c r="E163" t="str">
        <f t="shared" si="2"/>
        <v>Sulpak3100514550</v>
      </c>
    </row>
    <row r="164" spans="1:5" x14ac:dyDescent="0.3">
      <c r="A164" t="s">
        <v>446</v>
      </c>
      <c r="B164">
        <v>3100514551</v>
      </c>
      <c r="C164">
        <v>514551</v>
      </c>
      <c r="D164" t="s">
        <v>743</v>
      </c>
      <c r="E164" t="str">
        <f t="shared" si="2"/>
        <v>Sulpak3100514551</v>
      </c>
    </row>
    <row r="165" spans="1:5" x14ac:dyDescent="0.3">
      <c r="A165" t="s">
        <v>446</v>
      </c>
      <c r="B165">
        <v>3100514552</v>
      </c>
      <c r="C165">
        <v>514552</v>
      </c>
      <c r="D165" t="s">
        <v>744</v>
      </c>
      <c r="E165" t="str">
        <f t="shared" si="2"/>
        <v>Sulpak3100514552</v>
      </c>
    </row>
    <row r="166" spans="1:5" x14ac:dyDescent="0.3">
      <c r="A166" t="s">
        <v>446</v>
      </c>
      <c r="B166">
        <v>3100515006</v>
      </c>
      <c r="C166">
        <v>515006</v>
      </c>
      <c r="D166" t="s">
        <v>745</v>
      </c>
      <c r="E166" t="str">
        <f t="shared" si="2"/>
        <v>Sulpak3100515006</v>
      </c>
    </row>
    <row r="167" spans="1:5" x14ac:dyDescent="0.3">
      <c r="A167" t="s">
        <v>446</v>
      </c>
      <c r="B167">
        <v>3100503646</v>
      </c>
      <c r="C167">
        <v>503646</v>
      </c>
      <c r="D167" t="s">
        <v>746</v>
      </c>
      <c r="E167" t="str">
        <f t="shared" si="2"/>
        <v>Sulpak3100503646</v>
      </c>
    </row>
    <row r="168" spans="1:5" x14ac:dyDescent="0.3">
      <c r="A168" t="s">
        <v>446</v>
      </c>
      <c r="B168">
        <v>3100517099</v>
      </c>
      <c r="C168">
        <v>517099</v>
      </c>
      <c r="D168" t="s">
        <v>747</v>
      </c>
      <c r="E168" t="str">
        <f t="shared" si="2"/>
        <v>Sulpak3100517099</v>
      </c>
    </row>
    <row r="169" spans="1:5" x14ac:dyDescent="0.3">
      <c r="A169" t="s">
        <v>446</v>
      </c>
      <c r="B169">
        <v>3100509233</v>
      </c>
      <c r="C169">
        <v>509233</v>
      </c>
      <c r="D169" t="s">
        <v>748</v>
      </c>
      <c r="E169" t="str">
        <f t="shared" si="2"/>
        <v>Sulpak3100509233</v>
      </c>
    </row>
    <row r="170" spans="1:5" x14ac:dyDescent="0.3">
      <c r="A170" t="s">
        <v>446</v>
      </c>
      <c r="B170">
        <v>3100512966</v>
      </c>
      <c r="C170">
        <v>512966</v>
      </c>
      <c r="D170" t="s">
        <v>749</v>
      </c>
      <c r="E170" t="str">
        <f t="shared" si="2"/>
        <v>Sulpak3100512966</v>
      </c>
    </row>
    <row r="171" spans="1:5" x14ac:dyDescent="0.3">
      <c r="A171" t="s">
        <v>446</v>
      </c>
      <c r="B171">
        <v>3100513356</v>
      </c>
      <c r="C171" t="s">
        <v>750</v>
      </c>
      <c r="D171" t="s">
        <v>751</v>
      </c>
      <c r="E171" t="str">
        <f t="shared" si="2"/>
        <v>Sulpak3100513356</v>
      </c>
    </row>
    <row r="172" spans="1:5" x14ac:dyDescent="0.3">
      <c r="A172" t="s">
        <v>446</v>
      </c>
      <c r="B172">
        <v>3100513361</v>
      </c>
      <c r="C172" t="s">
        <v>752</v>
      </c>
      <c r="D172" t="s">
        <v>753</v>
      </c>
      <c r="E172" t="str">
        <f t="shared" si="2"/>
        <v>Sulpak3100513361</v>
      </c>
    </row>
    <row r="173" spans="1:5" x14ac:dyDescent="0.3">
      <c r="A173" t="s">
        <v>446</v>
      </c>
      <c r="B173">
        <v>3100513359</v>
      </c>
      <c r="C173" t="s">
        <v>754</v>
      </c>
      <c r="D173" t="s">
        <v>755</v>
      </c>
      <c r="E173" t="str">
        <f t="shared" si="2"/>
        <v>Sulpak3100513359</v>
      </c>
    </row>
    <row r="174" spans="1:5" x14ac:dyDescent="0.3">
      <c r="A174" t="s">
        <v>446</v>
      </c>
      <c r="B174">
        <v>3100513357</v>
      </c>
      <c r="C174" t="s">
        <v>756</v>
      </c>
      <c r="D174" t="s">
        <v>757</v>
      </c>
      <c r="E174" t="str">
        <f t="shared" si="2"/>
        <v>Sulpak3100513357</v>
      </c>
    </row>
    <row r="175" spans="1:5" x14ac:dyDescent="0.3">
      <c r="A175" t="s">
        <v>446</v>
      </c>
      <c r="B175">
        <v>3100513351</v>
      </c>
      <c r="C175">
        <v>513351</v>
      </c>
      <c r="D175" t="s">
        <v>758</v>
      </c>
      <c r="E175" t="str">
        <f t="shared" si="2"/>
        <v>Sulpak3100513351</v>
      </c>
    </row>
    <row r="176" spans="1:5" x14ac:dyDescent="0.3">
      <c r="A176" t="s">
        <v>446</v>
      </c>
      <c r="B176">
        <v>3100515614</v>
      </c>
      <c r="C176">
        <v>515614</v>
      </c>
      <c r="D176" t="s">
        <v>759</v>
      </c>
      <c r="E176" t="str">
        <f t="shared" si="2"/>
        <v>Sulpak3100515614</v>
      </c>
    </row>
    <row r="177" spans="1:5" x14ac:dyDescent="0.3">
      <c r="A177" t="s">
        <v>446</v>
      </c>
      <c r="B177">
        <v>3100000004</v>
      </c>
      <c r="C177" t="s">
        <v>760</v>
      </c>
      <c r="D177" t="s">
        <v>761</v>
      </c>
      <c r="E177" t="str">
        <f t="shared" si="2"/>
        <v>Sulpak3100000004</v>
      </c>
    </row>
    <row r="178" spans="1:5" x14ac:dyDescent="0.3">
      <c r="A178" t="s">
        <v>446</v>
      </c>
      <c r="B178">
        <v>3100515716</v>
      </c>
      <c r="C178">
        <v>515716</v>
      </c>
      <c r="D178" t="s">
        <v>762</v>
      </c>
      <c r="E178" t="str">
        <f t="shared" si="2"/>
        <v>Sulpak3100515716</v>
      </c>
    </row>
    <row r="179" spans="1:5" x14ac:dyDescent="0.3">
      <c r="A179" t="s">
        <v>446</v>
      </c>
      <c r="B179">
        <v>3100515715</v>
      </c>
      <c r="C179">
        <v>515715</v>
      </c>
      <c r="D179" t="s">
        <v>763</v>
      </c>
      <c r="E179" t="str">
        <f t="shared" si="2"/>
        <v>Sulpak3100515715</v>
      </c>
    </row>
    <row r="180" spans="1:5" x14ac:dyDescent="0.3">
      <c r="A180" t="s">
        <v>446</v>
      </c>
      <c r="B180">
        <v>3100502489</v>
      </c>
      <c r="C180">
        <v>502489</v>
      </c>
      <c r="D180" t="s">
        <v>764</v>
      </c>
      <c r="E180" t="str">
        <f t="shared" si="2"/>
        <v>Sulpak3100502489</v>
      </c>
    </row>
    <row r="181" spans="1:5" x14ac:dyDescent="0.3">
      <c r="A181" t="s">
        <v>446</v>
      </c>
      <c r="B181">
        <v>3100515668</v>
      </c>
      <c r="C181">
        <v>515668</v>
      </c>
      <c r="D181" t="s">
        <v>765</v>
      </c>
      <c r="E181" t="str">
        <f t="shared" si="2"/>
        <v>Sulpak3100515668</v>
      </c>
    </row>
    <row r="182" spans="1:5" x14ac:dyDescent="0.3">
      <c r="A182" t="s">
        <v>446</v>
      </c>
      <c r="B182">
        <v>1110030825</v>
      </c>
      <c r="C182" t="s">
        <v>766</v>
      </c>
      <c r="D182" t="s">
        <v>767</v>
      </c>
      <c r="E182" t="str">
        <f t="shared" si="2"/>
        <v>Sulpak1110030825</v>
      </c>
    </row>
    <row r="183" spans="1:5" x14ac:dyDescent="0.3">
      <c r="A183" t="s">
        <v>446</v>
      </c>
      <c r="B183">
        <v>1510001318</v>
      </c>
      <c r="C183" t="s">
        <v>67</v>
      </c>
      <c r="D183" t="s">
        <v>320</v>
      </c>
      <c r="E183" t="str">
        <f t="shared" si="2"/>
        <v>Sulpak1510001318</v>
      </c>
    </row>
    <row r="184" spans="1:5" x14ac:dyDescent="0.3">
      <c r="A184" t="s">
        <v>446</v>
      </c>
      <c r="B184">
        <v>3100513918</v>
      </c>
      <c r="C184">
        <v>513918</v>
      </c>
      <c r="D184" t="s">
        <v>768</v>
      </c>
      <c r="E184" t="str">
        <f t="shared" si="2"/>
        <v>Sulpak3100513918</v>
      </c>
    </row>
    <row r="185" spans="1:5" x14ac:dyDescent="0.3">
      <c r="A185" t="s">
        <v>446</v>
      </c>
      <c r="B185">
        <v>3100513920</v>
      </c>
      <c r="C185" t="s">
        <v>769</v>
      </c>
      <c r="D185" t="s">
        <v>770</v>
      </c>
      <c r="E185" t="str">
        <f t="shared" si="2"/>
        <v>Sulpak3100513920</v>
      </c>
    </row>
    <row r="186" spans="1:5" x14ac:dyDescent="0.3">
      <c r="A186" t="s">
        <v>446</v>
      </c>
      <c r="B186">
        <v>3100513922</v>
      </c>
      <c r="C186">
        <v>513922</v>
      </c>
      <c r="D186" t="s">
        <v>771</v>
      </c>
      <c r="E186" t="str">
        <f t="shared" si="2"/>
        <v>Sulpak3100513922</v>
      </c>
    </row>
    <row r="187" spans="1:5" x14ac:dyDescent="0.3">
      <c r="A187" t="s">
        <v>446</v>
      </c>
      <c r="B187">
        <v>3100517776</v>
      </c>
      <c r="C187">
        <v>517776</v>
      </c>
      <c r="D187" t="s">
        <v>772</v>
      </c>
      <c r="E187" t="str">
        <f t="shared" si="2"/>
        <v>Sulpak3100517776</v>
      </c>
    </row>
    <row r="188" spans="1:5" x14ac:dyDescent="0.3">
      <c r="A188" t="s">
        <v>446</v>
      </c>
      <c r="B188">
        <v>3100514515</v>
      </c>
      <c r="C188">
        <v>514515</v>
      </c>
      <c r="D188" t="s">
        <v>773</v>
      </c>
      <c r="E188" t="str">
        <f t="shared" si="2"/>
        <v>Sulpak3100514515</v>
      </c>
    </row>
    <row r="189" spans="1:5" x14ac:dyDescent="0.3">
      <c r="A189" t="s">
        <v>446</v>
      </c>
      <c r="B189">
        <v>2211400232</v>
      </c>
      <c r="C189" t="s">
        <v>774</v>
      </c>
      <c r="D189" t="s">
        <v>775</v>
      </c>
      <c r="E189" t="str">
        <f t="shared" si="2"/>
        <v>Sulpak2211400232</v>
      </c>
    </row>
    <row r="190" spans="1:5" x14ac:dyDescent="0.3">
      <c r="A190" t="s">
        <v>446</v>
      </c>
      <c r="B190">
        <v>7211000870</v>
      </c>
      <c r="C190" t="s">
        <v>776</v>
      </c>
      <c r="D190" t="s">
        <v>777</v>
      </c>
      <c r="E190" t="str">
        <f t="shared" si="2"/>
        <v>Sulpak7211000870</v>
      </c>
    </row>
    <row r="191" spans="1:5" x14ac:dyDescent="0.3">
      <c r="A191" t="s">
        <v>446</v>
      </c>
      <c r="B191">
        <v>1510001324</v>
      </c>
      <c r="C191" t="s">
        <v>778</v>
      </c>
      <c r="D191" t="s">
        <v>779</v>
      </c>
      <c r="E191" t="str">
        <f t="shared" si="2"/>
        <v>Sulpak1510001324</v>
      </c>
    </row>
    <row r="192" spans="1:5" x14ac:dyDescent="0.3">
      <c r="A192" t="s">
        <v>446</v>
      </c>
      <c r="B192">
        <v>2100096679</v>
      </c>
      <c r="C192" t="s">
        <v>780</v>
      </c>
      <c r="D192" t="s">
        <v>781</v>
      </c>
      <c r="E192" t="str">
        <f t="shared" si="2"/>
        <v>Sulpak2100096679</v>
      </c>
    </row>
    <row r="193" spans="1:5" x14ac:dyDescent="0.3">
      <c r="A193" t="s">
        <v>446</v>
      </c>
      <c r="B193">
        <v>2100096682</v>
      </c>
      <c r="C193" t="s">
        <v>782</v>
      </c>
      <c r="D193" t="s">
        <v>783</v>
      </c>
      <c r="E193" t="str">
        <f t="shared" si="2"/>
        <v>Sulpak2100096682</v>
      </c>
    </row>
    <row r="194" spans="1:5" x14ac:dyDescent="0.3">
      <c r="A194" t="s">
        <v>446</v>
      </c>
      <c r="B194">
        <v>2100096722</v>
      </c>
      <c r="C194" t="s">
        <v>784</v>
      </c>
      <c r="D194" t="s">
        <v>785</v>
      </c>
      <c r="E194" t="str">
        <f t="shared" si="2"/>
        <v>Sulpak2100096722</v>
      </c>
    </row>
    <row r="195" spans="1:5" x14ac:dyDescent="0.3">
      <c r="A195" t="s">
        <v>446</v>
      </c>
      <c r="B195">
        <v>2100089958</v>
      </c>
      <c r="C195" t="s">
        <v>786</v>
      </c>
      <c r="D195" t="s">
        <v>787</v>
      </c>
      <c r="E195" t="str">
        <f t="shared" ref="E195:E258" si="3">A195&amp;B195</f>
        <v>Sulpak2100089958</v>
      </c>
    </row>
    <row r="196" spans="1:5" x14ac:dyDescent="0.3">
      <c r="A196" t="s">
        <v>446</v>
      </c>
      <c r="B196">
        <v>2100088990</v>
      </c>
      <c r="C196" t="s">
        <v>788</v>
      </c>
      <c r="D196" t="s">
        <v>789</v>
      </c>
      <c r="E196" t="str">
        <f t="shared" si="3"/>
        <v>Sulpak2100088990</v>
      </c>
    </row>
    <row r="197" spans="1:5" x14ac:dyDescent="0.3">
      <c r="A197" t="s">
        <v>446</v>
      </c>
      <c r="B197">
        <v>2100088988</v>
      </c>
      <c r="C197" t="s">
        <v>790</v>
      </c>
      <c r="D197" t="s">
        <v>791</v>
      </c>
      <c r="E197" t="str">
        <f t="shared" si="3"/>
        <v>Sulpak2100088988</v>
      </c>
    </row>
    <row r="198" spans="1:5" x14ac:dyDescent="0.3">
      <c r="A198" t="s">
        <v>446</v>
      </c>
      <c r="B198">
        <v>2100098068</v>
      </c>
      <c r="C198" t="s">
        <v>792</v>
      </c>
      <c r="D198" t="s">
        <v>793</v>
      </c>
      <c r="E198" t="str">
        <f t="shared" si="3"/>
        <v>Sulpak2100098068</v>
      </c>
    </row>
    <row r="199" spans="1:5" x14ac:dyDescent="0.3">
      <c r="A199" t="s">
        <v>446</v>
      </c>
      <c r="B199">
        <v>2100098069</v>
      </c>
      <c r="C199" t="s">
        <v>794</v>
      </c>
      <c r="D199" t="s">
        <v>795</v>
      </c>
      <c r="E199" t="str">
        <f t="shared" si="3"/>
        <v>Sulpak2100098069</v>
      </c>
    </row>
    <row r="200" spans="1:5" x14ac:dyDescent="0.3">
      <c r="A200" t="s">
        <v>446</v>
      </c>
      <c r="B200">
        <v>2100098070</v>
      </c>
      <c r="C200" t="s">
        <v>796</v>
      </c>
      <c r="D200" t="s">
        <v>797</v>
      </c>
      <c r="E200" t="str">
        <f t="shared" si="3"/>
        <v>Sulpak2100098070</v>
      </c>
    </row>
    <row r="201" spans="1:5" x14ac:dyDescent="0.3">
      <c r="A201" t="s">
        <v>446</v>
      </c>
      <c r="B201">
        <v>2100094925</v>
      </c>
      <c r="C201" t="s">
        <v>798</v>
      </c>
      <c r="D201" t="s">
        <v>799</v>
      </c>
      <c r="E201" t="str">
        <f t="shared" si="3"/>
        <v>Sulpak2100094925</v>
      </c>
    </row>
    <row r="202" spans="1:5" x14ac:dyDescent="0.3">
      <c r="A202" t="s">
        <v>446</v>
      </c>
      <c r="B202">
        <v>2100090228</v>
      </c>
      <c r="C202" t="s">
        <v>800</v>
      </c>
      <c r="D202" t="s">
        <v>801</v>
      </c>
      <c r="E202" t="str">
        <f t="shared" si="3"/>
        <v>Sulpak2100090228</v>
      </c>
    </row>
    <row r="203" spans="1:5" x14ac:dyDescent="0.3">
      <c r="A203" t="s">
        <v>446</v>
      </c>
      <c r="B203">
        <v>9100023411</v>
      </c>
      <c r="C203" t="s">
        <v>802</v>
      </c>
      <c r="D203" t="s">
        <v>803</v>
      </c>
      <c r="E203" t="str">
        <f t="shared" si="3"/>
        <v>Sulpak9100023411</v>
      </c>
    </row>
    <row r="204" spans="1:5" x14ac:dyDescent="0.3">
      <c r="A204" t="s">
        <v>446</v>
      </c>
      <c r="B204">
        <v>9100023412</v>
      </c>
      <c r="C204" t="s">
        <v>804</v>
      </c>
      <c r="D204" t="s">
        <v>805</v>
      </c>
      <c r="E204" t="str">
        <f t="shared" si="3"/>
        <v>Sulpak9100023412</v>
      </c>
    </row>
    <row r="205" spans="1:5" x14ac:dyDescent="0.3">
      <c r="A205" t="s">
        <v>446</v>
      </c>
      <c r="B205">
        <v>9100023413</v>
      </c>
      <c r="C205" t="s">
        <v>806</v>
      </c>
      <c r="D205" t="s">
        <v>807</v>
      </c>
      <c r="E205" t="str">
        <f t="shared" si="3"/>
        <v>Sulpak9100023413</v>
      </c>
    </row>
    <row r="206" spans="1:5" x14ac:dyDescent="0.3">
      <c r="A206" t="s">
        <v>446</v>
      </c>
      <c r="B206">
        <v>9100023406</v>
      </c>
      <c r="C206" t="s">
        <v>808</v>
      </c>
      <c r="D206" t="s">
        <v>809</v>
      </c>
      <c r="E206" t="str">
        <f t="shared" si="3"/>
        <v>Sulpak9100023406</v>
      </c>
    </row>
    <row r="207" spans="1:5" x14ac:dyDescent="0.3">
      <c r="A207" t="s">
        <v>446</v>
      </c>
      <c r="B207">
        <v>9100023400</v>
      </c>
      <c r="C207">
        <v>4166120</v>
      </c>
      <c r="D207" t="s">
        <v>810</v>
      </c>
      <c r="E207" t="str">
        <f t="shared" si="3"/>
        <v>Sulpak9100023400</v>
      </c>
    </row>
    <row r="208" spans="1:5" x14ac:dyDescent="0.3">
      <c r="A208" t="s">
        <v>446</v>
      </c>
      <c r="B208">
        <v>7211002330</v>
      </c>
      <c r="C208" t="s">
        <v>811</v>
      </c>
      <c r="D208" t="s">
        <v>812</v>
      </c>
      <c r="E208" t="str">
        <f t="shared" si="3"/>
        <v>Sulpak7211002330</v>
      </c>
    </row>
    <row r="209" spans="1:5" x14ac:dyDescent="0.3">
      <c r="A209" t="s">
        <v>446</v>
      </c>
      <c r="B209">
        <v>7211002374</v>
      </c>
      <c r="C209" t="s">
        <v>813</v>
      </c>
      <c r="D209" t="s">
        <v>814</v>
      </c>
      <c r="E209" t="str">
        <f t="shared" si="3"/>
        <v>Sulpak7211002374</v>
      </c>
    </row>
    <row r="210" spans="1:5" x14ac:dyDescent="0.3">
      <c r="A210" t="s">
        <v>446</v>
      </c>
      <c r="B210">
        <v>8000036072</v>
      </c>
      <c r="C210" t="s">
        <v>815</v>
      </c>
      <c r="D210" t="s">
        <v>816</v>
      </c>
      <c r="E210" t="str">
        <f t="shared" si="3"/>
        <v>Sulpak8000036072</v>
      </c>
    </row>
    <row r="211" spans="1:5" x14ac:dyDescent="0.3">
      <c r="A211" t="s">
        <v>446</v>
      </c>
      <c r="B211">
        <v>8010000794</v>
      </c>
      <c r="C211" t="s">
        <v>63</v>
      </c>
      <c r="D211" t="s">
        <v>318</v>
      </c>
      <c r="E211" t="str">
        <f t="shared" si="3"/>
        <v>Sulpak8010000794</v>
      </c>
    </row>
    <row r="212" spans="1:5" x14ac:dyDescent="0.3">
      <c r="A212" t="s">
        <v>446</v>
      </c>
      <c r="B212">
        <v>8010000032</v>
      </c>
      <c r="C212" t="s">
        <v>817</v>
      </c>
      <c r="D212" t="s">
        <v>818</v>
      </c>
      <c r="E212" t="str">
        <f t="shared" si="3"/>
        <v>Sulpak8010000032</v>
      </c>
    </row>
    <row r="213" spans="1:5" x14ac:dyDescent="0.3">
      <c r="A213" t="s">
        <v>446</v>
      </c>
      <c r="B213">
        <v>7211004699</v>
      </c>
      <c r="C213" t="s">
        <v>120</v>
      </c>
      <c r="D213" t="s">
        <v>328</v>
      </c>
      <c r="E213" t="str">
        <f t="shared" si="3"/>
        <v>Sulpak7211004699</v>
      </c>
    </row>
    <row r="214" spans="1:5" x14ac:dyDescent="0.3">
      <c r="A214" t="s">
        <v>446</v>
      </c>
      <c r="B214">
        <v>8010000095</v>
      </c>
      <c r="C214" t="s">
        <v>819</v>
      </c>
      <c r="D214" t="s">
        <v>820</v>
      </c>
      <c r="E214" t="str">
        <f t="shared" si="3"/>
        <v>Sulpak8010000095</v>
      </c>
    </row>
    <row r="215" spans="1:5" x14ac:dyDescent="0.3">
      <c r="A215" t="s">
        <v>446</v>
      </c>
      <c r="B215">
        <v>1830006573</v>
      </c>
      <c r="C215" t="s">
        <v>821</v>
      </c>
      <c r="D215" t="s">
        <v>822</v>
      </c>
      <c r="E215" t="str">
        <f t="shared" si="3"/>
        <v>Sulpak1830006573</v>
      </c>
    </row>
    <row r="216" spans="1:5" x14ac:dyDescent="0.3">
      <c r="A216" t="s">
        <v>446</v>
      </c>
      <c r="B216">
        <v>1830006435</v>
      </c>
      <c r="C216" t="s">
        <v>823</v>
      </c>
      <c r="D216" t="s">
        <v>824</v>
      </c>
      <c r="E216" t="str">
        <f t="shared" si="3"/>
        <v>Sulpak1830006435</v>
      </c>
    </row>
    <row r="217" spans="1:5" x14ac:dyDescent="0.3">
      <c r="A217" t="s">
        <v>446</v>
      </c>
      <c r="B217">
        <v>1830006381</v>
      </c>
      <c r="C217" t="s">
        <v>825</v>
      </c>
      <c r="D217" t="s">
        <v>826</v>
      </c>
      <c r="E217" t="str">
        <f t="shared" si="3"/>
        <v>Sulpak1830006381</v>
      </c>
    </row>
    <row r="218" spans="1:5" x14ac:dyDescent="0.3">
      <c r="A218" t="s">
        <v>446</v>
      </c>
      <c r="B218">
        <v>2820300101</v>
      </c>
      <c r="C218" t="s">
        <v>827</v>
      </c>
      <c r="D218" t="s">
        <v>828</v>
      </c>
      <c r="E218" t="str">
        <f t="shared" si="3"/>
        <v>Sulpak2820300101</v>
      </c>
    </row>
    <row r="219" spans="1:5" x14ac:dyDescent="0.3">
      <c r="A219" t="s">
        <v>446</v>
      </c>
      <c r="B219">
        <v>1830006929</v>
      </c>
      <c r="C219" t="s">
        <v>829</v>
      </c>
      <c r="D219" t="s">
        <v>830</v>
      </c>
      <c r="E219" t="str">
        <f t="shared" si="3"/>
        <v>Sulpak1830006929</v>
      </c>
    </row>
    <row r="220" spans="1:5" x14ac:dyDescent="0.3">
      <c r="A220" t="s">
        <v>446</v>
      </c>
      <c r="B220">
        <v>1830006774</v>
      </c>
      <c r="C220" t="s">
        <v>831</v>
      </c>
      <c r="D220" t="s">
        <v>832</v>
      </c>
      <c r="E220" t="str">
        <f t="shared" si="3"/>
        <v>Sulpak1830006774</v>
      </c>
    </row>
    <row r="221" spans="1:5" x14ac:dyDescent="0.3">
      <c r="A221" t="s">
        <v>446</v>
      </c>
      <c r="B221">
        <v>2211400166</v>
      </c>
      <c r="C221" t="s">
        <v>833</v>
      </c>
      <c r="D221" t="s">
        <v>834</v>
      </c>
      <c r="E221" t="str">
        <f t="shared" si="3"/>
        <v>Sulpak2211400166</v>
      </c>
    </row>
    <row r="222" spans="1:5" x14ac:dyDescent="0.3">
      <c r="A222" t="s">
        <v>446</v>
      </c>
      <c r="B222">
        <v>1110030485</v>
      </c>
      <c r="C222" t="s">
        <v>835</v>
      </c>
      <c r="D222" t="s">
        <v>836</v>
      </c>
      <c r="E222" t="str">
        <f t="shared" si="3"/>
        <v>Sulpak1110030485</v>
      </c>
    </row>
    <row r="223" spans="1:5" x14ac:dyDescent="0.3">
      <c r="A223" t="s">
        <v>446</v>
      </c>
      <c r="B223">
        <v>2211400056</v>
      </c>
      <c r="C223" t="s">
        <v>837</v>
      </c>
      <c r="D223" t="s">
        <v>838</v>
      </c>
      <c r="E223" t="str">
        <f t="shared" si="3"/>
        <v>Sulpak2211400056</v>
      </c>
    </row>
    <row r="224" spans="1:5" x14ac:dyDescent="0.3">
      <c r="A224" t="s">
        <v>446</v>
      </c>
      <c r="B224">
        <v>2100104676</v>
      </c>
      <c r="C224" t="s">
        <v>839</v>
      </c>
      <c r="D224" t="s">
        <v>840</v>
      </c>
      <c r="E224" t="str">
        <f t="shared" si="3"/>
        <v>Sulpak2100104676</v>
      </c>
    </row>
    <row r="225" spans="1:5" x14ac:dyDescent="0.3">
      <c r="A225" t="s">
        <v>446</v>
      </c>
      <c r="B225">
        <v>2100102186</v>
      </c>
      <c r="C225" t="s">
        <v>841</v>
      </c>
      <c r="D225" t="s">
        <v>842</v>
      </c>
      <c r="E225" t="str">
        <f t="shared" si="3"/>
        <v>Sulpak2100102186</v>
      </c>
    </row>
    <row r="226" spans="1:5" x14ac:dyDescent="0.3">
      <c r="A226" t="s">
        <v>446</v>
      </c>
      <c r="B226">
        <v>1110030468</v>
      </c>
      <c r="C226" t="s">
        <v>843</v>
      </c>
      <c r="D226" t="s">
        <v>844</v>
      </c>
      <c r="E226" t="str">
        <f t="shared" si="3"/>
        <v>Sulpak1110030468</v>
      </c>
    </row>
    <row r="227" spans="1:5" x14ac:dyDescent="0.3">
      <c r="A227" t="s">
        <v>446</v>
      </c>
      <c r="B227">
        <v>1830006807</v>
      </c>
      <c r="C227" t="s">
        <v>845</v>
      </c>
      <c r="D227" t="s">
        <v>846</v>
      </c>
      <c r="E227" t="str">
        <f t="shared" si="3"/>
        <v>Sulpak1830006807</v>
      </c>
    </row>
    <row r="228" spans="1:5" x14ac:dyDescent="0.3">
      <c r="A228" t="s">
        <v>446</v>
      </c>
      <c r="B228">
        <v>1830005832</v>
      </c>
      <c r="C228" t="s">
        <v>847</v>
      </c>
      <c r="D228" t="s">
        <v>848</v>
      </c>
      <c r="E228" t="str">
        <f t="shared" si="3"/>
        <v>Sulpak1830005832</v>
      </c>
    </row>
    <row r="229" spans="1:5" x14ac:dyDescent="0.3">
      <c r="A229" t="s">
        <v>446</v>
      </c>
      <c r="B229">
        <v>2211400233</v>
      </c>
      <c r="C229" t="s">
        <v>849</v>
      </c>
      <c r="D229" t="s">
        <v>850</v>
      </c>
      <c r="E229" t="str">
        <f t="shared" si="3"/>
        <v>Sulpak2211400233</v>
      </c>
    </row>
    <row r="230" spans="1:5" x14ac:dyDescent="0.3">
      <c r="A230" t="s">
        <v>446</v>
      </c>
      <c r="B230">
        <v>2211400372</v>
      </c>
      <c r="C230" t="s">
        <v>851</v>
      </c>
      <c r="D230" t="s">
        <v>852</v>
      </c>
      <c r="E230" t="str">
        <f t="shared" si="3"/>
        <v>Sulpak2211400372</v>
      </c>
    </row>
    <row r="231" spans="1:5" x14ac:dyDescent="0.3">
      <c r="A231" t="s">
        <v>446</v>
      </c>
      <c r="B231">
        <v>2211400223</v>
      </c>
      <c r="C231" t="s">
        <v>853</v>
      </c>
      <c r="D231" t="s">
        <v>854</v>
      </c>
      <c r="E231" t="str">
        <f t="shared" si="3"/>
        <v>Sulpak2211400223</v>
      </c>
    </row>
    <row r="232" spans="1:5" x14ac:dyDescent="0.3">
      <c r="A232" t="s">
        <v>446</v>
      </c>
      <c r="B232">
        <v>2211400268</v>
      </c>
      <c r="C232" t="s">
        <v>855</v>
      </c>
      <c r="D232" t="s">
        <v>856</v>
      </c>
      <c r="E232" t="str">
        <f t="shared" si="3"/>
        <v>Sulpak2211400268</v>
      </c>
    </row>
    <row r="233" spans="1:5" x14ac:dyDescent="0.3">
      <c r="A233" t="s">
        <v>446</v>
      </c>
      <c r="B233">
        <v>1510001948</v>
      </c>
      <c r="C233" t="s">
        <v>857</v>
      </c>
      <c r="D233" t="s">
        <v>858</v>
      </c>
      <c r="E233" t="str">
        <f t="shared" si="3"/>
        <v>Sulpak1510001948</v>
      </c>
    </row>
    <row r="234" spans="1:5" x14ac:dyDescent="0.3">
      <c r="A234" t="s">
        <v>446</v>
      </c>
      <c r="B234">
        <v>1500637540</v>
      </c>
      <c r="C234" t="s">
        <v>859</v>
      </c>
      <c r="D234" t="s">
        <v>860</v>
      </c>
      <c r="E234" t="str">
        <f t="shared" si="3"/>
        <v>Sulpak1500637540</v>
      </c>
    </row>
    <row r="235" spans="1:5" x14ac:dyDescent="0.3">
      <c r="A235" t="s">
        <v>446</v>
      </c>
      <c r="B235">
        <v>2211400373</v>
      </c>
      <c r="C235" t="s">
        <v>861</v>
      </c>
      <c r="D235" t="s">
        <v>862</v>
      </c>
      <c r="E235" t="str">
        <f t="shared" si="3"/>
        <v>Sulpak2211400373</v>
      </c>
    </row>
    <row r="236" spans="1:5" x14ac:dyDescent="0.3">
      <c r="A236" t="s">
        <v>446</v>
      </c>
      <c r="B236">
        <v>7211002988</v>
      </c>
      <c r="C236" t="s">
        <v>863</v>
      </c>
      <c r="D236" t="s">
        <v>864</v>
      </c>
      <c r="E236" t="str">
        <f t="shared" si="3"/>
        <v>Sulpak7211002988</v>
      </c>
    </row>
    <row r="237" spans="1:5" x14ac:dyDescent="0.3">
      <c r="A237" t="s">
        <v>446</v>
      </c>
      <c r="B237">
        <v>8000033741</v>
      </c>
      <c r="C237" t="s">
        <v>865</v>
      </c>
      <c r="D237" t="s">
        <v>866</v>
      </c>
      <c r="E237" t="str">
        <f t="shared" si="3"/>
        <v>Sulpak8000033741</v>
      </c>
    </row>
    <row r="238" spans="1:5" x14ac:dyDescent="0.3">
      <c r="A238" t="s">
        <v>446</v>
      </c>
      <c r="B238">
        <v>8000035748</v>
      </c>
      <c r="C238" t="s">
        <v>867</v>
      </c>
      <c r="D238" t="s">
        <v>868</v>
      </c>
      <c r="E238" t="str">
        <f t="shared" si="3"/>
        <v>Sulpak8000035748</v>
      </c>
    </row>
    <row r="239" spans="1:5" x14ac:dyDescent="0.3">
      <c r="A239" t="s">
        <v>446</v>
      </c>
      <c r="B239">
        <v>8000036181</v>
      </c>
      <c r="C239" t="s">
        <v>78</v>
      </c>
      <c r="D239" t="s">
        <v>326</v>
      </c>
      <c r="E239" t="str">
        <f t="shared" si="3"/>
        <v>Sulpak8000036181</v>
      </c>
    </row>
    <row r="240" spans="1:5" x14ac:dyDescent="0.3">
      <c r="A240" t="s">
        <v>446</v>
      </c>
      <c r="B240">
        <v>1830006984</v>
      </c>
      <c r="C240" t="s">
        <v>869</v>
      </c>
      <c r="D240" t="s">
        <v>870</v>
      </c>
      <c r="E240" t="str">
        <f t="shared" si="3"/>
        <v>Sulpak1830006984</v>
      </c>
    </row>
    <row r="241" spans="1:5" x14ac:dyDescent="0.3">
      <c r="A241" t="s">
        <v>446</v>
      </c>
      <c r="B241">
        <v>7211003308</v>
      </c>
      <c r="C241" t="s">
        <v>871</v>
      </c>
      <c r="D241" t="s">
        <v>872</v>
      </c>
      <c r="E241" t="str">
        <f t="shared" si="3"/>
        <v>Sulpak7211003308</v>
      </c>
    </row>
    <row r="242" spans="1:5" x14ac:dyDescent="0.3">
      <c r="A242" t="s">
        <v>446</v>
      </c>
      <c r="B242">
        <v>1830006920</v>
      </c>
      <c r="C242" t="s">
        <v>873</v>
      </c>
      <c r="D242" t="s">
        <v>874</v>
      </c>
      <c r="E242" t="str">
        <f t="shared" si="3"/>
        <v>Sulpak1830006920</v>
      </c>
    </row>
    <row r="243" spans="1:5" x14ac:dyDescent="0.3">
      <c r="A243" t="s">
        <v>446</v>
      </c>
      <c r="B243">
        <v>1830006374</v>
      </c>
      <c r="C243" t="s">
        <v>16</v>
      </c>
      <c r="D243" t="s">
        <v>292</v>
      </c>
      <c r="E243" t="str">
        <f t="shared" si="3"/>
        <v>Sulpak1830006374</v>
      </c>
    </row>
    <row r="244" spans="1:5" x14ac:dyDescent="0.3">
      <c r="A244" t="s">
        <v>446</v>
      </c>
      <c r="B244">
        <v>1830007082</v>
      </c>
      <c r="C244" t="s">
        <v>875</v>
      </c>
      <c r="D244" t="s">
        <v>876</v>
      </c>
      <c r="E244" t="str">
        <f t="shared" si="3"/>
        <v>Sulpak1830007082</v>
      </c>
    </row>
    <row r="245" spans="1:5" x14ac:dyDescent="0.3">
      <c r="A245" t="s">
        <v>446</v>
      </c>
      <c r="B245">
        <v>1830007146</v>
      </c>
      <c r="C245" t="s">
        <v>5</v>
      </c>
      <c r="D245" t="s">
        <v>877</v>
      </c>
      <c r="E245" t="str">
        <f t="shared" si="3"/>
        <v>Sulpak1830007146</v>
      </c>
    </row>
    <row r="246" spans="1:5" x14ac:dyDescent="0.3">
      <c r="A246" t="s">
        <v>446</v>
      </c>
      <c r="B246">
        <v>1830007075</v>
      </c>
      <c r="C246" t="s">
        <v>878</v>
      </c>
      <c r="D246" t="s">
        <v>879</v>
      </c>
      <c r="E246" t="str">
        <f t="shared" si="3"/>
        <v>Sulpak1830007075</v>
      </c>
    </row>
    <row r="247" spans="1:5" x14ac:dyDescent="0.3">
      <c r="A247" t="s">
        <v>446</v>
      </c>
      <c r="B247">
        <v>2820950102</v>
      </c>
      <c r="C247" t="s">
        <v>880</v>
      </c>
      <c r="D247" t="s">
        <v>881</v>
      </c>
      <c r="E247" t="str">
        <f t="shared" si="3"/>
        <v>Sulpak2820950102</v>
      </c>
    </row>
    <row r="248" spans="1:5" x14ac:dyDescent="0.3">
      <c r="A248" t="s">
        <v>446</v>
      </c>
      <c r="B248">
        <v>1830007991</v>
      </c>
      <c r="C248" t="s">
        <v>882</v>
      </c>
      <c r="D248" t="s">
        <v>883</v>
      </c>
      <c r="E248" t="str">
        <f t="shared" si="3"/>
        <v>Sulpak1830007991</v>
      </c>
    </row>
    <row r="249" spans="1:5" x14ac:dyDescent="0.3">
      <c r="A249" t="s">
        <v>446</v>
      </c>
      <c r="B249">
        <v>1830007070</v>
      </c>
      <c r="C249" t="s">
        <v>884</v>
      </c>
      <c r="D249" t="s">
        <v>885</v>
      </c>
      <c r="E249" t="str">
        <f t="shared" si="3"/>
        <v>Sulpak1830007070</v>
      </c>
    </row>
    <row r="250" spans="1:5" x14ac:dyDescent="0.3">
      <c r="A250" t="s">
        <v>446</v>
      </c>
      <c r="B250">
        <v>1830005488</v>
      </c>
      <c r="C250" t="s">
        <v>886</v>
      </c>
      <c r="D250" t="s">
        <v>887</v>
      </c>
      <c r="E250" t="str">
        <f t="shared" si="3"/>
        <v>Sulpak1830005488</v>
      </c>
    </row>
    <row r="251" spans="1:5" x14ac:dyDescent="0.3">
      <c r="A251" t="s">
        <v>446</v>
      </c>
      <c r="B251">
        <v>1830006532</v>
      </c>
      <c r="C251" t="s">
        <v>888</v>
      </c>
      <c r="D251" t="s">
        <v>889</v>
      </c>
      <c r="E251" t="str">
        <f t="shared" si="3"/>
        <v>Sulpak1830006532</v>
      </c>
    </row>
    <row r="252" spans="1:5" x14ac:dyDescent="0.3">
      <c r="A252" t="s">
        <v>446</v>
      </c>
      <c r="B252">
        <v>1830006540</v>
      </c>
      <c r="C252" t="s">
        <v>890</v>
      </c>
      <c r="D252" t="s">
        <v>891</v>
      </c>
      <c r="E252" t="str">
        <f t="shared" si="3"/>
        <v>Sulpak1830006540</v>
      </c>
    </row>
    <row r="253" spans="1:5" x14ac:dyDescent="0.3">
      <c r="A253" t="s">
        <v>446</v>
      </c>
      <c r="B253">
        <v>1830006533</v>
      </c>
      <c r="C253" t="s">
        <v>892</v>
      </c>
      <c r="D253" t="s">
        <v>893</v>
      </c>
      <c r="E253" t="str">
        <f t="shared" si="3"/>
        <v>Sulpak1830006533</v>
      </c>
    </row>
    <row r="254" spans="1:5" x14ac:dyDescent="0.3">
      <c r="A254" t="s">
        <v>446</v>
      </c>
      <c r="B254">
        <v>8010000465</v>
      </c>
      <c r="C254" t="s">
        <v>894</v>
      </c>
      <c r="D254" t="s">
        <v>895</v>
      </c>
      <c r="E254" t="str">
        <f t="shared" si="3"/>
        <v>Sulpak8010000465</v>
      </c>
    </row>
    <row r="255" spans="1:5" x14ac:dyDescent="0.3">
      <c r="A255" t="s">
        <v>446</v>
      </c>
      <c r="B255">
        <v>7211003108</v>
      </c>
      <c r="C255" t="s">
        <v>49</v>
      </c>
      <c r="D255" t="s">
        <v>312</v>
      </c>
      <c r="E255" t="str">
        <f t="shared" si="3"/>
        <v>Sulpak7211003108</v>
      </c>
    </row>
    <row r="256" spans="1:5" x14ac:dyDescent="0.3">
      <c r="A256" t="s">
        <v>446</v>
      </c>
      <c r="B256">
        <v>7211003315</v>
      </c>
      <c r="C256" t="s">
        <v>896</v>
      </c>
      <c r="D256" t="s">
        <v>897</v>
      </c>
      <c r="E256" t="str">
        <f t="shared" si="3"/>
        <v>Sulpak7211003315</v>
      </c>
    </row>
    <row r="257" spans="1:5" x14ac:dyDescent="0.3">
      <c r="A257" t="s">
        <v>446</v>
      </c>
      <c r="B257">
        <v>7211003141</v>
      </c>
      <c r="C257" t="s">
        <v>898</v>
      </c>
      <c r="D257" t="s">
        <v>899</v>
      </c>
      <c r="E257" t="str">
        <f t="shared" si="3"/>
        <v>Sulpak7211003141</v>
      </c>
    </row>
    <row r="258" spans="1:5" x14ac:dyDescent="0.3">
      <c r="A258" t="s">
        <v>446</v>
      </c>
      <c r="B258">
        <v>7211004683</v>
      </c>
      <c r="C258" t="s">
        <v>118</v>
      </c>
      <c r="D258" t="s">
        <v>327</v>
      </c>
      <c r="E258" t="str">
        <f t="shared" si="3"/>
        <v>Sulpak7211004683</v>
      </c>
    </row>
    <row r="259" spans="1:5" x14ac:dyDescent="0.3">
      <c r="A259" t="s">
        <v>446</v>
      </c>
      <c r="B259">
        <v>2820102010</v>
      </c>
      <c r="C259" t="s">
        <v>900</v>
      </c>
      <c r="D259" t="s">
        <v>901</v>
      </c>
      <c r="E259" t="str">
        <f t="shared" ref="E259:E322" si="4">A259&amp;B259</f>
        <v>Sulpak2820102010</v>
      </c>
    </row>
    <row r="260" spans="1:5" x14ac:dyDescent="0.3">
      <c r="A260" t="s">
        <v>446</v>
      </c>
      <c r="B260">
        <v>1830005958</v>
      </c>
      <c r="C260" t="s">
        <v>902</v>
      </c>
      <c r="D260" t="s">
        <v>903</v>
      </c>
      <c r="E260" t="str">
        <f t="shared" si="4"/>
        <v>Sulpak1830005958</v>
      </c>
    </row>
    <row r="261" spans="1:5" x14ac:dyDescent="0.3">
      <c r="A261" t="s">
        <v>446</v>
      </c>
      <c r="B261">
        <v>1830007155</v>
      </c>
      <c r="C261" t="s">
        <v>904</v>
      </c>
      <c r="D261" t="s">
        <v>905</v>
      </c>
      <c r="E261" t="str">
        <f t="shared" si="4"/>
        <v>Sulpak1830007155</v>
      </c>
    </row>
    <row r="262" spans="1:5" x14ac:dyDescent="0.3">
      <c r="A262" t="s">
        <v>446</v>
      </c>
      <c r="B262">
        <v>1830007156</v>
      </c>
      <c r="C262" t="s">
        <v>411</v>
      </c>
      <c r="D262" t="s">
        <v>906</v>
      </c>
      <c r="E262" t="str">
        <f t="shared" si="4"/>
        <v>Sulpak1830007156</v>
      </c>
    </row>
    <row r="263" spans="1:5" x14ac:dyDescent="0.3">
      <c r="A263" t="s">
        <v>446</v>
      </c>
      <c r="B263">
        <v>1830006878</v>
      </c>
      <c r="C263" t="s">
        <v>907</v>
      </c>
      <c r="D263" t="s">
        <v>908</v>
      </c>
      <c r="E263" t="str">
        <f t="shared" si="4"/>
        <v>Sulpak1830006878</v>
      </c>
    </row>
    <row r="264" spans="1:5" x14ac:dyDescent="0.3">
      <c r="A264" t="s">
        <v>446</v>
      </c>
      <c r="B264">
        <v>1830005847</v>
      </c>
      <c r="C264" t="s">
        <v>909</v>
      </c>
      <c r="D264" t="s">
        <v>910</v>
      </c>
      <c r="E264" t="str">
        <f t="shared" si="4"/>
        <v>Sulpak1830005847</v>
      </c>
    </row>
    <row r="265" spans="1:5" x14ac:dyDescent="0.3">
      <c r="A265" t="s">
        <v>446</v>
      </c>
      <c r="B265">
        <v>1830006723</v>
      </c>
      <c r="C265" t="s">
        <v>911</v>
      </c>
      <c r="D265" t="s">
        <v>912</v>
      </c>
      <c r="E265" t="str">
        <f t="shared" si="4"/>
        <v>Sulpak1830006723</v>
      </c>
    </row>
    <row r="266" spans="1:5" x14ac:dyDescent="0.3">
      <c r="A266" t="s">
        <v>446</v>
      </c>
      <c r="B266">
        <v>1830006238</v>
      </c>
      <c r="C266" t="s">
        <v>913</v>
      </c>
      <c r="D266" t="s">
        <v>914</v>
      </c>
      <c r="E266" t="str">
        <f t="shared" si="4"/>
        <v>Sulpak1830006238</v>
      </c>
    </row>
    <row r="267" spans="1:5" x14ac:dyDescent="0.3">
      <c r="A267" t="s">
        <v>446</v>
      </c>
      <c r="B267">
        <v>1830006519</v>
      </c>
      <c r="C267" t="s">
        <v>915</v>
      </c>
      <c r="D267" t="s">
        <v>916</v>
      </c>
      <c r="E267" t="str">
        <f t="shared" si="4"/>
        <v>Sulpak1830006519</v>
      </c>
    </row>
    <row r="268" spans="1:5" x14ac:dyDescent="0.3">
      <c r="A268" t="s">
        <v>446</v>
      </c>
      <c r="B268">
        <v>1830007053</v>
      </c>
      <c r="C268" t="s">
        <v>917</v>
      </c>
      <c r="D268" t="s">
        <v>918</v>
      </c>
      <c r="E268" t="str">
        <f t="shared" si="4"/>
        <v>Sulpak1830007053</v>
      </c>
    </row>
    <row r="269" spans="1:5" x14ac:dyDescent="0.3">
      <c r="A269" t="s">
        <v>446</v>
      </c>
      <c r="B269">
        <v>1830007105</v>
      </c>
      <c r="C269" t="s">
        <v>355</v>
      </c>
      <c r="D269" t="s">
        <v>919</v>
      </c>
      <c r="E269" t="str">
        <f t="shared" si="4"/>
        <v>Sulpak1830007105</v>
      </c>
    </row>
    <row r="270" spans="1:5" x14ac:dyDescent="0.3">
      <c r="A270" t="s">
        <v>446</v>
      </c>
      <c r="B270">
        <v>1830006013</v>
      </c>
      <c r="C270" t="s">
        <v>423</v>
      </c>
      <c r="D270" t="s">
        <v>920</v>
      </c>
      <c r="E270" t="str">
        <f t="shared" si="4"/>
        <v>Sulpak1830006013</v>
      </c>
    </row>
    <row r="271" spans="1:5" x14ac:dyDescent="0.3">
      <c r="A271" t="s">
        <v>446</v>
      </c>
      <c r="B271">
        <v>1830003934</v>
      </c>
      <c r="C271" t="s">
        <v>921</v>
      </c>
      <c r="D271" t="s">
        <v>922</v>
      </c>
      <c r="E271" t="str">
        <f t="shared" si="4"/>
        <v>Sulpak1830003934</v>
      </c>
    </row>
    <row r="272" spans="1:5" x14ac:dyDescent="0.3">
      <c r="A272" t="s">
        <v>446</v>
      </c>
      <c r="B272">
        <v>1830006274</v>
      </c>
      <c r="C272" t="s">
        <v>923</v>
      </c>
      <c r="D272" t="s">
        <v>924</v>
      </c>
      <c r="E272" t="str">
        <f t="shared" si="4"/>
        <v>Sulpak1830006274</v>
      </c>
    </row>
    <row r="273" spans="1:5" x14ac:dyDescent="0.3">
      <c r="A273" t="s">
        <v>446</v>
      </c>
      <c r="B273">
        <v>7211003234</v>
      </c>
      <c r="C273" t="s">
        <v>925</v>
      </c>
      <c r="D273" t="s">
        <v>926</v>
      </c>
      <c r="E273" t="str">
        <f t="shared" si="4"/>
        <v>Sulpak7211003234</v>
      </c>
    </row>
    <row r="274" spans="1:5" x14ac:dyDescent="0.3">
      <c r="A274" t="s">
        <v>446</v>
      </c>
      <c r="B274">
        <v>1830006518</v>
      </c>
      <c r="C274" t="s">
        <v>927</v>
      </c>
      <c r="D274" t="s">
        <v>928</v>
      </c>
      <c r="E274" t="str">
        <f t="shared" si="4"/>
        <v>Sulpak1830006518</v>
      </c>
    </row>
    <row r="275" spans="1:5" x14ac:dyDescent="0.3">
      <c r="A275" t="s">
        <v>446</v>
      </c>
      <c r="B275">
        <v>1110031221</v>
      </c>
      <c r="C275" t="s">
        <v>929</v>
      </c>
      <c r="D275" t="s">
        <v>930</v>
      </c>
      <c r="E275" t="str">
        <f t="shared" si="4"/>
        <v>Sulpak1110031221</v>
      </c>
    </row>
    <row r="276" spans="1:5" x14ac:dyDescent="0.3">
      <c r="A276" t="s">
        <v>446</v>
      </c>
      <c r="B276">
        <v>1830006254</v>
      </c>
      <c r="C276" t="s">
        <v>931</v>
      </c>
      <c r="D276" t="s">
        <v>932</v>
      </c>
      <c r="E276" t="str">
        <f t="shared" si="4"/>
        <v>Sulpak1830006254</v>
      </c>
    </row>
    <row r="277" spans="1:5" x14ac:dyDescent="0.3">
      <c r="A277" t="s">
        <v>446</v>
      </c>
      <c r="B277">
        <v>1830007346</v>
      </c>
      <c r="C277" t="s">
        <v>933</v>
      </c>
      <c r="D277" t="s">
        <v>934</v>
      </c>
      <c r="E277" t="str">
        <f t="shared" si="4"/>
        <v>Sulpak1830007346</v>
      </c>
    </row>
    <row r="278" spans="1:5" x14ac:dyDescent="0.3">
      <c r="A278" t="s">
        <v>446</v>
      </c>
      <c r="B278">
        <v>1830005027</v>
      </c>
      <c r="C278" t="s">
        <v>935</v>
      </c>
      <c r="D278" t="s">
        <v>936</v>
      </c>
      <c r="E278" t="str">
        <f t="shared" si="4"/>
        <v>Sulpak1830005027</v>
      </c>
    </row>
    <row r="279" spans="1:5" x14ac:dyDescent="0.3">
      <c r="A279" t="s">
        <v>446</v>
      </c>
      <c r="B279">
        <v>1830007359</v>
      </c>
      <c r="C279" t="s">
        <v>19</v>
      </c>
      <c r="D279" t="s">
        <v>937</v>
      </c>
      <c r="E279" t="str">
        <f t="shared" si="4"/>
        <v>Sulpak1830007359</v>
      </c>
    </row>
    <row r="280" spans="1:5" x14ac:dyDescent="0.3">
      <c r="A280" t="s">
        <v>446</v>
      </c>
      <c r="B280">
        <v>1830007353</v>
      </c>
      <c r="C280" t="s">
        <v>938</v>
      </c>
      <c r="D280" t="s">
        <v>939</v>
      </c>
      <c r="E280" t="str">
        <f t="shared" si="4"/>
        <v>Sulpak1830007353</v>
      </c>
    </row>
    <row r="281" spans="1:5" x14ac:dyDescent="0.3">
      <c r="A281" t="s">
        <v>446</v>
      </c>
      <c r="B281">
        <v>1830006943</v>
      </c>
      <c r="C281" t="s">
        <v>940</v>
      </c>
      <c r="D281" t="s">
        <v>941</v>
      </c>
      <c r="E281" t="str">
        <f t="shared" si="4"/>
        <v>Sulpak1830006943</v>
      </c>
    </row>
    <row r="282" spans="1:5" x14ac:dyDescent="0.3">
      <c r="A282" t="s">
        <v>446</v>
      </c>
      <c r="B282">
        <v>7211002933</v>
      </c>
      <c r="C282" t="s">
        <v>942</v>
      </c>
      <c r="D282" t="s">
        <v>943</v>
      </c>
      <c r="E282" t="str">
        <f t="shared" si="4"/>
        <v>Sulpak7211002933</v>
      </c>
    </row>
    <row r="283" spans="1:5" x14ac:dyDescent="0.3">
      <c r="A283" t="s">
        <v>446</v>
      </c>
      <c r="B283">
        <v>2820300830</v>
      </c>
      <c r="C283" t="s">
        <v>944</v>
      </c>
      <c r="D283" t="s">
        <v>945</v>
      </c>
      <c r="E283" t="str">
        <f t="shared" si="4"/>
        <v>Sulpak2820300830</v>
      </c>
    </row>
    <row r="284" spans="1:5" x14ac:dyDescent="0.3">
      <c r="A284" t="s">
        <v>446</v>
      </c>
      <c r="B284">
        <v>1830006629</v>
      </c>
      <c r="C284" t="s">
        <v>946</v>
      </c>
      <c r="D284" t="s">
        <v>947</v>
      </c>
      <c r="E284" t="str">
        <f t="shared" si="4"/>
        <v>Sulpak1830006629</v>
      </c>
    </row>
    <row r="285" spans="1:5" x14ac:dyDescent="0.3">
      <c r="A285" t="s">
        <v>446</v>
      </c>
      <c r="B285">
        <v>2100112991</v>
      </c>
      <c r="C285" t="s">
        <v>948</v>
      </c>
      <c r="D285" t="s">
        <v>949</v>
      </c>
      <c r="E285" t="str">
        <f t="shared" si="4"/>
        <v>Sulpak2100112991</v>
      </c>
    </row>
    <row r="286" spans="1:5" x14ac:dyDescent="0.3">
      <c r="A286" t="s">
        <v>446</v>
      </c>
      <c r="B286">
        <v>8010000022</v>
      </c>
      <c r="C286" t="s">
        <v>125</v>
      </c>
      <c r="D286" t="s">
        <v>331</v>
      </c>
      <c r="E286" t="str">
        <f t="shared" si="4"/>
        <v>Sulpak8010000022</v>
      </c>
    </row>
    <row r="287" spans="1:5" x14ac:dyDescent="0.3">
      <c r="A287" t="s">
        <v>446</v>
      </c>
      <c r="B287">
        <v>2211400248</v>
      </c>
      <c r="C287" t="s">
        <v>950</v>
      </c>
      <c r="D287" t="s">
        <v>951</v>
      </c>
      <c r="E287" t="str">
        <f t="shared" si="4"/>
        <v>Sulpak2211400248</v>
      </c>
    </row>
    <row r="288" spans="1:5" x14ac:dyDescent="0.3">
      <c r="A288" t="s">
        <v>446</v>
      </c>
      <c r="B288">
        <v>1830007976</v>
      </c>
      <c r="C288" t="s">
        <v>952</v>
      </c>
      <c r="D288" t="s">
        <v>953</v>
      </c>
      <c r="E288" t="str">
        <f t="shared" si="4"/>
        <v>Sulpak1830007976</v>
      </c>
    </row>
    <row r="289" spans="1:5" x14ac:dyDescent="0.3">
      <c r="A289" t="s">
        <v>446</v>
      </c>
      <c r="B289">
        <v>7211002851</v>
      </c>
      <c r="C289" t="s">
        <v>954</v>
      </c>
      <c r="D289" t="s">
        <v>955</v>
      </c>
      <c r="E289" t="str">
        <f t="shared" si="4"/>
        <v>Sulpak7211002851</v>
      </c>
    </row>
    <row r="290" spans="1:5" x14ac:dyDescent="0.3">
      <c r="A290" t="s">
        <v>446</v>
      </c>
      <c r="B290">
        <v>2211400605</v>
      </c>
      <c r="C290" t="s">
        <v>956</v>
      </c>
      <c r="D290" t="s">
        <v>957</v>
      </c>
      <c r="E290" t="str">
        <f t="shared" si="4"/>
        <v>Sulpak2211400605</v>
      </c>
    </row>
    <row r="291" spans="1:5" x14ac:dyDescent="0.3">
      <c r="A291" t="s">
        <v>446</v>
      </c>
      <c r="B291">
        <v>2211400601</v>
      </c>
      <c r="C291" t="s">
        <v>958</v>
      </c>
      <c r="D291" t="s">
        <v>959</v>
      </c>
      <c r="E291" t="str">
        <f t="shared" si="4"/>
        <v>Sulpak2211400601</v>
      </c>
    </row>
    <row r="292" spans="1:5" x14ac:dyDescent="0.3">
      <c r="A292" t="s">
        <v>446</v>
      </c>
      <c r="B292">
        <v>2211400436</v>
      </c>
      <c r="C292" t="s">
        <v>960</v>
      </c>
      <c r="D292" t="s">
        <v>961</v>
      </c>
      <c r="E292" t="str">
        <f t="shared" si="4"/>
        <v>Sulpak2211400436</v>
      </c>
    </row>
    <row r="293" spans="1:5" x14ac:dyDescent="0.3">
      <c r="A293" t="s">
        <v>446</v>
      </c>
      <c r="B293">
        <v>2211400296</v>
      </c>
      <c r="C293" t="s">
        <v>962</v>
      </c>
      <c r="D293" t="s">
        <v>963</v>
      </c>
      <c r="E293" t="str">
        <f t="shared" si="4"/>
        <v>Sulpak2211400296</v>
      </c>
    </row>
    <row r="294" spans="1:5" x14ac:dyDescent="0.3">
      <c r="A294" t="s">
        <v>446</v>
      </c>
      <c r="B294">
        <v>2211400297</v>
      </c>
      <c r="C294" t="s">
        <v>964</v>
      </c>
      <c r="D294" t="s">
        <v>965</v>
      </c>
      <c r="E294" t="str">
        <f t="shared" si="4"/>
        <v>Sulpak2211400297</v>
      </c>
    </row>
    <row r="295" spans="1:5" x14ac:dyDescent="0.3">
      <c r="A295" t="s">
        <v>446</v>
      </c>
      <c r="B295">
        <v>2211400533</v>
      </c>
      <c r="C295" t="s">
        <v>966</v>
      </c>
      <c r="D295" t="s">
        <v>967</v>
      </c>
      <c r="E295" t="str">
        <f t="shared" si="4"/>
        <v>Sulpak2211400533</v>
      </c>
    </row>
    <row r="296" spans="1:5" x14ac:dyDescent="0.3">
      <c r="A296" t="s">
        <v>446</v>
      </c>
      <c r="B296">
        <v>2211400535</v>
      </c>
      <c r="C296" t="s">
        <v>968</v>
      </c>
      <c r="D296" t="s">
        <v>969</v>
      </c>
      <c r="E296" t="str">
        <f t="shared" si="4"/>
        <v>Sulpak2211400535</v>
      </c>
    </row>
    <row r="297" spans="1:5" x14ac:dyDescent="0.3">
      <c r="A297" t="s">
        <v>446</v>
      </c>
      <c r="B297">
        <v>7211004672</v>
      </c>
      <c r="C297" t="s">
        <v>363</v>
      </c>
      <c r="D297" t="s">
        <v>970</v>
      </c>
      <c r="E297" t="str">
        <f t="shared" si="4"/>
        <v>Sulpak7211004672</v>
      </c>
    </row>
    <row r="298" spans="1:5" x14ac:dyDescent="0.3">
      <c r="A298" t="s">
        <v>446</v>
      </c>
      <c r="B298">
        <v>1830007992</v>
      </c>
      <c r="C298" t="s">
        <v>971</v>
      </c>
      <c r="D298" t="s">
        <v>972</v>
      </c>
      <c r="E298" t="str">
        <f t="shared" si="4"/>
        <v>Sulpak1830007992</v>
      </c>
    </row>
    <row r="299" spans="1:5" x14ac:dyDescent="0.3">
      <c r="A299" t="s">
        <v>446</v>
      </c>
      <c r="B299">
        <v>1830007001</v>
      </c>
      <c r="C299" t="s">
        <v>973</v>
      </c>
      <c r="D299" t="s">
        <v>974</v>
      </c>
      <c r="E299" t="str">
        <f t="shared" si="4"/>
        <v>Sulpak1830007001</v>
      </c>
    </row>
    <row r="300" spans="1:5" x14ac:dyDescent="0.3">
      <c r="A300" t="s">
        <v>446</v>
      </c>
      <c r="B300">
        <v>7211003356</v>
      </c>
      <c r="C300" t="s">
        <v>975</v>
      </c>
      <c r="D300" t="s">
        <v>976</v>
      </c>
      <c r="E300" t="str">
        <f t="shared" si="4"/>
        <v>Sulpak7211003356</v>
      </c>
    </row>
    <row r="301" spans="1:5" x14ac:dyDescent="0.3">
      <c r="A301" t="s">
        <v>446</v>
      </c>
      <c r="B301">
        <v>7211003827</v>
      </c>
      <c r="C301" t="s">
        <v>81</v>
      </c>
      <c r="D301" t="s">
        <v>329</v>
      </c>
      <c r="E301" t="str">
        <f t="shared" si="4"/>
        <v>Sulpak7211003827</v>
      </c>
    </row>
    <row r="302" spans="1:5" x14ac:dyDescent="0.3">
      <c r="A302" t="s">
        <v>446</v>
      </c>
      <c r="B302">
        <v>2100102435</v>
      </c>
      <c r="C302" t="s">
        <v>977</v>
      </c>
      <c r="D302" t="s">
        <v>978</v>
      </c>
      <c r="E302" t="str">
        <f t="shared" si="4"/>
        <v>Sulpak2100102435</v>
      </c>
    </row>
    <row r="303" spans="1:5" x14ac:dyDescent="0.3">
      <c r="A303" t="s">
        <v>446</v>
      </c>
      <c r="B303">
        <v>2100102547</v>
      </c>
      <c r="C303" t="s">
        <v>979</v>
      </c>
      <c r="D303" t="s">
        <v>980</v>
      </c>
      <c r="E303" t="str">
        <f t="shared" si="4"/>
        <v>Sulpak2100102547</v>
      </c>
    </row>
    <row r="304" spans="1:5" x14ac:dyDescent="0.3">
      <c r="A304" t="s">
        <v>446</v>
      </c>
      <c r="B304">
        <v>2100102546</v>
      </c>
      <c r="C304" t="s">
        <v>981</v>
      </c>
      <c r="D304" t="s">
        <v>982</v>
      </c>
      <c r="E304" t="str">
        <f t="shared" si="4"/>
        <v>Sulpak2100102546</v>
      </c>
    </row>
    <row r="305" spans="1:5" x14ac:dyDescent="0.3">
      <c r="A305" t="s">
        <v>446</v>
      </c>
      <c r="B305">
        <v>2100098972</v>
      </c>
      <c r="C305" t="s">
        <v>983</v>
      </c>
      <c r="D305" t="s">
        <v>984</v>
      </c>
      <c r="E305" t="str">
        <f t="shared" si="4"/>
        <v>Sulpak2100098972</v>
      </c>
    </row>
    <row r="306" spans="1:5" x14ac:dyDescent="0.3">
      <c r="A306" t="s">
        <v>446</v>
      </c>
      <c r="B306">
        <v>2100109261</v>
      </c>
      <c r="C306" t="s">
        <v>985</v>
      </c>
      <c r="D306" t="s">
        <v>986</v>
      </c>
      <c r="E306" t="str">
        <f t="shared" si="4"/>
        <v>Sulpak2100109261</v>
      </c>
    </row>
    <row r="307" spans="1:5" x14ac:dyDescent="0.3">
      <c r="A307" t="s">
        <v>446</v>
      </c>
      <c r="B307">
        <v>2100113153</v>
      </c>
      <c r="C307" t="s">
        <v>987</v>
      </c>
      <c r="D307" t="s">
        <v>988</v>
      </c>
      <c r="E307" t="str">
        <f t="shared" si="4"/>
        <v>Sulpak2100113153</v>
      </c>
    </row>
    <row r="308" spans="1:5" x14ac:dyDescent="0.3">
      <c r="A308" t="s">
        <v>446</v>
      </c>
      <c r="B308">
        <v>2100113151</v>
      </c>
      <c r="C308" t="s">
        <v>989</v>
      </c>
      <c r="D308" t="s">
        <v>990</v>
      </c>
      <c r="E308" t="str">
        <f t="shared" si="4"/>
        <v>Sulpak2100113151</v>
      </c>
    </row>
    <row r="309" spans="1:5" x14ac:dyDescent="0.3">
      <c r="A309" t="s">
        <v>446</v>
      </c>
      <c r="B309">
        <v>2100113152</v>
      </c>
      <c r="C309" t="s">
        <v>991</v>
      </c>
      <c r="D309" t="s">
        <v>992</v>
      </c>
      <c r="E309" t="str">
        <f t="shared" si="4"/>
        <v>Sulpak2100113152</v>
      </c>
    </row>
    <row r="310" spans="1:5" x14ac:dyDescent="0.3">
      <c r="A310" t="s">
        <v>446</v>
      </c>
      <c r="B310">
        <v>2100110980</v>
      </c>
      <c r="C310" t="s">
        <v>993</v>
      </c>
      <c r="D310" t="s">
        <v>994</v>
      </c>
      <c r="E310" t="str">
        <f t="shared" si="4"/>
        <v>Sulpak2100110980</v>
      </c>
    </row>
    <row r="311" spans="1:5" x14ac:dyDescent="0.3">
      <c r="A311" t="s">
        <v>446</v>
      </c>
      <c r="B311">
        <v>2100113184</v>
      </c>
      <c r="C311" t="s">
        <v>995</v>
      </c>
      <c r="D311" t="s">
        <v>996</v>
      </c>
      <c r="E311" t="str">
        <f t="shared" si="4"/>
        <v>Sulpak2100113184</v>
      </c>
    </row>
    <row r="312" spans="1:5" x14ac:dyDescent="0.3">
      <c r="A312" t="s">
        <v>446</v>
      </c>
      <c r="B312">
        <v>2100117533</v>
      </c>
      <c r="C312" t="s">
        <v>997</v>
      </c>
      <c r="D312" t="s">
        <v>998</v>
      </c>
      <c r="E312" t="str">
        <f t="shared" si="4"/>
        <v>Sulpak2100117533</v>
      </c>
    </row>
    <row r="313" spans="1:5" x14ac:dyDescent="0.3">
      <c r="A313" t="s">
        <v>446</v>
      </c>
      <c r="B313">
        <v>2100117988</v>
      </c>
      <c r="C313" t="s">
        <v>999</v>
      </c>
      <c r="D313" t="s">
        <v>1000</v>
      </c>
      <c r="E313" t="str">
        <f t="shared" si="4"/>
        <v>Sulpak2100117988</v>
      </c>
    </row>
    <row r="314" spans="1:5" x14ac:dyDescent="0.3">
      <c r="A314" t="s">
        <v>446</v>
      </c>
      <c r="B314">
        <v>7211003316</v>
      </c>
      <c r="C314" t="s">
        <v>60</v>
      </c>
      <c r="D314" t="s">
        <v>1001</v>
      </c>
      <c r="E314" t="str">
        <f t="shared" si="4"/>
        <v>Sulpak7211003316</v>
      </c>
    </row>
    <row r="315" spans="1:5" x14ac:dyDescent="0.3">
      <c r="A315" t="s">
        <v>446</v>
      </c>
      <c r="B315">
        <v>9100028332</v>
      </c>
      <c r="C315">
        <v>4183124</v>
      </c>
      <c r="D315" t="s">
        <v>1002</v>
      </c>
      <c r="E315" t="str">
        <f t="shared" si="4"/>
        <v>Sulpak9100028332</v>
      </c>
    </row>
    <row r="316" spans="1:5" x14ac:dyDescent="0.3">
      <c r="A316" t="s">
        <v>446</v>
      </c>
      <c r="B316">
        <v>2100089956</v>
      </c>
      <c r="C316" t="s">
        <v>1003</v>
      </c>
      <c r="D316" t="s">
        <v>1004</v>
      </c>
      <c r="E316" t="str">
        <f t="shared" si="4"/>
        <v>Sulpak2100089956</v>
      </c>
    </row>
    <row r="317" spans="1:5" x14ac:dyDescent="0.3">
      <c r="A317" t="s">
        <v>446</v>
      </c>
      <c r="B317">
        <v>1830005706</v>
      </c>
      <c r="C317" t="s">
        <v>1005</v>
      </c>
      <c r="D317" t="s">
        <v>1006</v>
      </c>
      <c r="E317" t="str">
        <f t="shared" si="4"/>
        <v>Sulpak1830005706</v>
      </c>
    </row>
    <row r="318" spans="1:5" x14ac:dyDescent="0.3">
      <c r="A318" t="s">
        <v>446</v>
      </c>
      <c r="B318">
        <v>1830007438</v>
      </c>
      <c r="C318" t="s">
        <v>1007</v>
      </c>
      <c r="D318" t="s">
        <v>1008</v>
      </c>
      <c r="E318" t="str">
        <f t="shared" si="4"/>
        <v>Sulpak1830007438</v>
      </c>
    </row>
    <row r="319" spans="1:5" x14ac:dyDescent="0.3">
      <c r="A319" t="s">
        <v>446</v>
      </c>
      <c r="B319">
        <v>1830006389</v>
      </c>
      <c r="C319" t="s">
        <v>1009</v>
      </c>
      <c r="D319" t="s">
        <v>1010</v>
      </c>
      <c r="E319" t="str">
        <f t="shared" si="4"/>
        <v>Sulpak1830006389</v>
      </c>
    </row>
    <row r="320" spans="1:5" x14ac:dyDescent="0.3">
      <c r="A320" t="s">
        <v>446</v>
      </c>
      <c r="B320">
        <v>1830005420</v>
      </c>
      <c r="C320" t="s">
        <v>1011</v>
      </c>
      <c r="D320" t="s">
        <v>1012</v>
      </c>
      <c r="E320" t="str">
        <f t="shared" si="4"/>
        <v>Sulpak1830005420</v>
      </c>
    </row>
    <row r="321" spans="1:5" x14ac:dyDescent="0.3">
      <c r="A321" t="s">
        <v>446</v>
      </c>
      <c r="B321">
        <v>1830006977</v>
      </c>
      <c r="C321" t="s">
        <v>1013</v>
      </c>
      <c r="D321" t="s">
        <v>1014</v>
      </c>
      <c r="E321" t="str">
        <f t="shared" si="4"/>
        <v>Sulpak1830006977</v>
      </c>
    </row>
    <row r="322" spans="1:5" x14ac:dyDescent="0.3">
      <c r="A322" t="s">
        <v>446</v>
      </c>
      <c r="B322">
        <v>1830006026</v>
      </c>
      <c r="C322" t="s">
        <v>356</v>
      </c>
      <c r="D322" t="s">
        <v>1015</v>
      </c>
      <c r="E322" t="str">
        <f t="shared" si="4"/>
        <v>Sulpak1830006026</v>
      </c>
    </row>
    <row r="323" spans="1:5" x14ac:dyDescent="0.3">
      <c r="A323" t="s">
        <v>446</v>
      </c>
      <c r="B323">
        <v>1830006702</v>
      </c>
      <c r="C323" t="s">
        <v>1016</v>
      </c>
      <c r="D323" t="s">
        <v>1017</v>
      </c>
      <c r="E323" t="str">
        <f t="shared" ref="E323:E386" si="5">A323&amp;B323</f>
        <v>Sulpak1830006702</v>
      </c>
    </row>
    <row r="324" spans="1:5" x14ac:dyDescent="0.3">
      <c r="A324" t="s">
        <v>446</v>
      </c>
      <c r="B324">
        <v>1830007973</v>
      </c>
      <c r="C324" t="s">
        <v>1018</v>
      </c>
      <c r="D324" t="s">
        <v>1019</v>
      </c>
      <c r="E324" t="str">
        <f t="shared" si="5"/>
        <v>Sulpak1830007973</v>
      </c>
    </row>
    <row r="325" spans="1:5" x14ac:dyDescent="0.3">
      <c r="A325" t="s">
        <v>446</v>
      </c>
      <c r="B325">
        <v>1830007972</v>
      </c>
      <c r="C325" t="s">
        <v>1020</v>
      </c>
      <c r="D325" t="s">
        <v>1021</v>
      </c>
      <c r="E325" t="str">
        <f t="shared" si="5"/>
        <v>Sulpak1830007972</v>
      </c>
    </row>
    <row r="326" spans="1:5" x14ac:dyDescent="0.3">
      <c r="A326" t="s">
        <v>446</v>
      </c>
      <c r="B326">
        <v>1830004998</v>
      </c>
      <c r="C326" t="s">
        <v>1022</v>
      </c>
      <c r="D326" t="s">
        <v>1023</v>
      </c>
      <c r="E326" t="str">
        <f t="shared" si="5"/>
        <v>Sulpak1830004998</v>
      </c>
    </row>
    <row r="327" spans="1:5" x14ac:dyDescent="0.3">
      <c r="A327" t="s">
        <v>446</v>
      </c>
      <c r="B327">
        <v>7211003245</v>
      </c>
      <c r="C327" t="s">
        <v>72</v>
      </c>
      <c r="D327" t="s">
        <v>321</v>
      </c>
      <c r="E327" t="str">
        <f t="shared" si="5"/>
        <v>Sulpak7211003245</v>
      </c>
    </row>
    <row r="328" spans="1:5" x14ac:dyDescent="0.3">
      <c r="A328" t="s">
        <v>446</v>
      </c>
      <c r="B328">
        <v>7211002608</v>
      </c>
      <c r="C328" t="s">
        <v>54</v>
      </c>
      <c r="D328" t="s">
        <v>1024</v>
      </c>
      <c r="E328" t="str">
        <f t="shared" si="5"/>
        <v>Sulpak7211002608</v>
      </c>
    </row>
    <row r="329" spans="1:5" x14ac:dyDescent="0.3">
      <c r="A329" t="s">
        <v>446</v>
      </c>
      <c r="B329">
        <v>1830006341</v>
      </c>
      <c r="C329" t="s">
        <v>1025</v>
      </c>
      <c r="D329" t="s">
        <v>1026</v>
      </c>
      <c r="E329" t="str">
        <f t="shared" si="5"/>
        <v>Sulpak1830006341</v>
      </c>
    </row>
    <row r="330" spans="1:5" x14ac:dyDescent="0.3">
      <c r="A330" t="s">
        <v>446</v>
      </c>
      <c r="B330">
        <v>1830006822</v>
      </c>
      <c r="C330" t="s">
        <v>1027</v>
      </c>
      <c r="D330" t="s">
        <v>1028</v>
      </c>
      <c r="E330" t="str">
        <f t="shared" si="5"/>
        <v>Sulpak1830006822</v>
      </c>
    </row>
    <row r="331" spans="1:5" x14ac:dyDescent="0.3">
      <c r="A331" t="s">
        <v>446</v>
      </c>
      <c r="B331">
        <v>1830007584</v>
      </c>
      <c r="C331" t="s">
        <v>1029</v>
      </c>
      <c r="D331" t="s">
        <v>1030</v>
      </c>
      <c r="E331" t="str">
        <f t="shared" si="5"/>
        <v>Sulpak1830007584</v>
      </c>
    </row>
    <row r="332" spans="1:5" x14ac:dyDescent="0.3">
      <c r="A332" t="s">
        <v>446</v>
      </c>
      <c r="B332">
        <v>1830007578</v>
      </c>
      <c r="C332" t="s">
        <v>1031</v>
      </c>
      <c r="D332" t="s">
        <v>1032</v>
      </c>
      <c r="E332" t="str">
        <f t="shared" si="5"/>
        <v>Sulpak1830007578</v>
      </c>
    </row>
    <row r="333" spans="1:5" x14ac:dyDescent="0.3">
      <c r="A333" t="s">
        <v>446</v>
      </c>
      <c r="B333">
        <v>2100112831</v>
      </c>
      <c r="C333" t="s">
        <v>1033</v>
      </c>
      <c r="D333" t="s">
        <v>1034</v>
      </c>
      <c r="E333" t="str">
        <f t="shared" si="5"/>
        <v>Sulpak2100112831</v>
      </c>
    </row>
    <row r="334" spans="1:5" x14ac:dyDescent="0.3">
      <c r="A334" t="s">
        <v>446</v>
      </c>
      <c r="B334">
        <v>2100112832</v>
      </c>
      <c r="C334" t="s">
        <v>1035</v>
      </c>
      <c r="D334" t="s">
        <v>1036</v>
      </c>
      <c r="E334" t="str">
        <f t="shared" si="5"/>
        <v>Sulpak2100112832</v>
      </c>
    </row>
    <row r="335" spans="1:5" x14ac:dyDescent="0.3">
      <c r="A335" t="s">
        <v>446</v>
      </c>
      <c r="B335">
        <v>2100112833</v>
      </c>
      <c r="C335" t="s">
        <v>1037</v>
      </c>
      <c r="D335" t="s">
        <v>1038</v>
      </c>
      <c r="E335" t="str">
        <f t="shared" si="5"/>
        <v>Sulpak2100112833</v>
      </c>
    </row>
    <row r="336" spans="1:5" x14ac:dyDescent="0.3">
      <c r="A336" t="s">
        <v>446</v>
      </c>
      <c r="B336">
        <v>2100112829</v>
      </c>
      <c r="C336" t="s">
        <v>1039</v>
      </c>
      <c r="D336" t="s">
        <v>1040</v>
      </c>
      <c r="E336" t="str">
        <f t="shared" si="5"/>
        <v>Sulpak2100112829</v>
      </c>
    </row>
    <row r="337" spans="1:5" x14ac:dyDescent="0.3">
      <c r="A337" t="s">
        <v>446</v>
      </c>
      <c r="B337">
        <v>2100112830</v>
      </c>
      <c r="C337" t="s">
        <v>1041</v>
      </c>
      <c r="D337" t="s">
        <v>1042</v>
      </c>
      <c r="E337" t="str">
        <f t="shared" si="5"/>
        <v>Sulpak2100112830</v>
      </c>
    </row>
    <row r="338" spans="1:5" x14ac:dyDescent="0.3">
      <c r="A338" t="s">
        <v>446</v>
      </c>
      <c r="B338">
        <v>9100036465</v>
      </c>
      <c r="C338" t="s">
        <v>1043</v>
      </c>
      <c r="D338" t="s">
        <v>1044</v>
      </c>
      <c r="E338" t="str">
        <f t="shared" si="5"/>
        <v>Sulpak9100036465</v>
      </c>
    </row>
    <row r="339" spans="1:5" x14ac:dyDescent="0.3">
      <c r="A339" t="s">
        <v>446</v>
      </c>
      <c r="B339">
        <v>9100036466</v>
      </c>
      <c r="C339" t="s">
        <v>1045</v>
      </c>
      <c r="D339" t="s">
        <v>1046</v>
      </c>
      <c r="E339" t="str">
        <f t="shared" si="5"/>
        <v>Sulpak9100036466</v>
      </c>
    </row>
    <row r="340" spans="1:5" x14ac:dyDescent="0.3">
      <c r="A340" t="s">
        <v>446</v>
      </c>
      <c r="B340">
        <v>9100036467</v>
      </c>
      <c r="C340" t="s">
        <v>1047</v>
      </c>
      <c r="D340" t="s">
        <v>1048</v>
      </c>
      <c r="E340" t="str">
        <f t="shared" si="5"/>
        <v>Sulpak9100036467</v>
      </c>
    </row>
    <row r="341" spans="1:5" x14ac:dyDescent="0.3">
      <c r="A341" t="s">
        <v>446</v>
      </c>
      <c r="B341">
        <v>9100036468</v>
      </c>
      <c r="C341" t="s">
        <v>1049</v>
      </c>
      <c r="D341" t="s">
        <v>1050</v>
      </c>
      <c r="E341" t="str">
        <f t="shared" si="5"/>
        <v>Sulpak9100036468</v>
      </c>
    </row>
    <row r="342" spans="1:5" x14ac:dyDescent="0.3">
      <c r="A342" t="s">
        <v>446</v>
      </c>
      <c r="B342">
        <v>9100036469</v>
      </c>
      <c r="C342" t="s">
        <v>1051</v>
      </c>
      <c r="D342" t="s">
        <v>1052</v>
      </c>
      <c r="E342" t="str">
        <f t="shared" si="5"/>
        <v>Sulpak9100036469</v>
      </c>
    </row>
    <row r="343" spans="1:5" x14ac:dyDescent="0.3">
      <c r="A343" t="s">
        <v>446</v>
      </c>
      <c r="B343">
        <v>9100036470</v>
      </c>
      <c r="C343" t="s">
        <v>1053</v>
      </c>
      <c r="D343" t="s">
        <v>1054</v>
      </c>
      <c r="E343" t="str">
        <f t="shared" si="5"/>
        <v>Sulpak9100036470</v>
      </c>
    </row>
    <row r="344" spans="1:5" x14ac:dyDescent="0.3">
      <c r="A344" t="s">
        <v>446</v>
      </c>
      <c r="B344">
        <v>2100102658</v>
      </c>
      <c r="C344" t="s">
        <v>1055</v>
      </c>
      <c r="D344" t="s">
        <v>1056</v>
      </c>
      <c r="E344" t="str">
        <f t="shared" si="5"/>
        <v>Sulpak2100102658</v>
      </c>
    </row>
    <row r="345" spans="1:5" x14ac:dyDescent="0.3">
      <c r="A345" t="s">
        <v>446</v>
      </c>
      <c r="B345">
        <v>2100102655</v>
      </c>
      <c r="C345" t="s">
        <v>1057</v>
      </c>
      <c r="D345" t="s">
        <v>1058</v>
      </c>
      <c r="E345" t="str">
        <f t="shared" si="5"/>
        <v>Sulpak2100102655</v>
      </c>
    </row>
    <row r="346" spans="1:5" x14ac:dyDescent="0.3">
      <c r="A346" t="s">
        <v>446</v>
      </c>
      <c r="B346">
        <v>1830007520</v>
      </c>
      <c r="C346" t="s">
        <v>7</v>
      </c>
      <c r="D346" t="s">
        <v>285</v>
      </c>
      <c r="E346" t="str">
        <f t="shared" si="5"/>
        <v>Sulpak1830007520</v>
      </c>
    </row>
    <row r="347" spans="1:5" x14ac:dyDescent="0.3">
      <c r="A347" t="s">
        <v>446</v>
      </c>
      <c r="B347">
        <v>2211400433</v>
      </c>
      <c r="C347" t="s">
        <v>1059</v>
      </c>
      <c r="D347" t="s">
        <v>1060</v>
      </c>
      <c r="E347" t="str">
        <f t="shared" si="5"/>
        <v>Sulpak2211400433</v>
      </c>
    </row>
    <row r="348" spans="1:5" x14ac:dyDescent="0.3">
      <c r="A348" t="s">
        <v>446</v>
      </c>
      <c r="B348">
        <v>7211004729</v>
      </c>
      <c r="C348" t="s">
        <v>430</v>
      </c>
      <c r="D348" t="s">
        <v>1061</v>
      </c>
      <c r="E348" t="str">
        <f t="shared" si="5"/>
        <v>Sulpak7211004729</v>
      </c>
    </row>
    <row r="349" spans="1:5" x14ac:dyDescent="0.3">
      <c r="A349" t="s">
        <v>446</v>
      </c>
      <c r="B349">
        <v>1830007659</v>
      </c>
      <c r="C349" t="s">
        <v>1062</v>
      </c>
      <c r="D349" t="s">
        <v>1063</v>
      </c>
      <c r="E349" t="str">
        <f t="shared" si="5"/>
        <v>Sulpak1830007659</v>
      </c>
    </row>
    <row r="350" spans="1:5" x14ac:dyDescent="0.3">
      <c r="A350" t="s">
        <v>446</v>
      </c>
      <c r="B350">
        <v>2211400615</v>
      </c>
      <c r="C350" t="s">
        <v>1064</v>
      </c>
      <c r="D350" t="s">
        <v>1065</v>
      </c>
      <c r="E350" t="str">
        <f t="shared" si="5"/>
        <v>Sulpak2211400615</v>
      </c>
    </row>
    <row r="351" spans="1:5" x14ac:dyDescent="0.3">
      <c r="A351" t="s">
        <v>446</v>
      </c>
      <c r="B351">
        <v>7211002344</v>
      </c>
      <c r="C351" t="s">
        <v>1066</v>
      </c>
      <c r="D351" t="s">
        <v>1067</v>
      </c>
      <c r="E351" t="str">
        <f t="shared" si="5"/>
        <v>Sulpak7211002344</v>
      </c>
    </row>
    <row r="352" spans="1:5" x14ac:dyDescent="0.3">
      <c r="A352" t="s">
        <v>446</v>
      </c>
      <c r="B352">
        <v>7211003460</v>
      </c>
      <c r="C352" t="s">
        <v>55</v>
      </c>
      <c r="D352" t="s">
        <v>1068</v>
      </c>
      <c r="E352" t="str">
        <f t="shared" si="5"/>
        <v>Sulpak7211003460</v>
      </c>
    </row>
    <row r="353" spans="1:5" x14ac:dyDescent="0.3">
      <c r="A353" t="s">
        <v>446</v>
      </c>
      <c r="B353">
        <v>1830007040</v>
      </c>
      <c r="C353" t="s">
        <v>1069</v>
      </c>
      <c r="D353" t="s">
        <v>1070</v>
      </c>
      <c r="E353" t="str">
        <f t="shared" si="5"/>
        <v>Sulpak1830007040</v>
      </c>
    </row>
    <row r="354" spans="1:5" x14ac:dyDescent="0.3">
      <c r="A354" t="s">
        <v>446</v>
      </c>
      <c r="B354">
        <v>1830007628</v>
      </c>
      <c r="C354" t="s">
        <v>1071</v>
      </c>
      <c r="D354" t="s">
        <v>1072</v>
      </c>
      <c r="E354" t="str">
        <f t="shared" si="5"/>
        <v>Sulpak1830007628</v>
      </c>
    </row>
    <row r="355" spans="1:5" x14ac:dyDescent="0.3">
      <c r="A355" t="s">
        <v>446</v>
      </c>
      <c r="B355">
        <v>1830007629</v>
      </c>
      <c r="C355" t="s">
        <v>1073</v>
      </c>
      <c r="D355" t="s">
        <v>1074</v>
      </c>
      <c r="E355" t="str">
        <f t="shared" si="5"/>
        <v>Sulpak1830007629</v>
      </c>
    </row>
    <row r="356" spans="1:5" x14ac:dyDescent="0.3">
      <c r="A356" t="s">
        <v>446</v>
      </c>
      <c r="B356">
        <v>1830007111</v>
      </c>
      <c r="C356" t="s">
        <v>1075</v>
      </c>
      <c r="D356" t="s">
        <v>1076</v>
      </c>
      <c r="E356" t="str">
        <f t="shared" si="5"/>
        <v>Sulpak1830007111</v>
      </c>
    </row>
    <row r="357" spans="1:5" x14ac:dyDescent="0.3">
      <c r="A357" t="s">
        <v>446</v>
      </c>
      <c r="B357">
        <v>2211400646</v>
      </c>
      <c r="C357" t="s">
        <v>1077</v>
      </c>
      <c r="D357" t="s">
        <v>1078</v>
      </c>
      <c r="E357" t="str">
        <f t="shared" si="5"/>
        <v>Sulpak2211400646</v>
      </c>
    </row>
    <row r="358" spans="1:5" x14ac:dyDescent="0.3">
      <c r="A358" t="s">
        <v>446</v>
      </c>
      <c r="B358">
        <v>7211002269</v>
      </c>
      <c r="C358" t="s">
        <v>1079</v>
      </c>
      <c r="D358" t="s">
        <v>1080</v>
      </c>
      <c r="E358" t="str">
        <f t="shared" si="5"/>
        <v>Sulpak7211002269</v>
      </c>
    </row>
    <row r="359" spans="1:5" x14ac:dyDescent="0.3">
      <c r="A359" t="s">
        <v>446</v>
      </c>
      <c r="B359">
        <v>7211002289</v>
      </c>
      <c r="C359" t="s">
        <v>1081</v>
      </c>
      <c r="D359" t="s">
        <v>1082</v>
      </c>
      <c r="E359" t="str">
        <f t="shared" si="5"/>
        <v>Sulpak7211002289</v>
      </c>
    </row>
    <row r="360" spans="1:5" x14ac:dyDescent="0.3">
      <c r="A360" t="s">
        <v>446</v>
      </c>
      <c r="B360">
        <v>1830007145</v>
      </c>
      <c r="C360" t="s">
        <v>6</v>
      </c>
      <c r="D360" t="s">
        <v>1083</v>
      </c>
      <c r="E360" t="str">
        <f t="shared" si="5"/>
        <v>Sulpak1830007145</v>
      </c>
    </row>
    <row r="361" spans="1:5" x14ac:dyDescent="0.3">
      <c r="A361" t="s">
        <v>446</v>
      </c>
      <c r="B361">
        <v>1830006582</v>
      </c>
      <c r="C361" t="s">
        <v>1084</v>
      </c>
      <c r="D361" t="s">
        <v>1085</v>
      </c>
      <c r="E361" t="str">
        <f t="shared" si="5"/>
        <v>Sulpak1830006582</v>
      </c>
    </row>
    <row r="362" spans="1:5" x14ac:dyDescent="0.3">
      <c r="A362" t="s">
        <v>446</v>
      </c>
      <c r="B362">
        <v>1110031344</v>
      </c>
      <c r="C362" t="s">
        <v>1086</v>
      </c>
      <c r="D362" t="s">
        <v>1087</v>
      </c>
      <c r="E362" t="str">
        <f t="shared" si="5"/>
        <v>Sulpak1110031344</v>
      </c>
    </row>
    <row r="363" spans="1:5" x14ac:dyDescent="0.3">
      <c r="A363" t="s">
        <v>446</v>
      </c>
      <c r="B363">
        <v>1830007031</v>
      </c>
      <c r="C363" t="s">
        <v>1088</v>
      </c>
      <c r="D363" t="s">
        <v>1089</v>
      </c>
      <c r="E363" t="str">
        <f t="shared" si="5"/>
        <v>Sulpak1830007031</v>
      </c>
    </row>
    <row r="364" spans="1:5" x14ac:dyDescent="0.3">
      <c r="A364" t="s">
        <v>446</v>
      </c>
      <c r="B364">
        <v>1830007750</v>
      </c>
      <c r="C364" t="s">
        <v>1090</v>
      </c>
      <c r="D364" t="s">
        <v>1091</v>
      </c>
      <c r="E364" t="str">
        <f t="shared" si="5"/>
        <v>Sulpak1830007750</v>
      </c>
    </row>
    <row r="365" spans="1:5" x14ac:dyDescent="0.3">
      <c r="A365" t="s">
        <v>446</v>
      </c>
      <c r="B365">
        <v>1830007269</v>
      </c>
      <c r="C365" t="s">
        <v>1092</v>
      </c>
      <c r="D365" t="s">
        <v>1093</v>
      </c>
      <c r="E365" t="str">
        <f t="shared" si="5"/>
        <v>Sulpak1830007269</v>
      </c>
    </row>
    <row r="366" spans="1:5" x14ac:dyDescent="0.3">
      <c r="A366" t="s">
        <v>446</v>
      </c>
      <c r="B366">
        <v>1110031158</v>
      </c>
      <c r="C366" t="s">
        <v>1094</v>
      </c>
      <c r="D366" t="s">
        <v>1095</v>
      </c>
      <c r="E366" t="str">
        <f t="shared" si="5"/>
        <v>Sulpak1110031158</v>
      </c>
    </row>
    <row r="367" spans="1:5" x14ac:dyDescent="0.3">
      <c r="A367" t="s">
        <v>446</v>
      </c>
      <c r="B367">
        <v>1830007515</v>
      </c>
      <c r="C367" t="s">
        <v>95</v>
      </c>
      <c r="D367" t="s">
        <v>341</v>
      </c>
      <c r="E367" t="str">
        <f t="shared" si="5"/>
        <v>Sulpak1830007515</v>
      </c>
    </row>
    <row r="368" spans="1:5" x14ac:dyDescent="0.3">
      <c r="A368" t="s">
        <v>446</v>
      </c>
      <c r="B368">
        <v>1830007299</v>
      </c>
      <c r="C368" t="s">
        <v>96</v>
      </c>
      <c r="D368" t="s">
        <v>342</v>
      </c>
      <c r="E368" t="str">
        <f t="shared" si="5"/>
        <v>Sulpak1830007299</v>
      </c>
    </row>
    <row r="369" spans="1:5" x14ac:dyDescent="0.3">
      <c r="A369" t="s">
        <v>446</v>
      </c>
      <c r="B369">
        <v>1830007626</v>
      </c>
      <c r="C369" t="s">
        <v>94</v>
      </c>
      <c r="D369" t="s">
        <v>340</v>
      </c>
      <c r="E369" t="str">
        <f t="shared" si="5"/>
        <v>Sulpak1830007626</v>
      </c>
    </row>
    <row r="370" spans="1:5" x14ac:dyDescent="0.3">
      <c r="A370" t="s">
        <v>446</v>
      </c>
      <c r="B370">
        <v>1830007160</v>
      </c>
      <c r="C370" t="s">
        <v>1096</v>
      </c>
      <c r="D370" t="s">
        <v>1097</v>
      </c>
      <c r="E370" t="str">
        <f t="shared" si="5"/>
        <v>Sulpak1830007160</v>
      </c>
    </row>
    <row r="371" spans="1:5" x14ac:dyDescent="0.3">
      <c r="A371" t="s">
        <v>446</v>
      </c>
      <c r="B371">
        <v>2820802112</v>
      </c>
      <c r="C371" t="s">
        <v>51</v>
      </c>
      <c r="D371" t="s">
        <v>313</v>
      </c>
      <c r="E371" t="str">
        <f t="shared" si="5"/>
        <v>Sulpak2820802112</v>
      </c>
    </row>
    <row r="372" spans="1:5" x14ac:dyDescent="0.3">
      <c r="A372" t="s">
        <v>446</v>
      </c>
      <c r="B372">
        <v>7211004055</v>
      </c>
      <c r="C372" t="s">
        <v>1098</v>
      </c>
      <c r="D372" t="s">
        <v>1099</v>
      </c>
      <c r="E372" t="str">
        <f t="shared" si="5"/>
        <v>Sulpak7211004055</v>
      </c>
    </row>
    <row r="373" spans="1:5" x14ac:dyDescent="0.3">
      <c r="A373" t="s">
        <v>446</v>
      </c>
      <c r="B373">
        <v>7211003968</v>
      </c>
      <c r="C373" t="s">
        <v>47</v>
      </c>
      <c r="D373" t="s">
        <v>311</v>
      </c>
      <c r="E373" t="str">
        <f t="shared" si="5"/>
        <v>Sulpak7211003968</v>
      </c>
    </row>
    <row r="374" spans="1:5" x14ac:dyDescent="0.3">
      <c r="A374" t="s">
        <v>446</v>
      </c>
      <c r="B374">
        <v>7211003861</v>
      </c>
      <c r="C374" t="s">
        <v>1100</v>
      </c>
      <c r="D374" t="s">
        <v>1101</v>
      </c>
      <c r="E374" t="str">
        <f t="shared" si="5"/>
        <v>Sulpak7211003861</v>
      </c>
    </row>
    <row r="375" spans="1:5" x14ac:dyDescent="0.3">
      <c r="A375" t="s">
        <v>446</v>
      </c>
      <c r="B375">
        <v>7211003267</v>
      </c>
      <c r="C375" t="s">
        <v>1102</v>
      </c>
      <c r="D375" t="s">
        <v>1103</v>
      </c>
      <c r="E375" t="str">
        <f t="shared" si="5"/>
        <v>Sulpak7211003267</v>
      </c>
    </row>
    <row r="376" spans="1:5" x14ac:dyDescent="0.3">
      <c r="A376" t="s">
        <v>446</v>
      </c>
      <c r="B376">
        <v>8010000739</v>
      </c>
      <c r="C376" t="s">
        <v>1104</v>
      </c>
      <c r="D376" t="s">
        <v>1105</v>
      </c>
      <c r="E376" t="str">
        <f t="shared" si="5"/>
        <v>Sulpak8010000739</v>
      </c>
    </row>
    <row r="377" spans="1:5" x14ac:dyDescent="0.3">
      <c r="A377" t="s">
        <v>446</v>
      </c>
      <c r="B377">
        <v>7211003740</v>
      </c>
      <c r="C377" t="s">
        <v>42</v>
      </c>
      <c r="D377" t="s">
        <v>308</v>
      </c>
      <c r="E377" t="str">
        <f t="shared" si="5"/>
        <v>Sulpak7211003740</v>
      </c>
    </row>
    <row r="378" spans="1:5" x14ac:dyDescent="0.3">
      <c r="A378" t="s">
        <v>446</v>
      </c>
      <c r="B378">
        <v>1500636334</v>
      </c>
      <c r="C378" t="s">
        <v>1106</v>
      </c>
      <c r="D378" t="s">
        <v>1107</v>
      </c>
      <c r="E378" t="str">
        <f t="shared" si="5"/>
        <v>Sulpak1500636334</v>
      </c>
    </row>
    <row r="379" spans="1:5" x14ac:dyDescent="0.3">
      <c r="A379" t="s">
        <v>446</v>
      </c>
      <c r="B379">
        <v>1510001501</v>
      </c>
      <c r="C379" t="s">
        <v>1108</v>
      </c>
      <c r="D379" t="s">
        <v>1109</v>
      </c>
      <c r="E379" t="str">
        <f t="shared" si="5"/>
        <v>Sulpak1510001501</v>
      </c>
    </row>
    <row r="380" spans="1:5" x14ac:dyDescent="0.3">
      <c r="A380" t="s">
        <v>446</v>
      </c>
      <c r="B380">
        <v>8010000405</v>
      </c>
      <c r="C380" t="s">
        <v>1110</v>
      </c>
      <c r="D380" t="s">
        <v>1111</v>
      </c>
      <c r="E380" t="str">
        <f t="shared" si="5"/>
        <v>Sulpak8010000405</v>
      </c>
    </row>
    <row r="381" spans="1:5" x14ac:dyDescent="0.3">
      <c r="A381" t="s">
        <v>446</v>
      </c>
      <c r="B381">
        <v>8000035958</v>
      </c>
      <c r="C381" t="s">
        <v>1112</v>
      </c>
      <c r="D381" t="s">
        <v>1113</v>
      </c>
      <c r="E381" t="str">
        <f t="shared" si="5"/>
        <v>Sulpak8000035958</v>
      </c>
    </row>
    <row r="382" spans="1:5" x14ac:dyDescent="0.3">
      <c r="A382" t="s">
        <v>446</v>
      </c>
      <c r="B382">
        <v>7211004050</v>
      </c>
      <c r="C382" t="s">
        <v>1114</v>
      </c>
      <c r="D382" t="s">
        <v>1115</v>
      </c>
      <c r="E382" t="str">
        <f t="shared" si="5"/>
        <v>Sulpak7211004050</v>
      </c>
    </row>
    <row r="383" spans="1:5" x14ac:dyDescent="0.3">
      <c r="A383" t="s">
        <v>446</v>
      </c>
      <c r="B383">
        <v>7211004388</v>
      </c>
      <c r="C383" t="s">
        <v>1116</v>
      </c>
      <c r="D383" t="s">
        <v>1117</v>
      </c>
      <c r="E383" t="str">
        <f t="shared" si="5"/>
        <v>Sulpak7211004388</v>
      </c>
    </row>
    <row r="384" spans="1:5" x14ac:dyDescent="0.3">
      <c r="A384" t="s">
        <v>446</v>
      </c>
      <c r="B384">
        <v>2211400796</v>
      </c>
      <c r="C384" t="s">
        <v>1118</v>
      </c>
      <c r="D384" t="s">
        <v>1119</v>
      </c>
      <c r="E384" t="str">
        <f t="shared" si="5"/>
        <v>Sulpak2211400796</v>
      </c>
    </row>
    <row r="385" spans="1:5" x14ac:dyDescent="0.3">
      <c r="A385" t="s">
        <v>446</v>
      </c>
      <c r="B385">
        <v>2211400812</v>
      </c>
      <c r="C385" t="s">
        <v>30</v>
      </c>
      <c r="D385" t="s">
        <v>299</v>
      </c>
      <c r="E385" t="str">
        <f t="shared" si="5"/>
        <v>Sulpak2211400812</v>
      </c>
    </row>
    <row r="386" spans="1:5" x14ac:dyDescent="0.3">
      <c r="A386" t="s">
        <v>446</v>
      </c>
      <c r="B386">
        <v>2211400844</v>
      </c>
      <c r="C386" t="s">
        <v>27</v>
      </c>
      <c r="D386" t="s">
        <v>297</v>
      </c>
      <c r="E386" t="str">
        <f t="shared" si="5"/>
        <v>Sulpak2211400844</v>
      </c>
    </row>
    <row r="387" spans="1:5" x14ac:dyDescent="0.3">
      <c r="A387" t="s">
        <v>446</v>
      </c>
      <c r="B387">
        <v>2211400810</v>
      </c>
      <c r="C387" t="s">
        <v>25</v>
      </c>
      <c r="D387" t="s">
        <v>296</v>
      </c>
      <c r="E387" t="str">
        <f t="shared" ref="E387:E450" si="6">A387&amp;B387</f>
        <v>Sulpak2211400810</v>
      </c>
    </row>
    <row r="388" spans="1:5" x14ac:dyDescent="0.3">
      <c r="A388" t="s">
        <v>446</v>
      </c>
      <c r="B388">
        <v>2211400703</v>
      </c>
      <c r="C388" t="s">
        <v>1120</v>
      </c>
      <c r="D388" t="s">
        <v>1121</v>
      </c>
      <c r="E388" t="str">
        <f t="shared" si="6"/>
        <v>Sulpak2211400703</v>
      </c>
    </row>
    <row r="389" spans="1:5" x14ac:dyDescent="0.3">
      <c r="A389" t="s">
        <v>446</v>
      </c>
      <c r="B389">
        <v>2211400921</v>
      </c>
      <c r="C389" t="s">
        <v>33</v>
      </c>
      <c r="D389" t="s">
        <v>302</v>
      </c>
      <c r="E389" t="str">
        <f t="shared" si="6"/>
        <v>Sulpak2211400921</v>
      </c>
    </row>
    <row r="390" spans="1:5" x14ac:dyDescent="0.3">
      <c r="A390" t="s">
        <v>446</v>
      </c>
      <c r="B390">
        <v>2211400922</v>
      </c>
      <c r="C390" t="s">
        <v>34</v>
      </c>
      <c r="D390" t="s">
        <v>303</v>
      </c>
      <c r="E390" t="str">
        <f t="shared" si="6"/>
        <v>Sulpak2211400922</v>
      </c>
    </row>
    <row r="391" spans="1:5" x14ac:dyDescent="0.3">
      <c r="A391" t="s">
        <v>446</v>
      </c>
      <c r="B391">
        <v>2211400879</v>
      </c>
      <c r="C391" t="s">
        <v>1122</v>
      </c>
      <c r="D391" t="s">
        <v>1123</v>
      </c>
      <c r="E391" t="str">
        <f t="shared" si="6"/>
        <v>Sulpak2211400879</v>
      </c>
    </row>
    <row r="392" spans="1:5" x14ac:dyDescent="0.3">
      <c r="A392" t="s">
        <v>446</v>
      </c>
      <c r="B392">
        <v>2211400773</v>
      </c>
      <c r="C392" t="s">
        <v>1124</v>
      </c>
      <c r="D392" t="s">
        <v>1125</v>
      </c>
      <c r="E392" t="str">
        <f t="shared" si="6"/>
        <v>Sulpak2211400773</v>
      </c>
    </row>
    <row r="393" spans="1:5" x14ac:dyDescent="0.3">
      <c r="A393" t="s">
        <v>446</v>
      </c>
      <c r="B393">
        <v>2211400778</v>
      </c>
      <c r="C393" t="s">
        <v>1126</v>
      </c>
      <c r="D393" t="s">
        <v>1127</v>
      </c>
      <c r="E393" t="str">
        <f t="shared" si="6"/>
        <v>Sulpak2211400778</v>
      </c>
    </row>
    <row r="394" spans="1:5" x14ac:dyDescent="0.3">
      <c r="A394" t="s">
        <v>446</v>
      </c>
      <c r="B394">
        <v>2211400886</v>
      </c>
      <c r="C394" t="s">
        <v>1128</v>
      </c>
      <c r="D394" t="s">
        <v>1129</v>
      </c>
      <c r="E394" t="str">
        <f t="shared" si="6"/>
        <v>Sulpak2211400886</v>
      </c>
    </row>
    <row r="395" spans="1:5" x14ac:dyDescent="0.3">
      <c r="A395" t="s">
        <v>446</v>
      </c>
      <c r="B395">
        <v>2211400824</v>
      </c>
      <c r="C395" t="s">
        <v>1130</v>
      </c>
      <c r="D395" t="s">
        <v>1131</v>
      </c>
      <c r="E395" t="str">
        <f t="shared" si="6"/>
        <v>Sulpak2211400824</v>
      </c>
    </row>
    <row r="396" spans="1:5" x14ac:dyDescent="0.3">
      <c r="A396" t="s">
        <v>446</v>
      </c>
      <c r="B396">
        <v>2211400887</v>
      </c>
      <c r="C396" t="s">
        <v>1132</v>
      </c>
      <c r="D396" t="s">
        <v>1133</v>
      </c>
      <c r="E396" t="str">
        <f t="shared" si="6"/>
        <v>Sulpak2211400887</v>
      </c>
    </row>
    <row r="397" spans="1:5" x14ac:dyDescent="0.3">
      <c r="A397" t="s">
        <v>446</v>
      </c>
      <c r="B397">
        <v>2211400888</v>
      </c>
      <c r="C397" t="s">
        <v>38</v>
      </c>
      <c r="D397" t="s">
        <v>1134</v>
      </c>
      <c r="E397" t="str">
        <f t="shared" si="6"/>
        <v>Sulpak2211400888</v>
      </c>
    </row>
    <row r="398" spans="1:5" x14ac:dyDescent="0.3">
      <c r="A398" t="s">
        <v>446</v>
      </c>
      <c r="B398">
        <v>2211400880</v>
      </c>
      <c r="C398" t="s">
        <v>1135</v>
      </c>
      <c r="D398" t="s">
        <v>1136</v>
      </c>
      <c r="E398" t="str">
        <f t="shared" si="6"/>
        <v>Sulpak2211400880</v>
      </c>
    </row>
    <row r="399" spans="1:5" x14ac:dyDescent="0.3">
      <c r="A399" t="s">
        <v>446</v>
      </c>
      <c r="B399">
        <v>2211400690</v>
      </c>
      <c r="C399" t="s">
        <v>36</v>
      </c>
      <c r="D399" t="s">
        <v>1137</v>
      </c>
      <c r="E399" t="str">
        <f t="shared" si="6"/>
        <v>Sulpak2211400690</v>
      </c>
    </row>
    <row r="400" spans="1:5" x14ac:dyDescent="0.3">
      <c r="A400" t="s">
        <v>446</v>
      </c>
      <c r="B400">
        <v>9100004140</v>
      </c>
      <c r="C400" t="s">
        <v>1138</v>
      </c>
      <c r="D400" t="s">
        <v>1139</v>
      </c>
      <c r="E400" t="str">
        <f t="shared" si="6"/>
        <v>Sulpak9100004140</v>
      </c>
    </row>
    <row r="401" spans="1:5" x14ac:dyDescent="0.3">
      <c r="A401" t="s">
        <v>446</v>
      </c>
      <c r="B401">
        <v>7211003929</v>
      </c>
      <c r="C401" t="s">
        <v>52</v>
      </c>
      <c r="D401" t="s">
        <v>1140</v>
      </c>
      <c r="E401" t="str">
        <f t="shared" si="6"/>
        <v>Sulpak7211003929</v>
      </c>
    </row>
    <row r="402" spans="1:5" x14ac:dyDescent="0.3">
      <c r="A402" t="s">
        <v>446</v>
      </c>
      <c r="B402">
        <v>7211002803</v>
      </c>
      <c r="C402" t="s">
        <v>1141</v>
      </c>
      <c r="D402" t="s">
        <v>1142</v>
      </c>
      <c r="E402" t="str">
        <f t="shared" si="6"/>
        <v>Sulpak7211002803</v>
      </c>
    </row>
    <row r="403" spans="1:5" x14ac:dyDescent="0.3">
      <c r="A403" t="s">
        <v>446</v>
      </c>
      <c r="B403">
        <v>7211003840</v>
      </c>
      <c r="C403" t="s">
        <v>1143</v>
      </c>
      <c r="D403" t="s">
        <v>1144</v>
      </c>
      <c r="E403" t="str">
        <f t="shared" si="6"/>
        <v>Sulpak7211003840</v>
      </c>
    </row>
    <row r="404" spans="1:5" x14ac:dyDescent="0.3">
      <c r="A404" t="s">
        <v>446</v>
      </c>
      <c r="B404">
        <v>8000035826</v>
      </c>
      <c r="C404" t="s">
        <v>362</v>
      </c>
      <c r="D404" t="s">
        <v>1145</v>
      </c>
      <c r="E404" t="str">
        <f t="shared" si="6"/>
        <v>Sulpak8000035826</v>
      </c>
    </row>
    <row r="405" spans="1:5" x14ac:dyDescent="0.3">
      <c r="A405" t="s">
        <v>446</v>
      </c>
      <c r="B405">
        <v>7211003938</v>
      </c>
      <c r="C405" t="s">
        <v>73</v>
      </c>
      <c r="D405" t="s">
        <v>323</v>
      </c>
      <c r="E405" t="str">
        <f t="shared" si="6"/>
        <v>Sulpak7211003938</v>
      </c>
    </row>
    <row r="406" spans="1:5" x14ac:dyDescent="0.3">
      <c r="A406" t="s">
        <v>446</v>
      </c>
      <c r="B406">
        <v>8000035923</v>
      </c>
      <c r="C406" t="s">
        <v>1146</v>
      </c>
      <c r="D406" t="s">
        <v>1147</v>
      </c>
      <c r="E406" t="str">
        <f t="shared" si="6"/>
        <v>Sulpak8000035923</v>
      </c>
    </row>
    <row r="407" spans="1:5" x14ac:dyDescent="0.3">
      <c r="A407" t="s">
        <v>446</v>
      </c>
      <c r="B407">
        <v>1510001750</v>
      </c>
      <c r="C407" t="s">
        <v>1148</v>
      </c>
      <c r="D407" t="s">
        <v>1149</v>
      </c>
      <c r="E407" t="str">
        <f t="shared" si="6"/>
        <v>Sulpak1510001750</v>
      </c>
    </row>
    <row r="408" spans="1:5" x14ac:dyDescent="0.3">
      <c r="A408" t="s">
        <v>446</v>
      </c>
      <c r="B408">
        <v>1830006616</v>
      </c>
      <c r="C408" t="s">
        <v>1150</v>
      </c>
      <c r="D408" t="s">
        <v>1151</v>
      </c>
      <c r="E408" t="str">
        <f t="shared" si="6"/>
        <v>Sulpak1830006616</v>
      </c>
    </row>
    <row r="409" spans="1:5" x14ac:dyDescent="0.3">
      <c r="A409" t="s">
        <v>446</v>
      </c>
      <c r="B409">
        <v>1830007645</v>
      </c>
      <c r="C409" t="s">
        <v>414</v>
      </c>
      <c r="D409" t="s">
        <v>1152</v>
      </c>
      <c r="E409" t="str">
        <f t="shared" si="6"/>
        <v>Sulpak1830007645</v>
      </c>
    </row>
    <row r="410" spans="1:5" x14ac:dyDescent="0.3">
      <c r="A410" t="s">
        <v>446</v>
      </c>
      <c r="B410">
        <v>1830007643</v>
      </c>
      <c r="C410" t="s">
        <v>1153</v>
      </c>
      <c r="D410" t="s">
        <v>1154</v>
      </c>
      <c r="E410" t="str">
        <f t="shared" si="6"/>
        <v>Sulpak1830007643</v>
      </c>
    </row>
    <row r="411" spans="1:5" x14ac:dyDescent="0.3">
      <c r="A411" t="s">
        <v>446</v>
      </c>
      <c r="B411">
        <v>1830007642</v>
      </c>
      <c r="C411" t="s">
        <v>1155</v>
      </c>
      <c r="D411" t="s">
        <v>1156</v>
      </c>
      <c r="E411" t="str">
        <f t="shared" si="6"/>
        <v>Sulpak1830007642</v>
      </c>
    </row>
    <row r="412" spans="1:5" x14ac:dyDescent="0.3">
      <c r="A412" t="s">
        <v>446</v>
      </c>
      <c r="B412">
        <v>1830007809</v>
      </c>
      <c r="C412" t="s">
        <v>410</v>
      </c>
      <c r="D412" t="s">
        <v>1157</v>
      </c>
      <c r="E412" t="str">
        <f t="shared" si="6"/>
        <v>Sulpak1830007809</v>
      </c>
    </row>
    <row r="413" spans="1:5" x14ac:dyDescent="0.3">
      <c r="A413" t="s">
        <v>446</v>
      </c>
      <c r="B413">
        <v>1830007868</v>
      </c>
      <c r="C413" t="s">
        <v>1158</v>
      </c>
      <c r="D413" t="s">
        <v>1159</v>
      </c>
      <c r="E413" t="str">
        <f t="shared" si="6"/>
        <v>Sulpak1830007868</v>
      </c>
    </row>
    <row r="414" spans="1:5" x14ac:dyDescent="0.3">
      <c r="A414" t="s">
        <v>446</v>
      </c>
      <c r="B414">
        <v>1830007716</v>
      </c>
      <c r="C414" t="s">
        <v>1160</v>
      </c>
      <c r="D414" t="s">
        <v>1161</v>
      </c>
      <c r="E414" t="str">
        <f t="shared" si="6"/>
        <v>Sulpak1830007716</v>
      </c>
    </row>
    <row r="415" spans="1:5" x14ac:dyDescent="0.3">
      <c r="A415" t="s">
        <v>446</v>
      </c>
      <c r="B415">
        <v>1830007810</v>
      </c>
      <c r="C415" t="s">
        <v>1162</v>
      </c>
      <c r="D415" t="s">
        <v>1163</v>
      </c>
      <c r="E415" t="str">
        <f t="shared" si="6"/>
        <v>Sulpak1830007810</v>
      </c>
    </row>
    <row r="416" spans="1:5" x14ac:dyDescent="0.3">
      <c r="A416" t="s">
        <v>446</v>
      </c>
      <c r="B416">
        <v>1830007567</v>
      </c>
      <c r="C416" t="s">
        <v>1164</v>
      </c>
      <c r="D416" t="s">
        <v>1165</v>
      </c>
      <c r="E416" t="str">
        <f t="shared" si="6"/>
        <v>Sulpak1830007567</v>
      </c>
    </row>
    <row r="417" spans="1:5" x14ac:dyDescent="0.3">
      <c r="A417" t="s">
        <v>446</v>
      </c>
      <c r="B417">
        <v>1830006479</v>
      </c>
      <c r="C417" t="s">
        <v>1166</v>
      </c>
      <c r="D417" t="s">
        <v>1167</v>
      </c>
      <c r="E417" t="str">
        <f t="shared" si="6"/>
        <v>Sulpak1830006479</v>
      </c>
    </row>
    <row r="418" spans="1:5" x14ac:dyDescent="0.3">
      <c r="A418" t="s">
        <v>446</v>
      </c>
      <c r="B418">
        <v>1830006534</v>
      </c>
      <c r="C418" t="s">
        <v>1168</v>
      </c>
      <c r="D418" t="s">
        <v>1169</v>
      </c>
      <c r="E418" t="str">
        <f t="shared" si="6"/>
        <v>Sulpak1830006534</v>
      </c>
    </row>
    <row r="419" spans="1:5" x14ac:dyDescent="0.3">
      <c r="A419" t="s">
        <v>446</v>
      </c>
      <c r="B419">
        <v>1830007723</v>
      </c>
      <c r="C419" t="s">
        <v>20</v>
      </c>
      <c r="D419" t="s">
        <v>294</v>
      </c>
      <c r="E419" t="str">
        <f t="shared" si="6"/>
        <v>Sulpak1830007723</v>
      </c>
    </row>
    <row r="420" spans="1:5" x14ac:dyDescent="0.3">
      <c r="A420" t="s">
        <v>446</v>
      </c>
      <c r="B420">
        <v>1830007565</v>
      </c>
      <c r="C420" t="s">
        <v>1170</v>
      </c>
      <c r="D420" t="s">
        <v>1171</v>
      </c>
      <c r="E420" t="str">
        <f t="shared" si="6"/>
        <v>Sulpak1830007565</v>
      </c>
    </row>
    <row r="421" spans="1:5" x14ac:dyDescent="0.3">
      <c r="A421" t="s">
        <v>446</v>
      </c>
      <c r="B421">
        <v>1830007698</v>
      </c>
      <c r="C421" t="s">
        <v>1172</v>
      </c>
      <c r="D421" t="s">
        <v>1173</v>
      </c>
      <c r="E421" t="str">
        <f t="shared" si="6"/>
        <v>Sulpak1830007698</v>
      </c>
    </row>
    <row r="422" spans="1:5" x14ac:dyDescent="0.3">
      <c r="A422" t="s">
        <v>446</v>
      </c>
      <c r="B422">
        <v>1830007697</v>
      </c>
      <c r="C422" t="s">
        <v>1174</v>
      </c>
      <c r="D422" t="s">
        <v>1175</v>
      </c>
      <c r="E422" t="str">
        <f t="shared" si="6"/>
        <v>Sulpak1830007697</v>
      </c>
    </row>
    <row r="423" spans="1:5" x14ac:dyDescent="0.3">
      <c r="A423" t="s">
        <v>446</v>
      </c>
      <c r="B423">
        <v>1830007715</v>
      </c>
      <c r="C423" t="s">
        <v>409</v>
      </c>
      <c r="D423" t="s">
        <v>1176</v>
      </c>
      <c r="E423" t="str">
        <f t="shared" si="6"/>
        <v>Sulpak1830007715</v>
      </c>
    </row>
    <row r="424" spans="1:5" x14ac:dyDescent="0.3">
      <c r="A424" t="s">
        <v>446</v>
      </c>
      <c r="B424">
        <v>2211400612</v>
      </c>
      <c r="C424" t="s">
        <v>1177</v>
      </c>
      <c r="D424" t="s">
        <v>1178</v>
      </c>
      <c r="E424" t="str">
        <f t="shared" si="6"/>
        <v>Sulpak2211400612</v>
      </c>
    </row>
    <row r="425" spans="1:5" x14ac:dyDescent="0.3">
      <c r="A425" t="s">
        <v>446</v>
      </c>
      <c r="B425">
        <v>2211400613</v>
      </c>
      <c r="C425" t="s">
        <v>1179</v>
      </c>
      <c r="D425" t="s">
        <v>1180</v>
      </c>
      <c r="E425" t="str">
        <f t="shared" si="6"/>
        <v>Sulpak2211400613</v>
      </c>
    </row>
    <row r="426" spans="1:5" x14ac:dyDescent="0.3">
      <c r="A426" t="s">
        <v>446</v>
      </c>
      <c r="B426">
        <v>7211004054</v>
      </c>
      <c r="C426" t="s">
        <v>58</v>
      </c>
      <c r="D426" t="s">
        <v>1181</v>
      </c>
      <c r="E426" t="str">
        <f t="shared" si="6"/>
        <v>Sulpak7211004054</v>
      </c>
    </row>
    <row r="427" spans="1:5" x14ac:dyDescent="0.3">
      <c r="A427" t="s">
        <v>446</v>
      </c>
      <c r="B427">
        <v>1830007990</v>
      </c>
      <c r="C427" t="s">
        <v>1182</v>
      </c>
      <c r="D427" t="s">
        <v>1183</v>
      </c>
      <c r="E427" t="str">
        <f t="shared" si="6"/>
        <v>Sulpak1830007990</v>
      </c>
    </row>
    <row r="428" spans="1:5" x14ac:dyDescent="0.3">
      <c r="A428" t="s">
        <v>446</v>
      </c>
      <c r="B428">
        <v>2100115981</v>
      </c>
      <c r="C428" t="s">
        <v>1184</v>
      </c>
      <c r="D428" t="s">
        <v>1185</v>
      </c>
      <c r="E428" t="str">
        <f t="shared" si="6"/>
        <v>Sulpak2100115981</v>
      </c>
    </row>
    <row r="429" spans="1:5" x14ac:dyDescent="0.3">
      <c r="A429" t="s">
        <v>446</v>
      </c>
      <c r="B429">
        <v>2100116195</v>
      </c>
      <c r="C429" t="s">
        <v>84</v>
      </c>
      <c r="D429" t="s">
        <v>1186</v>
      </c>
      <c r="E429" t="str">
        <f t="shared" si="6"/>
        <v>Sulpak2100116195</v>
      </c>
    </row>
    <row r="430" spans="1:5" x14ac:dyDescent="0.3">
      <c r="A430" t="s">
        <v>446</v>
      </c>
      <c r="B430">
        <v>2100115963</v>
      </c>
      <c r="C430" t="s">
        <v>1187</v>
      </c>
      <c r="D430" t="s">
        <v>1188</v>
      </c>
      <c r="E430" t="str">
        <f t="shared" si="6"/>
        <v>Sulpak2100115963</v>
      </c>
    </row>
    <row r="431" spans="1:5" x14ac:dyDescent="0.3">
      <c r="A431" t="s">
        <v>446</v>
      </c>
      <c r="B431">
        <v>1830007760</v>
      </c>
      <c r="C431" t="s">
        <v>17</v>
      </c>
      <c r="D431" t="s">
        <v>293</v>
      </c>
      <c r="E431" t="str">
        <f t="shared" si="6"/>
        <v>Sulpak1830007760</v>
      </c>
    </row>
    <row r="432" spans="1:5" x14ac:dyDescent="0.3">
      <c r="A432" t="s">
        <v>446</v>
      </c>
      <c r="B432">
        <v>2211400769</v>
      </c>
      <c r="C432" t="s">
        <v>1189</v>
      </c>
      <c r="D432" t="s">
        <v>1190</v>
      </c>
      <c r="E432" t="str">
        <f t="shared" si="6"/>
        <v>Sulpak2211400769</v>
      </c>
    </row>
    <row r="433" spans="1:5" x14ac:dyDescent="0.3">
      <c r="A433" t="s">
        <v>446</v>
      </c>
      <c r="B433">
        <v>1830007850</v>
      </c>
      <c r="C433" t="s">
        <v>1191</v>
      </c>
      <c r="D433" t="s">
        <v>1192</v>
      </c>
      <c r="E433" t="str">
        <f t="shared" si="6"/>
        <v>Sulpak1830007850</v>
      </c>
    </row>
    <row r="434" spans="1:5" x14ac:dyDescent="0.3">
      <c r="A434" t="s">
        <v>446</v>
      </c>
      <c r="B434">
        <v>1830007855</v>
      </c>
      <c r="C434" t="s">
        <v>1193</v>
      </c>
      <c r="D434" t="s">
        <v>1194</v>
      </c>
      <c r="E434" t="str">
        <f t="shared" si="6"/>
        <v>Sulpak1830007855</v>
      </c>
    </row>
    <row r="435" spans="1:5" x14ac:dyDescent="0.3">
      <c r="A435" t="s">
        <v>446</v>
      </c>
      <c r="B435">
        <v>1830007851</v>
      </c>
      <c r="C435" t="s">
        <v>1195</v>
      </c>
      <c r="D435" t="s">
        <v>1196</v>
      </c>
      <c r="E435" t="str">
        <f t="shared" si="6"/>
        <v>Sulpak1830007851</v>
      </c>
    </row>
    <row r="436" spans="1:5" x14ac:dyDescent="0.3">
      <c r="A436" t="s">
        <v>446</v>
      </c>
      <c r="B436">
        <v>2211400251</v>
      </c>
      <c r="C436" t="s">
        <v>1197</v>
      </c>
      <c r="D436" t="s">
        <v>1198</v>
      </c>
      <c r="E436" t="str">
        <f t="shared" si="6"/>
        <v>Sulpak2211400251</v>
      </c>
    </row>
    <row r="437" spans="1:5" x14ac:dyDescent="0.3">
      <c r="A437" t="s">
        <v>446</v>
      </c>
      <c r="B437">
        <v>1510001769</v>
      </c>
      <c r="C437" t="s">
        <v>1199</v>
      </c>
      <c r="D437" t="s">
        <v>1200</v>
      </c>
      <c r="E437" t="str">
        <f t="shared" si="6"/>
        <v>Sulpak1510001769</v>
      </c>
    </row>
    <row r="438" spans="1:5" x14ac:dyDescent="0.3">
      <c r="A438" t="s">
        <v>446</v>
      </c>
      <c r="B438">
        <v>2100118310</v>
      </c>
      <c r="C438" t="s">
        <v>1201</v>
      </c>
      <c r="D438" t="s">
        <v>1202</v>
      </c>
      <c r="E438" t="str">
        <f t="shared" si="6"/>
        <v>Sulpak2100118310</v>
      </c>
    </row>
    <row r="439" spans="1:5" x14ac:dyDescent="0.3">
      <c r="A439" t="s">
        <v>446</v>
      </c>
      <c r="B439">
        <v>2100118311</v>
      </c>
      <c r="C439" t="s">
        <v>1203</v>
      </c>
      <c r="D439" t="s">
        <v>1204</v>
      </c>
      <c r="E439" t="str">
        <f t="shared" si="6"/>
        <v>Sulpak2100118311</v>
      </c>
    </row>
    <row r="440" spans="1:5" x14ac:dyDescent="0.3">
      <c r="A440" t="s">
        <v>446</v>
      </c>
      <c r="B440">
        <v>2100118312</v>
      </c>
      <c r="C440" t="s">
        <v>1205</v>
      </c>
      <c r="D440" t="s">
        <v>1206</v>
      </c>
      <c r="E440" t="str">
        <f t="shared" si="6"/>
        <v>Sulpak2100118312</v>
      </c>
    </row>
    <row r="441" spans="1:5" x14ac:dyDescent="0.3">
      <c r="A441" t="s">
        <v>446</v>
      </c>
      <c r="B441">
        <v>2100118320</v>
      </c>
      <c r="C441" t="s">
        <v>1207</v>
      </c>
      <c r="D441" t="s">
        <v>1208</v>
      </c>
      <c r="E441" t="str">
        <f t="shared" si="6"/>
        <v>Sulpak2100118320</v>
      </c>
    </row>
    <row r="442" spans="1:5" x14ac:dyDescent="0.3">
      <c r="A442" t="s">
        <v>446</v>
      </c>
      <c r="B442">
        <v>2100118307</v>
      </c>
      <c r="C442" t="s">
        <v>1209</v>
      </c>
      <c r="D442" t="s">
        <v>1210</v>
      </c>
      <c r="E442" t="str">
        <f t="shared" si="6"/>
        <v>Sulpak2100118307</v>
      </c>
    </row>
    <row r="443" spans="1:5" x14ac:dyDescent="0.3">
      <c r="A443" t="s">
        <v>446</v>
      </c>
      <c r="B443">
        <v>2100118308</v>
      </c>
      <c r="C443" t="s">
        <v>1211</v>
      </c>
      <c r="D443" t="s">
        <v>1212</v>
      </c>
      <c r="E443" t="str">
        <f t="shared" si="6"/>
        <v>Sulpak2100118308</v>
      </c>
    </row>
    <row r="444" spans="1:5" x14ac:dyDescent="0.3">
      <c r="A444" t="s">
        <v>446</v>
      </c>
      <c r="B444">
        <v>2100118933</v>
      </c>
      <c r="C444" t="s">
        <v>1213</v>
      </c>
      <c r="D444" t="s">
        <v>1214</v>
      </c>
      <c r="E444" t="str">
        <f t="shared" si="6"/>
        <v>Sulpak2100118933</v>
      </c>
    </row>
    <row r="445" spans="1:5" x14ac:dyDescent="0.3">
      <c r="A445" t="s">
        <v>446</v>
      </c>
      <c r="B445">
        <v>2100118273</v>
      </c>
      <c r="C445" t="s">
        <v>1215</v>
      </c>
      <c r="D445" t="s">
        <v>1216</v>
      </c>
      <c r="E445" t="str">
        <f t="shared" si="6"/>
        <v>Sulpak2100118273</v>
      </c>
    </row>
    <row r="446" spans="1:5" x14ac:dyDescent="0.3">
      <c r="A446" t="s">
        <v>446</v>
      </c>
      <c r="B446">
        <v>2100118274</v>
      </c>
      <c r="C446" t="s">
        <v>1217</v>
      </c>
      <c r="D446" t="s">
        <v>1218</v>
      </c>
      <c r="E446" t="str">
        <f t="shared" si="6"/>
        <v>Sulpak2100118274</v>
      </c>
    </row>
    <row r="447" spans="1:5" x14ac:dyDescent="0.3">
      <c r="A447" t="s">
        <v>446</v>
      </c>
      <c r="B447">
        <v>2100118306</v>
      </c>
      <c r="C447" t="s">
        <v>1219</v>
      </c>
      <c r="D447" t="s">
        <v>1220</v>
      </c>
      <c r="E447" t="str">
        <f t="shared" si="6"/>
        <v>Sulpak2100118306</v>
      </c>
    </row>
    <row r="448" spans="1:5" x14ac:dyDescent="0.3">
      <c r="A448" t="s">
        <v>446</v>
      </c>
      <c r="B448">
        <v>2100118271</v>
      </c>
      <c r="C448" t="s">
        <v>1221</v>
      </c>
      <c r="D448" t="s">
        <v>1222</v>
      </c>
      <c r="E448" t="str">
        <f t="shared" si="6"/>
        <v>Sulpak2100118271</v>
      </c>
    </row>
    <row r="449" spans="1:5" x14ac:dyDescent="0.3">
      <c r="A449" t="s">
        <v>446</v>
      </c>
      <c r="B449">
        <v>2100118267</v>
      </c>
      <c r="C449" t="s">
        <v>1223</v>
      </c>
      <c r="D449" t="s">
        <v>1224</v>
      </c>
      <c r="E449" t="str">
        <f t="shared" si="6"/>
        <v>Sulpak2100118267</v>
      </c>
    </row>
    <row r="450" spans="1:5" x14ac:dyDescent="0.3">
      <c r="A450" t="s">
        <v>446</v>
      </c>
      <c r="B450">
        <v>2100112388</v>
      </c>
      <c r="C450" t="s">
        <v>1225</v>
      </c>
      <c r="D450" t="s">
        <v>1226</v>
      </c>
      <c r="E450" t="str">
        <f t="shared" si="6"/>
        <v>Sulpak2100112388</v>
      </c>
    </row>
    <row r="451" spans="1:5" x14ac:dyDescent="0.3">
      <c r="A451" t="s">
        <v>446</v>
      </c>
      <c r="B451">
        <v>2100112389</v>
      </c>
      <c r="C451" t="s">
        <v>1227</v>
      </c>
      <c r="D451" t="s">
        <v>1228</v>
      </c>
      <c r="E451" t="str">
        <f t="shared" ref="E451:E514" si="7">A451&amp;B451</f>
        <v>Sulpak2100112389</v>
      </c>
    </row>
    <row r="452" spans="1:5" x14ac:dyDescent="0.3">
      <c r="A452" t="s">
        <v>446</v>
      </c>
      <c r="B452">
        <v>2100112390</v>
      </c>
      <c r="C452" t="s">
        <v>1229</v>
      </c>
      <c r="D452" t="s">
        <v>1230</v>
      </c>
      <c r="E452" t="str">
        <f t="shared" si="7"/>
        <v>Sulpak2100112390</v>
      </c>
    </row>
    <row r="453" spans="1:5" x14ac:dyDescent="0.3">
      <c r="A453" t="s">
        <v>446</v>
      </c>
      <c r="B453">
        <v>2100112392</v>
      </c>
      <c r="C453" t="s">
        <v>1231</v>
      </c>
      <c r="D453" t="s">
        <v>1232</v>
      </c>
      <c r="E453" t="str">
        <f t="shared" si="7"/>
        <v>Sulpak2100112392</v>
      </c>
    </row>
    <row r="454" spans="1:5" x14ac:dyDescent="0.3">
      <c r="A454" t="s">
        <v>446</v>
      </c>
      <c r="B454">
        <v>2100118288</v>
      </c>
      <c r="C454" t="s">
        <v>87</v>
      </c>
      <c r="D454" t="s">
        <v>1233</v>
      </c>
      <c r="E454" t="str">
        <f t="shared" si="7"/>
        <v>Sulpak2100118288</v>
      </c>
    </row>
    <row r="455" spans="1:5" x14ac:dyDescent="0.3">
      <c r="A455" t="s">
        <v>446</v>
      </c>
      <c r="B455">
        <v>2100118289</v>
      </c>
      <c r="C455" t="s">
        <v>88</v>
      </c>
      <c r="D455" t="s">
        <v>1234</v>
      </c>
      <c r="E455" t="str">
        <f t="shared" si="7"/>
        <v>Sulpak2100118289</v>
      </c>
    </row>
    <row r="456" spans="1:5" x14ac:dyDescent="0.3">
      <c r="A456" t="s">
        <v>446</v>
      </c>
      <c r="B456">
        <v>2100118290</v>
      </c>
      <c r="C456" t="s">
        <v>89</v>
      </c>
      <c r="D456" t="s">
        <v>1235</v>
      </c>
      <c r="E456" t="str">
        <f t="shared" si="7"/>
        <v>Sulpak2100118290</v>
      </c>
    </row>
    <row r="457" spans="1:5" x14ac:dyDescent="0.3">
      <c r="A457" t="s">
        <v>446</v>
      </c>
      <c r="B457">
        <v>2100118286</v>
      </c>
      <c r="C457" t="s">
        <v>90</v>
      </c>
      <c r="D457" t="s">
        <v>1236</v>
      </c>
      <c r="E457" t="str">
        <f t="shared" si="7"/>
        <v>Sulpak2100118286</v>
      </c>
    </row>
    <row r="458" spans="1:5" x14ac:dyDescent="0.3">
      <c r="A458" t="s">
        <v>446</v>
      </c>
      <c r="B458">
        <v>2100118168</v>
      </c>
      <c r="C458" t="s">
        <v>437</v>
      </c>
      <c r="D458" t="s">
        <v>1237</v>
      </c>
      <c r="E458" t="str">
        <f t="shared" si="7"/>
        <v>Sulpak2100118168</v>
      </c>
    </row>
    <row r="459" spans="1:5" x14ac:dyDescent="0.3">
      <c r="A459" t="s">
        <v>446</v>
      </c>
      <c r="B459">
        <v>2100118321</v>
      </c>
      <c r="C459" t="s">
        <v>91</v>
      </c>
      <c r="D459" t="s">
        <v>1238</v>
      </c>
      <c r="E459" t="str">
        <f t="shared" si="7"/>
        <v>Sulpak2100118321</v>
      </c>
    </row>
    <row r="460" spans="1:5" x14ac:dyDescent="0.3">
      <c r="A460" t="s">
        <v>446</v>
      </c>
      <c r="B460">
        <v>2100118285</v>
      </c>
      <c r="C460" t="s">
        <v>92</v>
      </c>
      <c r="D460" t="s">
        <v>1239</v>
      </c>
      <c r="E460" t="str">
        <f t="shared" si="7"/>
        <v>Sulpak2100118285</v>
      </c>
    </row>
    <row r="461" spans="1:5" x14ac:dyDescent="0.3">
      <c r="A461" t="s">
        <v>446</v>
      </c>
      <c r="B461">
        <v>1510001898</v>
      </c>
      <c r="C461" t="s">
        <v>1240</v>
      </c>
      <c r="D461" t="s">
        <v>1241</v>
      </c>
      <c r="E461" t="str">
        <f t="shared" si="7"/>
        <v>Sulpak1510001898</v>
      </c>
    </row>
    <row r="462" spans="1:5" x14ac:dyDescent="0.3">
      <c r="A462" t="s">
        <v>446</v>
      </c>
      <c r="B462">
        <v>7211004244</v>
      </c>
      <c r="C462" t="s">
        <v>61</v>
      </c>
      <c r="D462" t="s">
        <v>1242</v>
      </c>
      <c r="E462" t="str">
        <f t="shared" si="7"/>
        <v>Sulpak7211004244</v>
      </c>
    </row>
    <row r="463" spans="1:5" x14ac:dyDescent="0.3">
      <c r="A463" t="s">
        <v>446</v>
      </c>
      <c r="B463">
        <v>7211004244</v>
      </c>
      <c r="C463" t="s">
        <v>61</v>
      </c>
      <c r="D463" t="s">
        <v>1243</v>
      </c>
      <c r="E463" t="str">
        <f t="shared" si="7"/>
        <v>Sulpak7211004244</v>
      </c>
    </row>
    <row r="464" spans="1:5" x14ac:dyDescent="0.3">
      <c r="A464" t="s">
        <v>446</v>
      </c>
      <c r="B464">
        <v>7211003955</v>
      </c>
      <c r="C464" t="s">
        <v>1244</v>
      </c>
      <c r="D464" t="s">
        <v>1245</v>
      </c>
      <c r="E464" t="str">
        <f t="shared" si="7"/>
        <v>Sulpak7211003955</v>
      </c>
    </row>
    <row r="465" spans="1:5" x14ac:dyDescent="0.3">
      <c r="A465" t="s">
        <v>446</v>
      </c>
      <c r="B465">
        <v>1830007679</v>
      </c>
      <c r="C465" t="s">
        <v>1246</v>
      </c>
      <c r="D465" t="s">
        <v>1247</v>
      </c>
      <c r="E465" t="str">
        <f t="shared" si="7"/>
        <v>Sulpak1830007679</v>
      </c>
    </row>
    <row r="466" spans="1:5" x14ac:dyDescent="0.3">
      <c r="A466" t="s">
        <v>446</v>
      </c>
      <c r="B466">
        <v>7211001595</v>
      </c>
      <c r="C466" t="s">
        <v>1248</v>
      </c>
      <c r="D466" t="s">
        <v>1249</v>
      </c>
      <c r="E466" t="str">
        <f t="shared" si="7"/>
        <v>Sulpak7211001595</v>
      </c>
    </row>
    <row r="467" spans="1:5" x14ac:dyDescent="0.3">
      <c r="A467" t="s">
        <v>446</v>
      </c>
      <c r="B467">
        <v>1500814332</v>
      </c>
      <c r="C467" t="s">
        <v>1250</v>
      </c>
      <c r="D467" t="s">
        <v>1251</v>
      </c>
      <c r="E467" t="str">
        <f t="shared" si="7"/>
        <v>Sulpak1500814332</v>
      </c>
    </row>
    <row r="468" spans="1:5" x14ac:dyDescent="0.3">
      <c r="A468" t="s">
        <v>446</v>
      </c>
      <c r="B468">
        <v>8000036062</v>
      </c>
      <c r="C468" t="s">
        <v>1252</v>
      </c>
      <c r="D468" t="s">
        <v>1253</v>
      </c>
      <c r="E468" t="str">
        <f t="shared" si="7"/>
        <v>Sulpak8000036062</v>
      </c>
    </row>
    <row r="469" spans="1:5" x14ac:dyDescent="0.3">
      <c r="A469" t="s">
        <v>446</v>
      </c>
      <c r="B469">
        <v>8010000137</v>
      </c>
      <c r="C469" t="s">
        <v>1254</v>
      </c>
      <c r="D469" t="s">
        <v>1255</v>
      </c>
      <c r="E469" t="str">
        <f t="shared" si="7"/>
        <v>Sulpak8010000137</v>
      </c>
    </row>
    <row r="470" spans="1:5" x14ac:dyDescent="0.3">
      <c r="A470" t="s">
        <v>446</v>
      </c>
      <c r="B470">
        <v>1500637550</v>
      </c>
      <c r="C470" t="s">
        <v>1256</v>
      </c>
      <c r="D470" t="s">
        <v>1257</v>
      </c>
      <c r="E470" t="str">
        <f t="shared" si="7"/>
        <v>Sulpak1500637550</v>
      </c>
    </row>
    <row r="471" spans="1:5" x14ac:dyDescent="0.3">
      <c r="A471" t="s">
        <v>446</v>
      </c>
      <c r="B471">
        <v>8000035985</v>
      </c>
      <c r="C471" t="s">
        <v>1258</v>
      </c>
      <c r="D471" t="s">
        <v>1259</v>
      </c>
      <c r="E471" t="str">
        <f t="shared" si="7"/>
        <v>Sulpak8000035985</v>
      </c>
    </row>
    <row r="472" spans="1:5" x14ac:dyDescent="0.3">
      <c r="A472" t="s">
        <v>446</v>
      </c>
      <c r="B472">
        <v>8010000152</v>
      </c>
      <c r="C472" t="s">
        <v>1260</v>
      </c>
      <c r="D472" t="s">
        <v>1261</v>
      </c>
      <c r="E472" t="str">
        <f t="shared" si="7"/>
        <v>Sulpak8010000152</v>
      </c>
    </row>
    <row r="473" spans="1:5" x14ac:dyDescent="0.3">
      <c r="A473" t="s">
        <v>446</v>
      </c>
      <c r="B473">
        <v>7211004078</v>
      </c>
      <c r="C473" t="s">
        <v>43</v>
      </c>
      <c r="D473" t="s">
        <v>309</v>
      </c>
      <c r="E473" t="str">
        <f t="shared" si="7"/>
        <v>Sulpak7211004078</v>
      </c>
    </row>
    <row r="474" spans="1:5" x14ac:dyDescent="0.3">
      <c r="A474" t="s">
        <v>446</v>
      </c>
      <c r="B474">
        <v>1830007828</v>
      </c>
      <c r="C474" t="s">
        <v>1262</v>
      </c>
      <c r="D474" t="s">
        <v>1263</v>
      </c>
      <c r="E474" t="str">
        <f t="shared" si="7"/>
        <v>Sulpak1830007828</v>
      </c>
    </row>
    <row r="475" spans="1:5" x14ac:dyDescent="0.3">
      <c r="A475" t="s">
        <v>446</v>
      </c>
      <c r="B475">
        <v>1830007344</v>
      </c>
      <c r="C475" t="s">
        <v>1264</v>
      </c>
      <c r="D475" t="s">
        <v>1265</v>
      </c>
      <c r="E475" t="str">
        <f t="shared" si="7"/>
        <v>Sulpak1830007344</v>
      </c>
    </row>
    <row r="476" spans="1:5" x14ac:dyDescent="0.3">
      <c r="A476" t="s">
        <v>446</v>
      </c>
      <c r="B476">
        <v>1830007989</v>
      </c>
      <c r="C476" t="s">
        <v>1266</v>
      </c>
      <c r="D476" t="s">
        <v>1267</v>
      </c>
      <c r="E476" t="str">
        <f t="shared" si="7"/>
        <v>Sulpak1830007989</v>
      </c>
    </row>
    <row r="477" spans="1:5" x14ac:dyDescent="0.3">
      <c r="A477" t="s">
        <v>446</v>
      </c>
      <c r="B477">
        <v>1830005000</v>
      </c>
      <c r="C477" t="s">
        <v>1268</v>
      </c>
      <c r="D477" t="s">
        <v>1269</v>
      </c>
      <c r="E477" t="str">
        <f t="shared" si="7"/>
        <v>Sulpak1830005000</v>
      </c>
    </row>
    <row r="478" spans="1:5" x14ac:dyDescent="0.3">
      <c r="A478" t="s">
        <v>446</v>
      </c>
      <c r="B478">
        <v>1830008169</v>
      </c>
      <c r="C478" t="s">
        <v>1270</v>
      </c>
      <c r="D478" t="s">
        <v>1271</v>
      </c>
      <c r="E478" t="str">
        <f t="shared" si="7"/>
        <v>Sulpak1830008169</v>
      </c>
    </row>
    <row r="479" spans="1:5" x14ac:dyDescent="0.3">
      <c r="A479" t="s">
        <v>446</v>
      </c>
      <c r="B479">
        <v>1830008172</v>
      </c>
      <c r="C479" t="s">
        <v>1272</v>
      </c>
      <c r="D479" t="s">
        <v>1273</v>
      </c>
      <c r="E479" t="str">
        <f t="shared" si="7"/>
        <v>Sulpak1830008172</v>
      </c>
    </row>
    <row r="480" spans="1:5" x14ac:dyDescent="0.3">
      <c r="A480" t="s">
        <v>446</v>
      </c>
      <c r="B480">
        <v>8010000982</v>
      </c>
      <c r="C480" t="s">
        <v>1274</v>
      </c>
      <c r="D480" t="s">
        <v>1275</v>
      </c>
      <c r="E480" t="str">
        <f t="shared" si="7"/>
        <v>Sulpak8010000982</v>
      </c>
    </row>
    <row r="481" spans="1:5" x14ac:dyDescent="0.3">
      <c r="A481" t="s">
        <v>446</v>
      </c>
      <c r="B481">
        <v>2100113162</v>
      </c>
      <c r="C481" t="s">
        <v>83</v>
      </c>
      <c r="D481" t="s">
        <v>1276</v>
      </c>
      <c r="E481" t="str">
        <f t="shared" si="7"/>
        <v>Sulpak2100113162</v>
      </c>
    </row>
    <row r="482" spans="1:5" x14ac:dyDescent="0.3">
      <c r="A482" t="s">
        <v>446</v>
      </c>
      <c r="B482">
        <v>2211400825</v>
      </c>
      <c r="C482" t="s">
        <v>1277</v>
      </c>
      <c r="D482" t="s">
        <v>1278</v>
      </c>
      <c r="E482" t="str">
        <f t="shared" si="7"/>
        <v>Sulpak2211400825</v>
      </c>
    </row>
    <row r="483" spans="1:5" x14ac:dyDescent="0.3">
      <c r="A483" t="s">
        <v>446</v>
      </c>
      <c r="B483">
        <v>7211003294</v>
      </c>
      <c r="C483" t="s">
        <v>1279</v>
      </c>
      <c r="D483" t="s">
        <v>1280</v>
      </c>
      <c r="E483" t="str">
        <f t="shared" si="7"/>
        <v>Sulpak7211003294</v>
      </c>
    </row>
    <row r="484" spans="1:5" x14ac:dyDescent="0.3">
      <c r="A484" t="s">
        <v>446</v>
      </c>
      <c r="B484">
        <v>7211002005</v>
      </c>
      <c r="C484" t="s">
        <v>1281</v>
      </c>
      <c r="D484" t="s">
        <v>1282</v>
      </c>
      <c r="E484" t="str">
        <f t="shared" si="7"/>
        <v>Sulpak7211002005</v>
      </c>
    </row>
    <row r="485" spans="1:5" x14ac:dyDescent="0.3">
      <c r="A485" t="s">
        <v>446</v>
      </c>
      <c r="B485">
        <v>8010000724</v>
      </c>
      <c r="C485" t="s">
        <v>1283</v>
      </c>
      <c r="D485" t="s">
        <v>1284</v>
      </c>
      <c r="E485" t="str">
        <f t="shared" si="7"/>
        <v>Sulpak8010000724</v>
      </c>
    </row>
    <row r="486" spans="1:5" x14ac:dyDescent="0.3">
      <c r="A486" t="s">
        <v>446</v>
      </c>
      <c r="B486">
        <v>2211400818</v>
      </c>
      <c r="C486" t="s">
        <v>1285</v>
      </c>
      <c r="D486" t="s">
        <v>1286</v>
      </c>
      <c r="E486" t="str">
        <f t="shared" si="7"/>
        <v>Sulpak2211400818</v>
      </c>
    </row>
    <row r="487" spans="1:5" x14ac:dyDescent="0.3">
      <c r="A487" t="s">
        <v>446</v>
      </c>
      <c r="B487">
        <v>2100117987</v>
      </c>
      <c r="C487" t="s">
        <v>1287</v>
      </c>
      <c r="D487" t="s">
        <v>1288</v>
      </c>
      <c r="E487" t="str">
        <f t="shared" si="7"/>
        <v>Sulpak2100117987</v>
      </c>
    </row>
    <row r="488" spans="1:5" x14ac:dyDescent="0.3">
      <c r="A488" t="s">
        <v>446</v>
      </c>
      <c r="B488">
        <v>1830008149</v>
      </c>
      <c r="C488" t="s">
        <v>1289</v>
      </c>
      <c r="D488" t="s">
        <v>1290</v>
      </c>
      <c r="E488" t="str">
        <f t="shared" si="7"/>
        <v>Sulpak1830008149</v>
      </c>
    </row>
    <row r="489" spans="1:5" x14ac:dyDescent="0.3">
      <c r="A489" t="s">
        <v>446</v>
      </c>
      <c r="B489">
        <v>2100087321</v>
      </c>
      <c r="C489" t="s">
        <v>1291</v>
      </c>
      <c r="D489" t="s">
        <v>1292</v>
      </c>
      <c r="E489" t="str">
        <f t="shared" si="7"/>
        <v>Sulpak2100087321</v>
      </c>
    </row>
    <row r="490" spans="1:5" x14ac:dyDescent="0.3">
      <c r="A490" t="s">
        <v>446</v>
      </c>
      <c r="B490">
        <v>2100087323</v>
      </c>
      <c r="C490" t="s">
        <v>1293</v>
      </c>
      <c r="D490" t="s">
        <v>1294</v>
      </c>
      <c r="E490" t="str">
        <f t="shared" si="7"/>
        <v>Sulpak2100087323</v>
      </c>
    </row>
    <row r="491" spans="1:5" x14ac:dyDescent="0.3">
      <c r="A491" t="s">
        <v>446</v>
      </c>
      <c r="B491">
        <v>2100087318</v>
      </c>
      <c r="C491" t="s">
        <v>1295</v>
      </c>
      <c r="D491" t="s">
        <v>1296</v>
      </c>
      <c r="E491" t="str">
        <f t="shared" si="7"/>
        <v>Sulpak2100087318</v>
      </c>
    </row>
    <row r="492" spans="1:5" x14ac:dyDescent="0.3">
      <c r="A492" t="s">
        <v>446</v>
      </c>
      <c r="B492">
        <v>2100087393</v>
      </c>
      <c r="C492" t="s">
        <v>1297</v>
      </c>
      <c r="D492" t="s">
        <v>1298</v>
      </c>
      <c r="E492" t="str">
        <f t="shared" si="7"/>
        <v>Sulpak2100087393</v>
      </c>
    </row>
    <row r="493" spans="1:5" x14ac:dyDescent="0.3">
      <c r="A493" t="s">
        <v>446</v>
      </c>
      <c r="B493">
        <v>2100087320</v>
      </c>
      <c r="C493" t="s">
        <v>1299</v>
      </c>
      <c r="D493" t="s">
        <v>1300</v>
      </c>
      <c r="E493" t="str">
        <f t="shared" si="7"/>
        <v>Sulpak2100087320</v>
      </c>
    </row>
    <row r="494" spans="1:5" x14ac:dyDescent="0.3">
      <c r="A494" t="s">
        <v>446</v>
      </c>
      <c r="B494">
        <v>2100087330</v>
      </c>
      <c r="C494" t="s">
        <v>1301</v>
      </c>
      <c r="D494" t="s">
        <v>1302</v>
      </c>
      <c r="E494" t="str">
        <f t="shared" si="7"/>
        <v>Sulpak2100087330</v>
      </c>
    </row>
    <row r="495" spans="1:5" x14ac:dyDescent="0.3">
      <c r="A495" t="s">
        <v>446</v>
      </c>
      <c r="B495">
        <v>2100093246</v>
      </c>
      <c r="C495" t="s">
        <v>1303</v>
      </c>
      <c r="D495" t="s">
        <v>1304</v>
      </c>
      <c r="E495" t="str">
        <f t="shared" si="7"/>
        <v>Sulpak2100093246</v>
      </c>
    </row>
    <row r="496" spans="1:5" x14ac:dyDescent="0.3">
      <c r="A496" t="s">
        <v>446</v>
      </c>
      <c r="B496">
        <v>2100122012</v>
      </c>
      <c r="C496" t="s">
        <v>1305</v>
      </c>
      <c r="D496" t="s">
        <v>1306</v>
      </c>
      <c r="E496" t="str">
        <f t="shared" si="7"/>
        <v>Sulpak2100122012</v>
      </c>
    </row>
    <row r="497" spans="1:5" x14ac:dyDescent="0.3">
      <c r="A497" t="s">
        <v>446</v>
      </c>
      <c r="B497">
        <v>2100122010</v>
      </c>
      <c r="C497" t="s">
        <v>1307</v>
      </c>
      <c r="D497" t="s">
        <v>1308</v>
      </c>
      <c r="E497" t="str">
        <f t="shared" si="7"/>
        <v>Sulpak2100122010</v>
      </c>
    </row>
    <row r="498" spans="1:5" x14ac:dyDescent="0.3">
      <c r="A498" t="s">
        <v>446</v>
      </c>
      <c r="B498">
        <v>2100122011</v>
      </c>
      <c r="C498" t="s">
        <v>1309</v>
      </c>
      <c r="D498" t="s">
        <v>1310</v>
      </c>
      <c r="E498" t="str">
        <f t="shared" si="7"/>
        <v>Sulpak2100122011</v>
      </c>
    </row>
    <row r="499" spans="1:5" x14ac:dyDescent="0.3">
      <c r="A499" t="s">
        <v>446</v>
      </c>
      <c r="B499">
        <v>2100122009</v>
      </c>
      <c r="C499" t="s">
        <v>1311</v>
      </c>
      <c r="D499" t="s">
        <v>1312</v>
      </c>
      <c r="E499" t="str">
        <f t="shared" si="7"/>
        <v>Sulpak2100122009</v>
      </c>
    </row>
    <row r="500" spans="1:5" x14ac:dyDescent="0.3">
      <c r="A500" t="s">
        <v>446</v>
      </c>
      <c r="B500">
        <v>2100091939</v>
      </c>
      <c r="C500" t="s">
        <v>1313</v>
      </c>
      <c r="D500" t="s">
        <v>1314</v>
      </c>
      <c r="E500" t="str">
        <f t="shared" si="7"/>
        <v>Sulpak2100091939</v>
      </c>
    </row>
    <row r="501" spans="1:5" x14ac:dyDescent="0.3">
      <c r="A501" t="s">
        <v>446</v>
      </c>
      <c r="B501">
        <v>9100040502</v>
      </c>
      <c r="C501" t="s">
        <v>1315</v>
      </c>
      <c r="D501" t="s">
        <v>1316</v>
      </c>
      <c r="E501" t="str">
        <f t="shared" si="7"/>
        <v>Sulpak9100040502</v>
      </c>
    </row>
    <row r="502" spans="1:5" x14ac:dyDescent="0.3">
      <c r="A502" t="s">
        <v>446</v>
      </c>
      <c r="B502">
        <v>9100040503</v>
      </c>
      <c r="C502" t="s">
        <v>1317</v>
      </c>
      <c r="D502" t="s">
        <v>1318</v>
      </c>
      <c r="E502" t="str">
        <f t="shared" si="7"/>
        <v>Sulpak9100040503</v>
      </c>
    </row>
    <row r="503" spans="1:5" x14ac:dyDescent="0.3">
      <c r="A503" t="s">
        <v>446</v>
      </c>
      <c r="B503">
        <v>9100040504</v>
      </c>
      <c r="C503" t="s">
        <v>1319</v>
      </c>
      <c r="D503" t="s">
        <v>1320</v>
      </c>
      <c r="E503" t="str">
        <f t="shared" si="7"/>
        <v>Sulpak9100040504</v>
      </c>
    </row>
    <row r="504" spans="1:5" x14ac:dyDescent="0.3">
      <c r="A504" t="s">
        <v>446</v>
      </c>
      <c r="B504">
        <v>2100115982</v>
      </c>
      <c r="C504" t="s">
        <v>85</v>
      </c>
      <c r="D504" t="s">
        <v>333</v>
      </c>
      <c r="E504" t="str">
        <f t="shared" si="7"/>
        <v>Sulpak2100115982</v>
      </c>
    </row>
    <row r="505" spans="1:5" x14ac:dyDescent="0.3">
      <c r="A505" t="s">
        <v>446</v>
      </c>
      <c r="B505">
        <v>2100118829</v>
      </c>
      <c r="C505" t="s">
        <v>427</v>
      </c>
      <c r="D505" t="s">
        <v>1321</v>
      </c>
      <c r="E505" t="str">
        <f t="shared" si="7"/>
        <v>Sulpak2100118829</v>
      </c>
    </row>
    <row r="506" spans="1:5" x14ac:dyDescent="0.3">
      <c r="A506" t="s">
        <v>446</v>
      </c>
      <c r="B506">
        <v>2100120954</v>
      </c>
      <c r="C506" t="s">
        <v>1322</v>
      </c>
      <c r="D506" t="s">
        <v>1323</v>
      </c>
      <c r="E506" t="str">
        <f t="shared" si="7"/>
        <v>Sulpak2100120954</v>
      </c>
    </row>
    <row r="507" spans="1:5" x14ac:dyDescent="0.3">
      <c r="A507" t="s">
        <v>446</v>
      </c>
      <c r="B507">
        <v>2211400823</v>
      </c>
      <c r="C507" t="s">
        <v>1324</v>
      </c>
      <c r="D507" t="s">
        <v>1325</v>
      </c>
      <c r="E507" t="str">
        <f t="shared" si="7"/>
        <v>Sulpak2211400823</v>
      </c>
    </row>
    <row r="508" spans="1:5" x14ac:dyDescent="0.3">
      <c r="A508" t="s">
        <v>446</v>
      </c>
      <c r="B508">
        <v>8010000023</v>
      </c>
      <c r="C508" t="s">
        <v>1326</v>
      </c>
      <c r="D508" t="s">
        <v>1327</v>
      </c>
      <c r="E508" t="str">
        <f t="shared" si="7"/>
        <v>Sulpak8010000023</v>
      </c>
    </row>
    <row r="509" spans="1:5" x14ac:dyDescent="0.3">
      <c r="A509" t="s">
        <v>446</v>
      </c>
      <c r="B509">
        <v>8010000433</v>
      </c>
      <c r="C509" t="s">
        <v>1328</v>
      </c>
      <c r="D509" t="s">
        <v>1329</v>
      </c>
      <c r="E509" t="str">
        <f t="shared" si="7"/>
        <v>Sulpak8010000433</v>
      </c>
    </row>
    <row r="510" spans="1:5" x14ac:dyDescent="0.3">
      <c r="A510" t="s">
        <v>446</v>
      </c>
      <c r="B510">
        <v>1510001881</v>
      </c>
      <c r="C510" t="s">
        <v>1330</v>
      </c>
      <c r="D510" t="s">
        <v>1331</v>
      </c>
      <c r="E510" t="str">
        <f t="shared" si="7"/>
        <v>Sulpak1510001881</v>
      </c>
    </row>
    <row r="511" spans="1:5" x14ac:dyDescent="0.3">
      <c r="A511" t="s">
        <v>446</v>
      </c>
      <c r="B511">
        <v>7211002177</v>
      </c>
      <c r="C511" t="s">
        <v>1332</v>
      </c>
      <c r="D511" t="s">
        <v>1333</v>
      </c>
      <c r="E511" t="str">
        <f t="shared" si="7"/>
        <v>Sulpak7211002177</v>
      </c>
    </row>
    <row r="512" spans="1:5" x14ac:dyDescent="0.3">
      <c r="A512" t="s">
        <v>446</v>
      </c>
      <c r="B512">
        <v>7211003925</v>
      </c>
      <c r="C512" t="s">
        <v>59</v>
      </c>
      <c r="D512" t="s">
        <v>1334</v>
      </c>
      <c r="E512" t="str">
        <f t="shared" si="7"/>
        <v>Sulpak7211003925</v>
      </c>
    </row>
    <row r="513" spans="1:5" x14ac:dyDescent="0.3">
      <c r="A513" t="s">
        <v>446</v>
      </c>
      <c r="B513">
        <v>7211004046</v>
      </c>
      <c r="C513" t="s">
        <v>1335</v>
      </c>
      <c r="D513" t="s">
        <v>1336</v>
      </c>
      <c r="E513" t="str">
        <f t="shared" si="7"/>
        <v>Sulpak7211004046</v>
      </c>
    </row>
    <row r="514" spans="1:5" x14ac:dyDescent="0.3">
      <c r="A514" t="s">
        <v>446</v>
      </c>
      <c r="B514">
        <v>7211002825</v>
      </c>
      <c r="C514" t="s">
        <v>1337</v>
      </c>
      <c r="D514" t="s">
        <v>1338</v>
      </c>
      <c r="E514" t="str">
        <f t="shared" si="7"/>
        <v>Sulpak7211002825</v>
      </c>
    </row>
    <row r="515" spans="1:5" x14ac:dyDescent="0.3">
      <c r="A515" t="s">
        <v>446</v>
      </c>
      <c r="B515">
        <v>8010000134</v>
      </c>
      <c r="C515" t="s">
        <v>1339</v>
      </c>
      <c r="D515" t="s">
        <v>1340</v>
      </c>
      <c r="E515" t="str">
        <f t="shared" ref="E515:E578" si="8">A515&amp;B515</f>
        <v>Sulpak8010000134</v>
      </c>
    </row>
    <row r="516" spans="1:5" x14ac:dyDescent="0.3">
      <c r="A516" t="s">
        <v>446</v>
      </c>
      <c r="B516">
        <v>1500868891</v>
      </c>
      <c r="C516" t="s">
        <v>1341</v>
      </c>
      <c r="D516" t="s">
        <v>1342</v>
      </c>
      <c r="E516" t="str">
        <f t="shared" si="8"/>
        <v>Sulpak1500868891</v>
      </c>
    </row>
    <row r="517" spans="1:5" x14ac:dyDescent="0.3">
      <c r="A517" t="s">
        <v>446</v>
      </c>
      <c r="B517">
        <v>1500868890</v>
      </c>
      <c r="C517" t="s">
        <v>1343</v>
      </c>
      <c r="D517" t="s">
        <v>1344</v>
      </c>
      <c r="E517" t="str">
        <f t="shared" si="8"/>
        <v>Sulpak1500868890</v>
      </c>
    </row>
    <row r="518" spans="1:5" x14ac:dyDescent="0.3">
      <c r="A518" t="s">
        <v>446</v>
      </c>
      <c r="B518">
        <v>7211003314</v>
      </c>
      <c r="C518" t="s">
        <v>1345</v>
      </c>
      <c r="D518" t="s">
        <v>1346</v>
      </c>
      <c r="E518" t="str">
        <f t="shared" si="8"/>
        <v>Sulpak7211003314</v>
      </c>
    </row>
    <row r="519" spans="1:5" x14ac:dyDescent="0.3">
      <c r="A519" t="s">
        <v>446</v>
      </c>
      <c r="B519">
        <v>1830008199</v>
      </c>
      <c r="C519" t="s">
        <v>1347</v>
      </c>
      <c r="D519" t="s">
        <v>1348</v>
      </c>
      <c r="E519" t="str">
        <f t="shared" si="8"/>
        <v>Sulpak1830008199</v>
      </c>
    </row>
    <row r="520" spans="1:5" x14ac:dyDescent="0.3">
      <c r="A520" t="s">
        <v>446</v>
      </c>
      <c r="B520">
        <v>1830008200</v>
      </c>
      <c r="C520" t="s">
        <v>1349</v>
      </c>
      <c r="D520" t="s">
        <v>1350</v>
      </c>
      <c r="E520" t="str">
        <f t="shared" si="8"/>
        <v>Sulpak1830008200</v>
      </c>
    </row>
    <row r="521" spans="1:5" x14ac:dyDescent="0.3">
      <c r="A521" t="s">
        <v>446</v>
      </c>
      <c r="B521">
        <v>1830008195</v>
      </c>
      <c r="C521" t="s">
        <v>1351</v>
      </c>
      <c r="D521" t="s">
        <v>1352</v>
      </c>
      <c r="E521" t="str">
        <f t="shared" si="8"/>
        <v>Sulpak1830008195</v>
      </c>
    </row>
    <row r="522" spans="1:5" x14ac:dyDescent="0.3">
      <c r="A522" t="s">
        <v>446</v>
      </c>
      <c r="B522">
        <v>1830008191</v>
      </c>
      <c r="C522" t="s">
        <v>1353</v>
      </c>
      <c r="D522" t="s">
        <v>1354</v>
      </c>
      <c r="E522" t="str">
        <f t="shared" si="8"/>
        <v>Sulpak1830008191</v>
      </c>
    </row>
    <row r="523" spans="1:5" x14ac:dyDescent="0.3">
      <c r="A523" t="s">
        <v>446</v>
      </c>
      <c r="B523">
        <v>1830008194</v>
      </c>
      <c r="C523" t="s">
        <v>1355</v>
      </c>
      <c r="D523" t="s">
        <v>1356</v>
      </c>
      <c r="E523" t="str">
        <f t="shared" si="8"/>
        <v>Sulpak1830008194</v>
      </c>
    </row>
    <row r="524" spans="1:5" x14ac:dyDescent="0.3">
      <c r="A524" t="s">
        <v>446</v>
      </c>
      <c r="B524">
        <v>1830008220</v>
      </c>
      <c r="C524" t="s">
        <v>1357</v>
      </c>
      <c r="D524" t="s">
        <v>1358</v>
      </c>
      <c r="E524" t="str">
        <f t="shared" si="8"/>
        <v>Sulpak1830008220</v>
      </c>
    </row>
    <row r="525" spans="1:5" x14ac:dyDescent="0.3">
      <c r="A525" t="s">
        <v>446</v>
      </c>
      <c r="B525">
        <v>1830008192</v>
      </c>
      <c r="C525" t="s">
        <v>1359</v>
      </c>
      <c r="D525" t="s">
        <v>1360</v>
      </c>
      <c r="E525" t="str">
        <f t="shared" si="8"/>
        <v>Sulpak1830008192</v>
      </c>
    </row>
    <row r="526" spans="1:5" x14ac:dyDescent="0.3">
      <c r="A526" t="s">
        <v>446</v>
      </c>
      <c r="B526">
        <v>1830008193</v>
      </c>
      <c r="C526" t="s">
        <v>1361</v>
      </c>
      <c r="D526" t="s">
        <v>1362</v>
      </c>
      <c r="E526" t="str">
        <f t="shared" si="8"/>
        <v>Sulpak1830008193</v>
      </c>
    </row>
    <row r="527" spans="1:5" x14ac:dyDescent="0.3">
      <c r="A527" t="s">
        <v>446</v>
      </c>
      <c r="B527">
        <v>1830006272</v>
      </c>
      <c r="C527" t="s">
        <v>1363</v>
      </c>
      <c r="D527" t="s">
        <v>1364</v>
      </c>
      <c r="E527" t="str">
        <f t="shared" si="8"/>
        <v>Sulpak1830006272</v>
      </c>
    </row>
    <row r="528" spans="1:5" x14ac:dyDescent="0.3">
      <c r="A528" t="s">
        <v>446</v>
      </c>
      <c r="B528">
        <v>7211003820</v>
      </c>
      <c r="C528" t="s">
        <v>121</v>
      </c>
      <c r="D528" t="s">
        <v>322</v>
      </c>
      <c r="E528" t="str">
        <f t="shared" si="8"/>
        <v>Sulpak7211003820</v>
      </c>
    </row>
    <row r="529" spans="1:5" x14ac:dyDescent="0.3">
      <c r="A529" t="s">
        <v>446</v>
      </c>
      <c r="B529">
        <v>8000035621</v>
      </c>
      <c r="C529" t="s">
        <v>1365</v>
      </c>
      <c r="D529" t="s">
        <v>1366</v>
      </c>
      <c r="E529" t="str">
        <f t="shared" si="8"/>
        <v>Sulpak8000035621</v>
      </c>
    </row>
    <row r="530" spans="1:5" x14ac:dyDescent="0.3">
      <c r="A530" t="s">
        <v>446</v>
      </c>
      <c r="B530">
        <v>8010000213</v>
      </c>
      <c r="C530" t="s">
        <v>1367</v>
      </c>
      <c r="D530" t="s">
        <v>1368</v>
      </c>
      <c r="E530" t="str">
        <f t="shared" si="8"/>
        <v>Sulpak8010000213</v>
      </c>
    </row>
    <row r="531" spans="1:5" x14ac:dyDescent="0.3">
      <c r="A531" t="s">
        <v>446</v>
      </c>
      <c r="B531">
        <v>1830008006</v>
      </c>
      <c r="C531" t="s">
        <v>1369</v>
      </c>
      <c r="D531" t="s">
        <v>1370</v>
      </c>
      <c r="E531" t="str">
        <f t="shared" si="8"/>
        <v>Sulpak1830008006</v>
      </c>
    </row>
    <row r="532" spans="1:5" x14ac:dyDescent="0.3">
      <c r="A532" t="s">
        <v>446</v>
      </c>
      <c r="B532">
        <v>1830007977</v>
      </c>
      <c r="C532" t="s">
        <v>1371</v>
      </c>
      <c r="D532" t="s">
        <v>1372</v>
      </c>
      <c r="E532" t="str">
        <f t="shared" si="8"/>
        <v>Sulpak1830007977</v>
      </c>
    </row>
    <row r="533" spans="1:5" x14ac:dyDescent="0.3">
      <c r="A533" t="s">
        <v>446</v>
      </c>
      <c r="B533">
        <v>1500635821</v>
      </c>
      <c r="C533" t="s">
        <v>1373</v>
      </c>
      <c r="D533" t="s">
        <v>1374</v>
      </c>
      <c r="E533" t="str">
        <f t="shared" si="8"/>
        <v>Sulpak1500635821</v>
      </c>
    </row>
    <row r="534" spans="1:5" x14ac:dyDescent="0.3">
      <c r="A534" t="s">
        <v>446</v>
      </c>
      <c r="B534">
        <v>8000036023</v>
      </c>
      <c r="C534" t="s">
        <v>57</v>
      </c>
      <c r="D534" t="s">
        <v>1375</v>
      </c>
      <c r="E534" t="str">
        <f t="shared" si="8"/>
        <v>Sulpak8000036023</v>
      </c>
    </row>
    <row r="535" spans="1:5" x14ac:dyDescent="0.3">
      <c r="A535" t="s">
        <v>446</v>
      </c>
      <c r="B535">
        <v>7211004030</v>
      </c>
      <c r="C535" t="s">
        <v>56</v>
      </c>
      <c r="D535" t="s">
        <v>1376</v>
      </c>
      <c r="E535" t="str">
        <f t="shared" si="8"/>
        <v>Sulpak7211004030</v>
      </c>
    </row>
    <row r="536" spans="1:5" x14ac:dyDescent="0.3">
      <c r="A536" t="s">
        <v>446</v>
      </c>
      <c r="B536">
        <v>7211004072</v>
      </c>
      <c r="C536" t="s">
        <v>1377</v>
      </c>
      <c r="D536" t="s">
        <v>1378</v>
      </c>
      <c r="E536" t="str">
        <f t="shared" si="8"/>
        <v>Sulpak7211004072</v>
      </c>
    </row>
    <row r="537" spans="1:5" x14ac:dyDescent="0.3">
      <c r="A537" t="s">
        <v>446</v>
      </c>
      <c r="B537">
        <v>7211001357</v>
      </c>
      <c r="C537" t="s">
        <v>1379</v>
      </c>
      <c r="D537" t="s">
        <v>1380</v>
      </c>
      <c r="E537" t="str">
        <f t="shared" si="8"/>
        <v>Sulpak7211001357</v>
      </c>
    </row>
    <row r="538" spans="1:5" x14ac:dyDescent="0.3">
      <c r="A538" t="s">
        <v>446</v>
      </c>
      <c r="B538">
        <v>7211004366</v>
      </c>
      <c r="C538" t="s">
        <v>1381</v>
      </c>
      <c r="D538" t="s">
        <v>1382</v>
      </c>
      <c r="E538" t="str">
        <f t="shared" si="8"/>
        <v>Sulpak7211004366</v>
      </c>
    </row>
    <row r="539" spans="1:5" x14ac:dyDescent="0.3">
      <c r="A539" t="s">
        <v>446</v>
      </c>
      <c r="B539">
        <v>1830008227</v>
      </c>
      <c r="C539" t="s">
        <v>10</v>
      </c>
      <c r="D539" t="s">
        <v>287</v>
      </c>
      <c r="E539" t="str">
        <f t="shared" si="8"/>
        <v>Sulpak1830008227</v>
      </c>
    </row>
    <row r="540" spans="1:5" x14ac:dyDescent="0.3">
      <c r="A540" t="s">
        <v>446</v>
      </c>
      <c r="B540">
        <v>1830007909</v>
      </c>
      <c r="C540" t="s">
        <v>1383</v>
      </c>
      <c r="D540" t="s">
        <v>1384</v>
      </c>
      <c r="E540" t="str">
        <f t="shared" si="8"/>
        <v>Sulpak1830007909</v>
      </c>
    </row>
    <row r="541" spans="1:5" x14ac:dyDescent="0.3">
      <c r="A541" t="s">
        <v>446</v>
      </c>
      <c r="B541">
        <v>2211400647</v>
      </c>
      <c r="C541" t="s">
        <v>1385</v>
      </c>
      <c r="D541" t="s">
        <v>1386</v>
      </c>
      <c r="E541" t="str">
        <f t="shared" si="8"/>
        <v>Sulpak2211400647</v>
      </c>
    </row>
    <row r="542" spans="1:5" x14ac:dyDescent="0.3">
      <c r="A542" t="s">
        <v>446</v>
      </c>
      <c r="B542">
        <v>2211400650</v>
      </c>
      <c r="C542" t="s">
        <v>431</v>
      </c>
      <c r="D542" t="s">
        <v>1387</v>
      </c>
      <c r="E542" t="str">
        <f t="shared" si="8"/>
        <v>Sulpak2211400650</v>
      </c>
    </row>
    <row r="543" spans="1:5" x14ac:dyDescent="0.3">
      <c r="A543" t="s">
        <v>446</v>
      </c>
      <c r="B543">
        <v>1830005680</v>
      </c>
      <c r="C543" t="s">
        <v>1388</v>
      </c>
      <c r="D543" t="s">
        <v>1389</v>
      </c>
      <c r="E543" t="str">
        <f t="shared" si="8"/>
        <v>Sulpak1830005680</v>
      </c>
    </row>
    <row r="544" spans="1:5" x14ac:dyDescent="0.3">
      <c r="A544" t="s">
        <v>446</v>
      </c>
      <c r="B544">
        <v>1830006976</v>
      </c>
      <c r="C544" t="s">
        <v>1390</v>
      </c>
      <c r="D544" t="s">
        <v>1391</v>
      </c>
      <c r="E544" t="str">
        <f t="shared" si="8"/>
        <v>Sulpak1830006976</v>
      </c>
    </row>
    <row r="545" spans="1:5" x14ac:dyDescent="0.3">
      <c r="A545" t="s">
        <v>446</v>
      </c>
      <c r="B545">
        <v>1830008061</v>
      </c>
      <c r="C545" t="s">
        <v>1392</v>
      </c>
      <c r="D545" t="s">
        <v>1393</v>
      </c>
      <c r="E545" t="str">
        <f t="shared" si="8"/>
        <v>Sulpak1830008061</v>
      </c>
    </row>
    <row r="546" spans="1:5" x14ac:dyDescent="0.3">
      <c r="A546" t="s">
        <v>446</v>
      </c>
      <c r="B546">
        <v>1830007946</v>
      </c>
      <c r="C546" t="s">
        <v>1394</v>
      </c>
      <c r="D546" t="s">
        <v>1395</v>
      </c>
      <c r="E546" t="str">
        <f t="shared" si="8"/>
        <v>Sulpak1830007946</v>
      </c>
    </row>
    <row r="547" spans="1:5" x14ac:dyDescent="0.3">
      <c r="A547" t="s">
        <v>446</v>
      </c>
      <c r="B547">
        <v>1830008182</v>
      </c>
      <c r="C547" t="s">
        <v>1396</v>
      </c>
      <c r="D547" t="s">
        <v>1397</v>
      </c>
      <c r="E547" t="str">
        <f t="shared" si="8"/>
        <v>Sulpak1830008182</v>
      </c>
    </row>
    <row r="548" spans="1:5" x14ac:dyDescent="0.3">
      <c r="A548" t="s">
        <v>446</v>
      </c>
      <c r="B548">
        <v>1830008158</v>
      </c>
      <c r="C548" t="s">
        <v>1398</v>
      </c>
      <c r="D548" t="s">
        <v>1399</v>
      </c>
      <c r="E548" t="str">
        <f t="shared" si="8"/>
        <v>Sulpak1830008158</v>
      </c>
    </row>
    <row r="549" spans="1:5" x14ac:dyDescent="0.3">
      <c r="A549" t="s">
        <v>446</v>
      </c>
      <c r="B549">
        <v>1830008137</v>
      </c>
      <c r="C549" t="s">
        <v>1400</v>
      </c>
      <c r="D549" t="s">
        <v>1401</v>
      </c>
      <c r="E549" t="str">
        <f t="shared" si="8"/>
        <v>Sulpak1830008137</v>
      </c>
    </row>
    <row r="550" spans="1:5" x14ac:dyDescent="0.3">
      <c r="A550" t="s">
        <v>446</v>
      </c>
      <c r="B550">
        <v>1830007687</v>
      </c>
      <c r="C550" t="s">
        <v>1402</v>
      </c>
      <c r="D550" t="s">
        <v>1403</v>
      </c>
      <c r="E550" t="str">
        <f t="shared" si="8"/>
        <v>Sulpak1830007687</v>
      </c>
    </row>
    <row r="551" spans="1:5" x14ac:dyDescent="0.3">
      <c r="A551" t="s">
        <v>446</v>
      </c>
      <c r="B551">
        <v>4100000681</v>
      </c>
      <c r="C551" t="s">
        <v>1404</v>
      </c>
      <c r="D551" t="s">
        <v>1405</v>
      </c>
      <c r="E551" t="str">
        <f t="shared" si="8"/>
        <v>Sulpak4100000681</v>
      </c>
    </row>
    <row r="552" spans="1:5" x14ac:dyDescent="0.3">
      <c r="A552" t="s">
        <v>446</v>
      </c>
      <c r="B552">
        <v>4100000622</v>
      </c>
      <c r="C552" t="s">
        <v>1406</v>
      </c>
      <c r="D552" t="s">
        <v>1407</v>
      </c>
      <c r="E552" t="str">
        <f t="shared" si="8"/>
        <v>Sulpak4100000622</v>
      </c>
    </row>
    <row r="553" spans="1:5" x14ac:dyDescent="0.3">
      <c r="A553" t="s">
        <v>446</v>
      </c>
      <c r="B553">
        <v>1830008185</v>
      </c>
      <c r="C553" t="s">
        <v>357</v>
      </c>
      <c r="D553" t="s">
        <v>1408</v>
      </c>
      <c r="E553" t="str">
        <f t="shared" si="8"/>
        <v>Sulpak1830008185</v>
      </c>
    </row>
    <row r="554" spans="1:5" x14ac:dyDescent="0.3">
      <c r="A554" t="s">
        <v>446</v>
      </c>
      <c r="B554">
        <v>1830008187</v>
      </c>
      <c r="C554" t="s">
        <v>1409</v>
      </c>
      <c r="D554" t="s">
        <v>1410</v>
      </c>
      <c r="E554" t="str">
        <f t="shared" si="8"/>
        <v>Sulpak1830008187</v>
      </c>
    </row>
    <row r="555" spans="1:5" x14ac:dyDescent="0.3">
      <c r="A555" t="s">
        <v>446</v>
      </c>
      <c r="B555">
        <v>1830007558</v>
      </c>
      <c r="C555" t="s">
        <v>1411</v>
      </c>
      <c r="D555" t="s">
        <v>1412</v>
      </c>
      <c r="E555" t="str">
        <f t="shared" si="8"/>
        <v>Sulpak1830007558</v>
      </c>
    </row>
    <row r="556" spans="1:5" x14ac:dyDescent="0.3">
      <c r="A556" t="s">
        <v>446</v>
      </c>
      <c r="B556">
        <v>1830007557</v>
      </c>
      <c r="C556" t="s">
        <v>1413</v>
      </c>
      <c r="D556" t="s">
        <v>1414</v>
      </c>
      <c r="E556" t="str">
        <f t="shared" si="8"/>
        <v>Sulpak1830007557</v>
      </c>
    </row>
    <row r="557" spans="1:5" x14ac:dyDescent="0.3">
      <c r="A557" t="s">
        <v>446</v>
      </c>
      <c r="B557">
        <v>1830006536</v>
      </c>
      <c r="C557" t="s">
        <v>1415</v>
      </c>
      <c r="D557" t="s">
        <v>1416</v>
      </c>
      <c r="E557" t="str">
        <f t="shared" si="8"/>
        <v>Sulpak1830006536</v>
      </c>
    </row>
    <row r="558" spans="1:5" x14ac:dyDescent="0.3">
      <c r="A558" t="s">
        <v>446</v>
      </c>
      <c r="B558">
        <v>1830006595</v>
      </c>
      <c r="C558" t="s">
        <v>1417</v>
      </c>
      <c r="D558" t="s">
        <v>1418</v>
      </c>
      <c r="E558" t="str">
        <f t="shared" si="8"/>
        <v>Sulpak1830006595</v>
      </c>
    </row>
    <row r="559" spans="1:5" x14ac:dyDescent="0.3">
      <c r="A559" t="s">
        <v>446</v>
      </c>
      <c r="B559">
        <v>1830007804</v>
      </c>
      <c r="C559" t="s">
        <v>1419</v>
      </c>
      <c r="D559" t="s">
        <v>1420</v>
      </c>
      <c r="E559" t="str">
        <f t="shared" si="8"/>
        <v>Sulpak1830007804</v>
      </c>
    </row>
    <row r="560" spans="1:5" x14ac:dyDescent="0.3">
      <c r="A560" t="s">
        <v>446</v>
      </c>
      <c r="B560">
        <v>1830007622</v>
      </c>
      <c r="C560" t="s">
        <v>1421</v>
      </c>
      <c r="D560" t="s">
        <v>1422</v>
      </c>
      <c r="E560" t="str">
        <f t="shared" si="8"/>
        <v>Sulpak1830007622</v>
      </c>
    </row>
    <row r="561" spans="1:5" x14ac:dyDescent="0.3">
      <c r="A561" t="s">
        <v>446</v>
      </c>
      <c r="B561">
        <v>2211400967</v>
      </c>
      <c r="C561" t="s">
        <v>360</v>
      </c>
      <c r="D561" t="s">
        <v>1423</v>
      </c>
      <c r="E561" t="str">
        <f t="shared" si="8"/>
        <v>Sulpak2211400967</v>
      </c>
    </row>
    <row r="562" spans="1:5" x14ac:dyDescent="0.3">
      <c r="A562" t="s">
        <v>446</v>
      </c>
      <c r="B562">
        <v>2211400968</v>
      </c>
      <c r="C562" t="s">
        <v>361</v>
      </c>
      <c r="D562" t="s">
        <v>1424</v>
      </c>
      <c r="E562" t="str">
        <f t="shared" si="8"/>
        <v>Sulpak2211400968</v>
      </c>
    </row>
    <row r="563" spans="1:5" x14ac:dyDescent="0.3">
      <c r="A563" t="s">
        <v>446</v>
      </c>
      <c r="B563">
        <v>2211400962</v>
      </c>
      <c r="C563" t="s">
        <v>1425</v>
      </c>
      <c r="D563" t="s">
        <v>1426</v>
      </c>
      <c r="E563" t="str">
        <f t="shared" si="8"/>
        <v>Sulpak2211400962</v>
      </c>
    </row>
    <row r="564" spans="1:5" x14ac:dyDescent="0.3">
      <c r="A564" t="s">
        <v>446</v>
      </c>
      <c r="B564">
        <v>2211401038</v>
      </c>
      <c r="C564" t="s">
        <v>32</v>
      </c>
      <c r="D564" t="s">
        <v>300</v>
      </c>
      <c r="E564" t="str">
        <f t="shared" si="8"/>
        <v>Sulpak2211401038</v>
      </c>
    </row>
    <row r="565" spans="1:5" x14ac:dyDescent="0.3">
      <c r="A565" t="s">
        <v>446</v>
      </c>
      <c r="B565">
        <v>1830008184</v>
      </c>
      <c r="C565" t="s">
        <v>1427</v>
      </c>
      <c r="D565" t="s">
        <v>1428</v>
      </c>
      <c r="E565" t="str">
        <f t="shared" si="8"/>
        <v>Sulpak1830008184</v>
      </c>
    </row>
    <row r="566" spans="1:5" x14ac:dyDescent="0.3">
      <c r="A566" t="s">
        <v>446</v>
      </c>
      <c r="B566">
        <v>1830008267</v>
      </c>
      <c r="C566" t="s">
        <v>1429</v>
      </c>
      <c r="D566" t="s">
        <v>1430</v>
      </c>
      <c r="E566" t="str">
        <f t="shared" si="8"/>
        <v>Sulpak1830008267</v>
      </c>
    </row>
    <row r="567" spans="1:5" x14ac:dyDescent="0.3">
      <c r="A567" t="s">
        <v>446</v>
      </c>
      <c r="B567">
        <v>1830008239</v>
      </c>
      <c r="C567" t="s">
        <v>408</v>
      </c>
      <c r="D567" t="s">
        <v>1431</v>
      </c>
      <c r="E567" t="str">
        <f t="shared" si="8"/>
        <v>Sulpak1830008239</v>
      </c>
    </row>
    <row r="568" spans="1:5" x14ac:dyDescent="0.3">
      <c r="A568" t="s">
        <v>446</v>
      </c>
      <c r="B568">
        <v>1830008144</v>
      </c>
      <c r="C568" t="s">
        <v>97</v>
      </c>
      <c r="D568" t="s">
        <v>343</v>
      </c>
      <c r="E568" t="str">
        <f t="shared" si="8"/>
        <v>Sulpak1830008144</v>
      </c>
    </row>
    <row r="569" spans="1:5" x14ac:dyDescent="0.3">
      <c r="A569" t="s">
        <v>446</v>
      </c>
      <c r="B569">
        <v>7211004327</v>
      </c>
      <c r="C569" t="s">
        <v>1432</v>
      </c>
      <c r="D569" t="s">
        <v>1433</v>
      </c>
      <c r="E569" t="str">
        <f t="shared" si="8"/>
        <v>Sulpak7211004327</v>
      </c>
    </row>
    <row r="570" spans="1:5" x14ac:dyDescent="0.3">
      <c r="A570" t="s">
        <v>446</v>
      </c>
      <c r="B570">
        <v>8010000985</v>
      </c>
      <c r="C570" t="s">
        <v>76</v>
      </c>
      <c r="D570" t="s">
        <v>378</v>
      </c>
      <c r="E570" t="str">
        <f t="shared" si="8"/>
        <v>Sulpak8010000985</v>
      </c>
    </row>
    <row r="571" spans="1:5" x14ac:dyDescent="0.3">
      <c r="A571" t="s">
        <v>446</v>
      </c>
      <c r="B571">
        <v>8010000805</v>
      </c>
      <c r="C571" t="s">
        <v>77</v>
      </c>
      <c r="D571" t="s">
        <v>325</v>
      </c>
      <c r="E571" t="str">
        <f t="shared" si="8"/>
        <v>Sulpak8010000805</v>
      </c>
    </row>
    <row r="572" spans="1:5" x14ac:dyDescent="0.3">
      <c r="A572" t="s">
        <v>446</v>
      </c>
      <c r="B572">
        <v>1830008264</v>
      </c>
      <c r="C572" t="s">
        <v>14</v>
      </c>
      <c r="D572" t="s">
        <v>289</v>
      </c>
      <c r="E572" t="str">
        <f t="shared" si="8"/>
        <v>Sulpak1830008264</v>
      </c>
    </row>
    <row r="573" spans="1:5" x14ac:dyDescent="0.3">
      <c r="A573" t="s">
        <v>446</v>
      </c>
      <c r="B573">
        <v>1830008233</v>
      </c>
      <c r="C573" t="s">
        <v>13</v>
      </c>
      <c r="D573" t="s">
        <v>1434</v>
      </c>
      <c r="E573" t="str">
        <f t="shared" si="8"/>
        <v>Sulpak1830008233</v>
      </c>
    </row>
    <row r="574" spans="1:5" x14ac:dyDescent="0.3">
      <c r="A574" t="s">
        <v>446</v>
      </c>
      <c r="B574">
        <v>1830008265</v>
      </c>
      <c r="C574" t="s">
        <v>12</v>
      </c>
      <c r="D574" t="s">
        <v>288</v>
      </c>
      <c r="E574" t="str">
        <f t="shared" si="8"/>
        <v>Sulpak1830008265</v>
      </c>
    </row>
    <row r="575" spans="1:5" x14ac:dyDescent="0.3">
      <c r="A575" t="s">
        <v>446</v>
      </c>
      <c r="B575">
        <v>1830008290</v>
      </c>
      <c r="C575" t="s">
        <v>15</v>
      </c>
      <c r="D575" t="s">
        <v>1435</v>
      </c>
      <c r="E575" t="str">
        <f t="shared" si="8"/>
        <v>Sulpak1830008290</v>
      </c>
    </row>
    <row r="576" spans="1:5" x14ac:dyDescent="0.3">
      <c r="A576" t="s">
        <v>446</v>
      </c>
      <c r="B576">
        <v>1830007933</v>
      </c>
      <c r="C576" t="s">
        <v>98</v>
      </c>
      <c r="D576" t="s">
        <v>345</v>
      </c>
      <c r="E576" t="str">
        <f t="shared" si="8"/>
        <v>Sulpak1830007933</v>
      </c>
    </row>
    <row r="577" spans="1:5" x14ac:dyDescent="0.3">
      <c r="A577" t="s">
        <v>446</v>
      </c>
      <c r="B577">
        <v>7211003983</v>
      </c>
      <c r="C577" t="s">
        <v>1436</v>
      </c>
      <c r="D577" t="s">
        <v>1437</v>
      </c>
      <c r="E577" t="str">
        <f t="shared" si="8"/>
        <v>Sulpak7211003983</v>
      </c>
    </row>
    <row r="578" spans="1:5" x14ac:dyDescent="0.3">
      <c r="A578" t="s">
        <v>446</v>
      </c>
      <c r="B578">
        <v>1830007919</v>
      </c>
      <c r="C578" t="s">
        <v>422</v>
      </c>
      <c r="D578" t="s">
        <v>1438</v>
      </c>
      <c r="E578" t="str">
        <f t="shared" si="8"/>
        <v>Sulpak1830007919</v>
      </c>
    </row>
    <row r="579" spans="1:5" x14ac:dyDescent="0.3">
      <c r="A579" t="s">
        <v>446</v>
      </c>
      <c r="B579">
        <v>1830008216</v>
      </c>
      <c r="C579" t="s">
        <v>1439</v>
      </c>
      <c r="D579" t="s">
        <v>1440</v>
      </c>
      <c r="E579" t="str">
        <f t="shared" ref="E579:E642" si="9">A579&amp;B579</f>
        <v>Sulpak1830008216</v>
      </c>
    </row>
    <row r="580" spans="1:5" x14ac:dyDescent="0.3">
      <c r="A580" t="s">
        <v>446</v>
      </c>
      <c r="B580">
        <v>1830008176</v>
      </c>
      <c r="C580" t="s">
        <v>8</v>
      </c>
      <c r="D580" t="s">
        <v>286</v>
      </c>
      <c r="E580" t="str">
        <f t="shared" si="9"/>
        <v>Sulpak1830008176</v>
      </c>
    </row>
    <row r="581" spans="1:5" x14ac:dyDescent="0.3">
      <c r="A581" t="s">
        <v>446</v>
      </c>
      <c r="B581">
        <v>2100057706</v>
      </c>
      <c r="C581" t="s">
        <v>1441</v>
      </c>
      <c r="D581" t="s">
        <v>1442</v>
      </c>
      <c r="E581" t="str">
        <f t="shared" si="9"/>
        <v>Sulpak2100057706</v>
      </c>
    </row>
    <row r="582" spans="1:5" x14ac:dyDescent="0.3">
      <c r="A582" t="s">
        <v>446</v>
      </c>
      <c r="B582">
        <v>2100057705</v>
      </c>
      <c r="C582" t="s">
        <v>1443</v>
      </c>
      <c r="D582" t="s">
        <v>1444</v>
      </c>
      <c r="E582" t="str">
        <f t="shared" si="9"/>
        <v>Sulpak2100057705</v>
      </c>
    </row>
    <row r="583" spans="1:5" x14ac:dyDescent="0.3">
      <c r="A583" t="s">
        <v>446</v>
      </c>
      <c r="B583">
        <v>2100058869</v>
      </c>
      <c r="C583" t="s">
        <v>1445</v>
      </c>
      <c r="D583" t="s">
        <v>1446</v>
      </c>
      <c r="E583" t="str">
        <f t="shared" si="9"/>
        <v>Sulpak2100058869</v>
      </c>
    </row>
    <row r="584" spans="1:5" x14ac:dyDescent="0.3">
      <c r="A584" t="s">
        <v>446</v>
      </c>
      <c r="B584">
        <v>2100069900</v>
      </c>
      <c r="C584" t="s">
        <v>1447</v>
      </c>
      <c r="D584" t="s">
        <v>1448</v>
      </c>
      <c r="E584" t="str">
        <f t="shared" si="9"/>
        <v>Sulpak2100069900</v>
      </c>
    </row>
    <row r="585" spans="1:5" x14ac:dyDescent="0.3">
      <c r="A585" t="s">
        <v>446</v>
      </c>
      <c r="B585">
        <v>2100069899</v>
      </c>
      <c r="C585" t="s">
        <v>1449</v>
      </c>
      <c r="D585" t="s">
        <v>1450</v>
      </c>
      <c r="E585" t="str">
        <f t="shared" si="9"/>
        <v>Sulpak2100069899</v>
      </c>
    </row>
    <row r="586" spans="1:5" x14ac:dyDescent="0.3">
      <c r="A586" t="s">
        <v>446</v>
      </c>
      <c r="B586">
        <v>2100102198</v>
      </c>
      <c r="C586" t="s">
        <v>1451</v>
      </c>
      <c r="D586" t="s">
        <v>1452</v>
      </c>
      <c r="E586" t="str">
        <f t="shared" si="9"/>
        <v>Sulpak2100102198</v>
      </c>
    </row>
    <row r="587" spans="1:5" x14ac:dyDescent="0.3">
      <c r="A587" t="s">
        <v>446</v>
      </c>
      <c r="B587">
        <v>2100102199</v>
      </c>
      <c r="C587" t="s">
        <v>1453</v>
      </c>
      <c r="D587" t="s">
        <v>1454</v>
      </c>
      <c r="E587" t="str">
        <f t="shared" si="9"/>
        <v>Sulpak2100102199</v>
      </c>
    </row>
    <row r="588" spans="1:5" x14ac:dyDescent="0.3">
      <c r="A588" t="s">
        <v>446</v>
      </c>
      <c r="B588">
        <v>2100102201</v>
      </c>
      <c r="C588" t="s">
        <v>1455</v>
      </c>
      <c r="D588" t="s">
        <v>1456</v>
      </c>
      <c r="E588" t="str">
        <f t="shared" si="9"/>
        <v>Sulpak2100102201</v>
      </c>
    </row>
    <row r="589" spans="1:5" x14ac:dyDescent="0.3">
      <c r="A589" t="s">
        <v>446</v>
      </c>
      <c r="B589">
        <v>2100102187</v>
      </c>
      <c r="C589" t="s">
        <v>1457</v>
      </c>
      <c r="D589" t="s">
        <v>1458</v>
      </c>
      <c r="E589" t="str">
        <f t="shared" si="9"/>
        <v>Sulpak2100102187</v>
      </c>
    </row>
    <row r="590" spans="1:5" x14ac:dyDescent="0.3">
      <c r="A590" t="s">
        <v>446</v>
      </c>
      <c r="B590">
        <v>2100102185</v>
      </c>
      <c r="C590" t="s">
        <v>1459</v>
      </c>
      <c r="D590" t="s">
        <v>1460</v>
      </c>
      <c r="E590" t="str">
        <f t="shared" si="9"/>
        <v>Sulpak2100102185</v>
      </c>
    </row>
    <row r="591" spans="1:5" x14ac:dyDescent="0.3">
      <c r="A591" t="s">
        <v>446</v>
      </c>
      <c r="B591">
        <v>2100093260</v>
      </c>
      <c r="C591" t="s">
        <v>1461</v>
      </c>
      <c r="D591" t="s">
        <v>1462</v>
      </c>
      <c r="E591" t="str">
        <f t="shared" si="9"/>
        <v>Sulpak2100093260</v>
      </c>
    </row>
    <row r="592" spans="1:5" x14ac:dyDescent="0.3">
      <c r="A592" t="s">
        <v>446</v>
      </c>
      <c r="B592">
        <v>2100111150</v>
      </c>
      <c r="C592" t="s">
        <v>1463</v>
      </c>
      <c r="D592" t="s">
        <v>1464</v>
      </c>
      <c r="E592" t="str">
        <f t="shared" si="9"/>
        <v>Sulpak2100111150</v>
      </c>
    </row>
    <row r="593" spans="1:5" x14ac:dyDescent="0.3">
      <c r="A593" t="s">
        <v>446</v>
      </c>
      <c r="B593">
        <v>2100105382</v>
      </c>
      <c r="C593" t="s">
        <v>1465</v>
      </c>
      <c r="D593" t="s">
        <v>1466</v>
      </c>
      <c r="E593" t="str">
        <f t="shared" si="9"/>
        <v>Sulpak2100105382</v>
      </c>
    </row>
    <row r="594" spans="1:5" x14ac:dyDescent="0.3">
      <c r="A594" t="s">
        <v>446</v>
      </c>
      <c r="B594">
        <v>2100121700</v>
      </c>
      <c r="C594" t="s">
        <v>1467</v>
      </c>
      <c r="D594" t="s">
        <v>1468</v>
      </c>
      <c r="E594" t="str">
        <f t="shared" si="9"/>
        <v>Sulpak2100121700</v>
      </c>
    </row>
    <row r="595" spans="1:5" x14ac:dyDescent="0.3">
      <c r="A595" t="s">
        <v>446</v>
      </c>
      <c r="B595">
        <v>2100121701</v>
      </c>
      <c r="C595" t="s">
        <v>1469</v>
      </c>
      <c r="D595" t="s">
        <v>1470</v>
      </c>
      <c r="E595" t="str">
        <f t="shared" si="9"/>
        <v>Sulpak2100121701</v>
      </c>
    </row>
    <row r="596" spans="1:5" x14ac:dyDescent="0.3">
      <c r="A596" t="s">
        <v>446</v>
      </c>
      <c r="B596">
        <v>2100121702</v>
      </c>
      <c r="C596" t="s">
        <v>1471</v>
      </c>
      <c r="D596" t="s">
        <v>1472</v>
      </c>
      <c r="E596" t="str">
        <f t="shared" si="9"/>
        <v>Sulpak2100121702</v>
      </c>
    </row>
    <row r="597" spans="1:5" x14ac:dyDescent="0.3">
      <c r="A597" t="s">
        <v>446</v>
      </c>
      <c r="B597">
        <v>2100121703</v>
      </c>
      <c r="C597" t="s">
        <v>1473</v>
      </c>
      <c r="D597" t="s">
        <v>1474</v>
      </c>
      <c r="E597" t="str">
        <f t="shared" si="9"/>
        <v>Sulpak2100121703</v>
      </c>
    </row>
    <row r="598" spans="1:5" x14ac:dyDescent="0.3">
      <c r="A598" t="s">
        <v>446</v>
      </c>
      <c r="B598">
        <v>2100118762</v>
      </c>
      <c r="C598" t="s">
        <v>1475</v>
      </c>
      <c r="D598" t="s">
        <v>1476</v>
      </c>
      <c r="E598" t="str">
        <f t="shared" si="9"/>
        <v>Sulpak2100118762</v>
      </c>
    </row>
    <row r="599" spans="1:5" x14ac:dyDescent="0.3">
      <c r="A599" t="s">
        <v>446</v>
      </c>
      <c r="B599">
        <v>2100121704</v>
      </c>
      <c r="C599" t="s">
        <v>1477</v>
      </c>
      <c r="D599" t="s">
        <v>1478</v>
      </c>
      <c r="E599" t="str">
        <f t="shared" si="9"/>
        <v>Sulpak2100121704</v>
      </c>
    </row>
    <row r="600" spans="1:5" x14ac:dyDescent="0.3">
      <c r="A600" t="s">
        <v>446</v>
      </c>
      <c r="B600">
        <v>9100046094</v>
      </c>
      <c r="C600">
        <v>4211124</v>
      </c>
      <c r="D600" t="s">
        <v>1479</v>
      </c>
      <c r="E600" t="str">
        <f t="shared" si="9"/>
        <v>Sulpak9100046094</v>
      </c>
    </row>
    <row r="601" spans="1:5" x14ac:dyDescent="0.3">
      <c r="A601" t="s">
        <v>446</v>
      </c>
      <c r="B601">
        <v>9100046095</v>
      </c>
      <c r="C601">
        <v>4211126</v>
      </c>
      <c r="D601" t="s">
        <v>1480</v>
      </c>
      <c r="E601" t="str">
        <f t="shared" si="9"/>
        <v>Sulpak9100046095</v>
      </c>
    </row>
    <row r="602" spans="1:5" x14ac:dyDescent="0.3">
      <c r="A602" t="s">
        <v>446</v>
      </c>
      <c r="B602">
        <v>9100046096</v>
      </c>
      <c r="C602">
        <v>4211128</v>
      </c>
      <c r="D602" t="s">
        <v>1481</v>
      </c>
      <c r="E602" t="str">
        <f t="shared" si="9"/>
        <v>Sulpak9100046096</v>
      </c>
    </row>
    <row r="603" spans="1:5" x14ac:dyDescent="0.3">
      <c r="A603" t="s">
        <v>446</v>
      </c>
      <c r="B603">
        <v>9100046099</v>
      </c>
      <c r="C603">
        <v>4211224</v>
      </c>
      <c r="D603" t="s">
        <v>1482</v>
      </c>
      <c r="E603" t="str">
        <f t="shared" si="9"/>
        <v>Sulpak9100046099</v>
      </c>
    </row>
    <row r="604" spans="1:5" x14ac:dyDescent="0.3">
      <c r="A604" t="s">
        <v>446</v>
      </c>
      <c r="B604">
        <v>9100046097</v>
      </c>
      <c r="C604">
        <v>4211522</v>
      </c>
      <c r="D604" t="s">
        <v>1483</v>
      </c>
      <c r="E604" t="str">
        <f t="shared" si="9"/>
        <v>Sulpak9100046097</v>
      </c>
    </row>
    <row r="605" spans="1:5" x14ac:dyDescent="0.3">
      <c r="A605" t="s">
        <v>446</v>
      </c>
      <c r="B605">
        <v>9100046098</v>
      </c>
      <c r="C605">
        <v>4211628</v>
      </c>
      <c r="D605" t="s">
        <v>1484</v>
      </c>
      <c r="E605" t="str">
        <f t="shared" si="9"/>
        <v>Sulpak9100046098</v>
      </c>
    </row>
    <row r="606" spans="1:5" x14ac:dyDescent="0.3">
      <c r="A606" t="s">
        <v>446</v>
      </c>
      <c r="B606">
        <v>9100046100</v>
      </c>
      <c r="C606">
        <v>4211924</v>
      </c>
      <c r="D606" t="s">
        <v>1485</v>
      </c>
      <c r="E606" t="str">
        <f t="shared" si="9"/>
        <v>Sulpak9100046100</v>
      </c>
    </row>
    <row r="607" spans="1:5" x14ac:dyDescent="0.3">
      <c r="A607" t="s">
        <v>446</v>
      </c>
      <c r="B607">
        <v>9100046101</v>
      </c>
      <c r="C607">
        <v>4211926</v>
      </c>
      <c r="D607" t="s">
        <v>1486</v>
      </c>
      <c r="E607" t="str">
        <f t="shared" si="9"/>
        <v>Sulpak9100046101</v>
      </c>
    </row>
    <row r="608" spans="1:5" x14ac:dyDescent="0.3">
      <c r="A608" t="s">
        <v>446</v>
      </c>
      <c r="B608">
        <v>9100046102</v>
      </c>
      <c r="C608">
        <v>4211928</v>
      </c>
      <c r="D608" t="s">
        <v>1487</v>
      </c>
      <c r="E608" t="str">
        <f t="shared" si="9"/>
        <v>Sulpak9100046102</v>
      </c>
    </row>
    <row r="609" spans="1:5" x14ac:dyDescent="0.3">
      <c r="A609" t="s">
        <v>446</v>
      </c>
      <c r="B609">
        <v>8010001069</v>
      </c>
      <c r="C609" t="s">
        <v>3</v>
      </c>
      <c r="D609" t="s">
        <v>283</v>
      </c>
      <c r="E609" t="str">
        <f t="shared" si="9"/>
        <v>Sulpak8010001069</v>
      </c>
    </row>
    <row r="610" spans="1:5" x14ac:dyDescent="0.3">
      <c r="A610" t="s">
        <v>446</v>
      </c>
      <c r="B610">
        <v>2100110589</v>
      </c>
      <c r="C610" t="s">
        <v>1488</v>
      </c>
      <c r="D610" t="s">
        <v>1489</v>
      </c>
      <c r="E610" t="str">
        <f t="shared" si="9"/>
        <v>Sulpak2100110589</v>
      </c>
    </row>
    <row r="611" spans="1:5" x14ac:dyDescent="0.3">
      <c r="A611" t="s">
        <v>446</v>
      </c>
      <c r="B611">
        <v>2100119880</v>
      </c>
      <c r="C611" t="s">
        <v>1490</v>
      </c>
      <c r="D611" t="s">
        <v>1491</v>
      </c>
      <c r="E611" t="str">
        <f t="shared" si="9"/>
        <v>Sulpak2100119880</v>
      </c>
    </row>
    <row r="612" spans="1:5" x14ac:dyDescent="0.3">
      <c r="A612" t="s">
        <v>446</v>
      </c>
      <c r="B612">
        <v>2100119885</v>
      </c>
      <c r="C612" t="s">
        <v>1492</v>
      </c>
      <c r="D612" t="s">
        <v>1493</v>
      </c>
      <c r="E612" t="str">
        <f t="shared" si="9"/>
        <v>Sulpak2100119885</v>
      </c>
    </row>
    <row r="613" spans="1:5" x14ac:dyDescent="0.3">
      <c r="A613" t="s">
        <v>446</v>
      </c>
      <c r="B613">
        <v>2100121730</v>
      </c>
      <c r="C613" t="s">
        <v>1494</v>
      </c>
      <c r="D613" t="s">
        <v>1495</v>
      </c>
      <c r="E613" t="str">
        <f t="shared" si="9"/>
        <v>Sulpak2100121730</v>
      </c>
    </row>
    <row r="614" spans="1:5" x14ac:dyDescent="0.3">
      <c r="A614" t="s">
        <v>446</v>
      </c>
      <c r="B614">
        <v>2100121762</v>
      </c>
      <c r="C614" t="s">
        <v>1496</v>
      </c>
      <c r="D614" t="s">
        <v>1497</v>
      </c>
      <c r="E614" t="str">
        <f t="shared" si="9"/>
        <v>Sulpak2100121762</v>
      </c>
    </row>
    <row r="615" spans="1:5" x14ac:dyDescent="0.3">
      <c r="A615" t="s">
        <v>446</v>
      </c>
      <c r="B615">
        <v>2100121761</v>
      </c>
      <c r="C615" t="s">
        <v>1498</v>
      </c>
      <c r="D615" t="s">
        <v>1499</v>
      </c>
      <c r="E615" t="str">
        <f t="shared" si="9"/>
        <v>Sulpak2100121761</v>
      </c>
    </row>
    <row r="616" spans="1:5" x14ac:dyDescent="0.3">
      <c r="A616" t="s">
        <v>446</v>
      </c>
      <c r="B616">
        <v>7211004315</v>
      </c>
      <c r="C616" t="s">
        <v>82</v>
      </c>
      <c r="D616" t="s">
        <v>330</v>
      </c>
      <c r="E616" t="str">
        <f t="shared" si="9"/>
        <v>Sulpak7211004315</v>
      </c>
    </row>
    <row r="617" spans="1:5" x14ac:dyDescent="0.3">
      <c r="A617" t="s">
        <v>446</v>
      </c>
      <c r="B617">
        <v>7211004352</v>
      </c>
      <c r="C617" t="s">
        <v>1500</v>
      </c>
      <c r="D617" t="s">
        <v>1501</v>
      </c>
      <c r="E617" t="str">
        <f t="shared" si="9"/>
        <v>Sulpak7211004352</v>
      </c>
    </row>
    <row r="618" spans="1:5" x14ac:dyDescent="0.3">
      <c r="A618" t="s">
        <v>446</v>
      </c>
      <c r="B618">
        <v>8010001045</v>
      </c>
      <c r="C618" t="s">
        <v>1502</v>
      </c>
      <c r="D618" t="s">
        <v>1503</v>
      </c>
      <c r="E618" t="str">
        <f t="shared" si="9"/>
        <v>Sulpak8010001045</v>
      </c>
    </row>
    <row r="619" spans="1:5" x14ac:dyDescent="0.3">
      <c r="A619" t="s">
        <v>446</v>
      </c>
      <c r="B619">
        <v>1830007756</v>
      </c>
      <c r="C619" t="s">
        <v>1504</v>
      </c>
      <c r="D619" t="s">
        <v>295</v>
      </c>
      <c r="E619" t="str">
        <f t="shared" si="9"/>
        <v>Sulpak1830007756</v>
      </c>
    </row>
    <row r="620" spans="1:5" x14ac:dyDescent="0.3">
      <c r="A620" t="s">
        <v>446</v>
      </c>
      <c r="B620">
        <v>2211400764</v>
      </c>
      <c r="C620" t="s">
        <v>1505</v>
      </c>
      <c r="D620" t="s">
        <v>1506</v>
      </c>
      <c r="E620" t="str">
        <f t="shared" si="9"/>
        <v>Sulpak2211400764</v>
      </c>
    </row>
    <row r="621" spans="1:5" x14ac:dyDescent="0.3">
      <c r="A621" t="s">
        <v>446</v>
      </c>
      <c r="B621">
        <v>2211400482</v>
      </c>
      <c r="C621" t="s">
        <v>1507</v>
      </c>
      <c r="D621" t="s">
        <v>1508</v>
      </c>
      <c r="E621" t="str">
        <f t="shared" si="9"/>
        <v>Sulpak2211400482</v>
      </c>
    </row>
    <row r="622" spans="1:5" x14ac:dyDescent="0.3">
      <c r="A622" t="s">
        <v>446</v>
      </c>
      <c r="B622">
        <v>1600005408</v>
      </c>
      <c r="C622" t="s">
        <v>1509</v>
      </c>
      <c r="D622" t="s">
        <v>1510</v>
      </c>
      <c r="E622" t="str">
        <f t="shared" si="9"/>
        <v>Sulpak1600005408</v>
      </c>
    </row>
    <row r="623" spans="1:5" x14ac:dyDescent="0.3">
      <c r="A623" t="s">
        <v>446</v>
      </c>
      <c r="B623">
        <v>2211400344</v>
      </c>
      <c r="C623" t="s">
        <v>1511</v>
      </c>
      <c r="D623" t="s">
        <v>1512</v>
      </c>
      <c r="E623" t="str">
        <f t="shared" si="9"/>
        <v>Sulpak2211400344</v>
      </c>
    </row>
    <row r="624" spans="1:5" x14ac:dyDescent="0.3">
      <c r="A624" t="s">
        <v>446</v>
      </c>
      <c r="B624">
        <v>1830008213</v>
      </c>
      <c r="C624" t="s">
        <v>1513</v>
      </c>
      <c r="D624" t="s">
        <v>1514</v>
      </c>
      <c r="E624" t="str">
        <f t="shared" si="9"/>
        <v>Sulpak1830008213</v>
      </c>
    </row>
    <row r="625" spans="1:5" x14ac:dyDescent="0.3">
      <c r="A625" t="s">
        <v>446</v>
      </c>
      <c r="B625">
        <v>1830008094</v>
      </c>
      <c r="C625" t="s">
        <v>1515</v>
      </c>
      <c r="D625" t="s">
        <v>1516</v>
      </c>
      <c r="E625" t="str">
        <f t="shared" si="9"/>
        <v>Sulpak1830008094</v>
      </c>
    </row>
    <row r="626" spans="1:5" x14ac:dyDescent="0.3">
      <c r="A626" t="s">
        <v>446</v>
      </c>
      <c r="B626">
        <v>1830008071</v>
      </c>
      <c r="C626" t="s">
        <v>1517</v>
      </c>
      <c r="D626" t="s">
        <v>1518</v>
      </c>
      <c r="E626" t="str">
        <f t="shared" si="9"/>
        <v>Sulpak1830008071</v>
      </c>
    </row>
    <row r="627" spans="1:5" x14ac:dyDescent="0.3">
      <c r="A627" t="s">
        <v>446</v>
      </c>
      <c r="B627">
        <v>1830007938</v>
      </c>
      <c r="C627" t="s">
        <v>1519</v>
      </c>
      <c r="D627" t="s">
        <v>1520</v>
      </c>
      <c r="E627" t="str">
        <f t="shared" si="9"/>
        <v>Sulpak1830007938</v>
      </c>
    </row>
    <row r="628" spans="1:5" x14ac:dyDescent="0.3">
      <c r="A628" t="s">
        <v>446</v>
      </c>
      <c r="B628">
        <v>1830008103</v>
      </c>
      <c r="C628" t="s">
        <v>1521</v>
      </c>
      <c r="D628" t="s">
        <v>1522</v>
      </c>
      <c r="E628" t="str">
        <f t="shared" si="9"/>
        <v>Sulpak1830008103</v>
      </c>
    </row>
    <row r="629" spans="1:5" x14ac:dyDescent="0.3">
      <c r="A629" t="s">
        <v>446</v>
      </c>
      <c r="B629">
        <v>1830008070</v>
      </c>
      <c r="C629" t="s">
        <v>1523</v>
      </c>
      <c r="D629" t="s">
        <v>1524</v>
      </c>
      <c r="E629" t="str">
        <f t="shared" si="9"/>
        <v>Sulpak1830008070</v>
      </c>
    </row>
    <row r="630" spans="1:5" x14ac:dyDescent="0.3">
      <c r="A630" t="s">
        <v>446</v>
      </c>
      <c r="B630">
        <v>1830007887</v>
      </c>
      <c r="C630" t="s">
        <v>1525</v>
      </c>
      <c r="D630" t="s">
        <v>1526</v>
      </c>
      <c r="E630" t="str">
        <f t="shared" si="9"/>
        <v>Sulpak1830007887</v>
      </c>
    </row>
    <row r="631" spans="1:5" x14ac:dyDescent="0.3">
      <c r="A631" t="s">
        <v>446</v>
      </c>
      <c r="B631">
        <v>1830007888</v>
      </c>
      <c r="C631" t="s">
        <v>1527</v>
      </c>
      <c r="D631" t="s">
        <v>1528</v>
      </c>
      <c r="E631" t="str">
        <f t="shared" si="9"/>
        <v>Sulpak1830007888</v>
      </c>
    </row>
    <row r="632" spans="1:5" x14ac:dyDescent="0.3">
      <c r="A632" t="s">
        <v>446</v>
      </c>
      <c r="B632">
        <v>1830007886</v>
      </c>
      <c r="C632" t="s">
        <v>1529</v>
      </c>
      <c r="D632" t="s">
        <v>1530</v>
      </c>
      <c r="E632" t="str">
        <f t="shared" si="9"/>
        <v>Sulpak1830007886</v>
      </c>
    </row>
    <row r="633" spans="1:5" x14ac:dyDescent="0.3">
      <c r="A633" t="s">
        <v>446</v>
      </c>
      <c r="B633">
        <v>1830007838</v>
      </c>
      <c r="C633" t="s">
        <v>1531</v>
      </c>
      <c r="D633" t="s">
        <v>1532</v>
      </c>
      <c r="E633" t="str">
        <f t="shared" si="9"/>
        <v>Sulpak1830007838</v>
      </c>
    </row>
    <row r="634" spans="1:5" x14ac:dyDescent="0.3">
      <c r="A634" t="s">
        <v>446</v>
      </c>
      <c r="B634">
        <v>1830008164</v>
      </c>
      <c r="C634" t="s">
        <v>1533</v>
      </c>
      <c r="D634" t="s">
        <v>1534</v>
      </c>
      <c r="E634" t="str">
        <f t="shared" si="9"/>
        <v>Sulpak1830008164</v>
      </c>
    </row>
    <row r="635" spans="1:5" x14ac:dyDescent="0.3">
      <c r="A635" t="s">
        <v>446</v>
      </c>
      <c r="B635">
        <v>2211401014</v>
      </c>
      <c r="C635" t="s">
        <v>371</v>
      </c>
      <c r="D635" t="s">
        <v>1535</v>
      </c>
      <c r="E635" t="str">
        <f t="shared" si="9"/>
        <v>Sulpak2211401014</v>
      </c>
    </row>
    <row r="636" spans="1:5" x14ac:dyDescent="0.3">
      <c r="A636" t="s">
        <v>446</v>
      </c>
      <c r="B636">
        <v>2100120956</v>
      </c>
      <c r="C636" t="s">
        <v>1536</v>
      </c>
      <c r="D636" t="s">
        <v>1537</v>
      </c>
      <c r="E636" t="str">
        <f t="shared" si="9"/>
        <v>Sulpak2100120956</v>
      </c>
    </row>
    <row r="637" spans="1:5" x14ac:dyDescent="0.3">
      <c r="A637" t="s">
        <v>446</v>
      </c>
      <c r="B637">
        <v>2100120957</v>
      </c>
      <c r="C637" t="s">
        <v>1538</v>
      </c>
      <c r="D637" t="s">
        <v>1539</v>
      </c>
      <c r="E637" t="str">
        <f t="shared" si="9"/>
        <v>Sulpak2100120957</v>
      </c>
    </row>
    <row r="638" spans="1:5" x14ac:dyDescent="0.3">
      <c r="A638" t="s">
        <v>446</v>
      </c>
      <c r="B638">
        <v>2100120958</v>
      </c>
      <c r="C638" t="s">
        <v>1540</v>
      </c>
      <c r="D638" t="s">
        <v>1541</v>
      </c>
      <c r="E638" t="str">
        <f t="shared" si="9"/>
        <v>Sulpak2100120958</v>
      </c>
    </row>
    <row r="639" spans="1:5" x14ac:dyDescent="0.3">
      <c r="A639" t="s">
        <v>446</v>
      </c>
      <c r="B639">
        <v>8010001063</v>
      </c>
      <c r="C639" t="s">
        <v>1542</v>
      </c>
      <c r="D639" t="s">
        <v>1543</v>
      </c>
      <c r="E639" t="str">
        <f t="shared" si="9"/>
        <v>Sulpak8010001063</v>
      </c>
    </row>
    <row r="640" spans="1:5" x14ac:dyDescent="0.3">
      <c r="A640" t="s">
        <v>446</v>
      </c>
      <c r="B640">
        <v>9100042511</v>
      </c>
      <c r="C640" t="s">
        <v>1544</v>
      </c>
      <c r="D640" t="s">
        <v>1545</v>
      </c>
      <c r="E640" t="str">
        <f t="shared" si="9"/>
        <v>Sulpak9100042511</v>
      </c>
    </row>
    <row r="641" spans="1:5" x14ac:dyDescent="0.3">
      <c r="A641" t="s">
        <v>446</v>
      </c>
      <c r="B641">
        <v>9100042508</v>
      </c>
      <c r="C641" t="s">
        <v>1546</v>
      </c>
      <c r="D641" t="s">
        <v>1547</v>
      </c>
      <c r="E641" t="str">
        <f t="shared" si="9"/>
        <v>Sulpak9100042508</v>
      </c>
    </row>
    <row r="642" spans="1:5" x14ac:dyDescent="0.3">
      <c r="A642" t="s">
        <v>446</v>
      </c>
      <c r="B642">
        <v>9100042509</v>
      </c>
      <c r="C642" t="s">
        <v>1548</v>
      </c>
      <c r="D642" t="s">
        <v>1549</v>
      </c>
      <c r="E642" t="str">
        <f t="shared" si="9"/>
        <v>Sulpak9100042509</v>
      </c>
    </row>
    <row r="643" spans="1:5" x14ac:dyDescent="0.3">
      <c r="A643" t="s">
        <v>446</v>
      </c>
      <c r="B643">
        <v>9100042510</v>
      </c>
      <c r="C643" t="s">
        <v>1550</v>
      </c>
      <c r="D643" t="s">
        <v>1551</v>
      </c>
      <c r="E643" t="str">
        <f t="shared" ref="E643:E706" si="10">A643&amp;B643</f>
        <v>Sulpak9100042510</v>
      </c>
    </row>
    <row r="644" spans="1:5" x14ac:dyDescent="0.3">
      <c r="A644" t="s">
        <v>446</v>
      </c>
      <c r="B644">
        <v>9100045472</v>
      </c>
      <c r="C644">
        <v>4205924</v>
      </c>
      <c r="D644" t="s">
        <v>1552</v>
      </c>
      <c r="E644" t="str">
        <f t="shared" si="10"/>
        <v>Sulpak9100045472</v>
      </c>
    </row>
    <row r="645" spans="1:5" x14ac:dyDescent="0.3">
      <c r="A645" t="s">
        <v>446</v>
      </c>
      <c r="B645">
        <v>9100045473</v>
      </c>
      <c r="C645">
        <v>4205926</v>
      </c>
      <c r="D645" t="s">
        <v>1553</v>
      </c>
      <c r="E645" t="str">
        <f t="shared" si="10"/>
        <v>Sulpak9100045473</v>
      </c>
    </row>
    <row r="646" spans="1:5" x14ac:dyDescent="0.3">
      <c r="A646" t="s">
        <v>446</v>
      </c>
      <c r="B646">
        <v>9100045474</v>
      </c>
      <c r="C646">
        <v>4205928</v>
      </c>
      <c r="D646" t="s">
        <v>1554</v>
      </c>
      <c r="E646" t="str">
        <f t="shared" si="10"/>
        <v>Sulpak9100045474</v>
      </c>
    </row>
    <row r="647" spans="1:5" x14ac:dyDescent="0.3">
      <c r="A647" t="s">
        <v>446</v>
      </c>
      <c r="B647">
        <v>1830007125</v>
      </c>
      <c r="C647" t="s">
        <v>1555</v>
      </c>
      <c r="D647" t="s">
        <v>1556</v>
      </c>
      <c r="E647" t="str">
        <f t="shared" si="10"/>
        <v>Sulpak1830007125</v>
      </c>
    </row>
    <row r="648" spans="1:5" x14ac:dyDescent="0.3">
      <c r="A648" t="s">
        <v>446</v>
      </c>
      <c r="B648">
        <v>1830008214</v>
      </c>
      <c r="C648" t="s">
        <v>1557</v>
      </c>
      <c r="D648" t="s">
        <v>1558</v>
      </c>
      <c r="E648" t="str">
        <f t="shared" si="10"/>
        <v>Sulpak1830008214</v>
      </c>
    </row>
    <row r="649" spans="1:5" x14ac:dyDescent="0.3">
      <c r="A649" t="s">
        <v>446</v>
      </c>
      <c r="B649">
        <v>2100117531</v>
      </c>
      <c r="C649" t="s">
        <v>1559</v>
      </c>
      <c r="D649" t="s">
        <v>1560</v>
      </c>
      <c r="E649" t="str">
        <f t="shared" si="10"/>
        <v>Sulpak2100117531</v>
      </c>
    </row>
    <row r="650" spans="1:5" x14ac:dyDescent="0.3">
      <c r="A650" t="s">
        <v>446</v>
      </c>
      <c r="B650">
        <v>2100117440</v>
      </c>
      <c r="C650" t="s">
        <v>1561</v>
      </c>
      <c r="D650" t="s">
        <v>1562</v>
      </c>
      <c r="E650" t="str">
        <f t="shared" si="10"/>
        <v>Sulpak2100117440</v>
      </c>
    </row>
    <row r="651" spans="1:5" x14ac:dyDescent="0.3">
      <c r="A651" t="s">
        <v>446</v>
      </c>
      <c r="B651">
        <v>2100117990</v>
      </c>
      <c r="C651" t="s">
        <v>1563</v>
      </c>
      <c r="D651" t="s">
        <v>1564</v>
      </c>
      <c r="E651" t="str">
        <f t="shared" si="10"/>
        <v>Sulpak2100117990</v>
      </c>
    </row>
    <row r="652" spans="1:5" x14ac:dyDescent="0.3">
      <c r="A652" t="s">
        <v>446</v>
      </c>
      <c r="B652">
        <v>2100117991</v>
      </c>
      <c r="C652" t="s">
        <v>1565</v>
      </c>
      <c r="D652" t="s">
        <v>1566</v>
      </c>
      <c r="E652" t="str">
        <f t="shared" si="10"/>
        <v>Sulpak2100117991</v>
      </c>
    </row>
    <row r="653" spans="1:5" x14ac:dyDescent="0.3">
      <c r="A653" t="s">
        <v>446</v>
      </c>
      <c r="B653">
        <v>2100118828</v>
      </c>
      <c r="C653" t="s">
        <v>1567</v>
      </c>
      <c r="D653" t="s">
        <v>1568</v>
      </c>
      <c r="E653" t="str">
        <f t="shared" si="10"/>
        <v>Sulpak2100118828</v>
      </c>
    </row>
    <row r="654" spans="1:5" x14ac:dyDescent="0.3">
      <c r="A654" t="s">
        <v>446</v>
      </c>
      <c r="B654">
        <v>2100123118</v>
      </c>
      <c r="C654" t="s">
        <v>1569</v>
      </c>
      <c r="D654" t="s">
        <v>1570</v>
      </c>
      <c r="E654" t="str">
        <f t="shared" si="10"/>
        <v>Sulpak2100123118</v>
      </c>
    </row>
    <row r="655" spans="1:5" x14ac:dyDescent="0.3">
      <c r="A655" t="s">
        <v>446</v>
      </c>
      <c r="B655">
        <v>1830008168</v>
      </c>
      <c r="C655" t="s">
        <v>1571</v>
      </c>
      <c r="D655" t="s">
        <v>1572</v>
      </c>
      <c r="E655" t="str">
        <f t="shared" si="10"/>
        <v>Sulpak1830008168</v>
      </c>
    </row>
    <row r="656" spans="1:5" x14ac:dyDescent="0.3">
      <c r="A656" t="s">
        <v>446</v>
      </c>
      <c r="B656">
        <v>1830008260</v>
      </c>
      <c r="C656" t="s">
        <v>102</v>
      </c>
      <c r="D656" t="s">
        <v>347</v>
      </c>
      <c r="E656" t="str">
        <f t="shared" si="10"/>
        <v>Sulpak1830008260</v>
      </c>
    </row>
    <row r="657" spans="1:5" x14ac:dyDescent="0.3">
      <c r="A657" t="s">
        <v>446</v>
      </c>
      <c r="B657">
        <v>1830008022</v>
      </c>
      <c r="C657" t="s">
        <v>100</v>
      </c>
      <c r="D657" t="s">
        <v>346</v>
      </c>
      <c r="E657" t="str">
        <f t="shared" si="10"/>
        <v>Sulpak1830008022</v>
      </c>
    </row>
    <row r="658" spans="1:5" x14ac:dyDescent="0.3">
      <c r="A658" t="s">
        <v>446</v>
      </c>
      <c r="B658">
        <v>1830007795</v>
      </c>
      <c r="C658" t="s">
        <v>1573</v>
      </c>
      <c r="D658" t="s">
        <v>1574</v>
      </c>
      <c r="E658" t="str">
        <f t="shared" si="10"/>
        <v>Sulpak1830007795</v>
      </c>
    </row>
    <row r="659" spans="1:5" x14ac:dyDescent="0.3">
      <c r="A659" t="s">
        <v>446</v>
      </c>
      <c r="B659">
        <v>2100096216</v>
      </c>
      <c r="C659" t="s">
        <v>1575</v>
      </c>
      <c r="D659" t="s">
        <v>1576</v>
      </c>
      <c r="E659" t="str">
        <f t="shared" si="10"/>
        <v>Sulpak2100096216</v>
      </c>
    </row>
    <row r="660" spans="1:5" x14ac:dyDescent="0.3">
      <c r="A660" t="s">
        <v>446</v>
      </c>
      <c r="B660">
        <v>2100112782</v>
      </c>
      <c r="C660" t="s">
        <v>1577</v>
      </c>
      <c r="D660" t="s">
        <v>1578</v>
      </c>
      <c r="E660" t="str">
        <f t="shared" si="10"/>
        <v>Sulpak2100112782</v>
      </c>
    </row>
    <row r="661" spans="1:5" x14ac:dyDescent="0.3">
      <c r="A661" t="s">
        <v>446</v>
      </c>
      <c r="B661">
        <v>2100093086</v>
      </c>
      <c r="C661" t="s">
        <v>1579</v>
      </c>
      <c r="D661" t="s">
        <v>1580</v>
      </c>
      <c r="E661" t="str">
        <f t="shared" si="10"/>
        <v>Sulpak2100093086</v>
      </c>
    </row>
    <row r="662" spans="1:5" x14ac:dyDescent="0.3">
      <c r="A662" t="s">
        <v>446</v>
      </c>
      <c r="B662">
        <v>2211400854</v>
      </c>
      <c r="C662" t="s">
        <v>29</v>
      </c>
      <c r="D662" t="s">
        <v>298</v>
      </c>
      <c r="E662" t="str">
        <f t="shared" si="10"/>
        <v>Sulpak2211400854</v>
      </c>
    </row>
    <row r="663" spans="1:5" x14ac:dyDescent="0.3">
      <c r="A663" t="s">
        <v>446</v>
      </c>
      <c r="B663">
        <v>2211400797</v>
      </c>
      <c r="C663" t="s">
        <v>1581</v>
      </c>
      <c r="D663" t="s">
        <v>1582</v>
      </c>
      <c r="E663" t="str">
        <f t="shared" si="10"/>
        <v>Sulpak2211400797</v>
      </c>
    </row>
    <row r="664" spans="1:5" x14ac:dyDescent="0.3">
      <c r="A664" t="s">
        <v>446</v>
      </c>
      <c r="B664">
        <v>1830008286</v>
      </c>
      <c r="C664" t="s">
        <v>215</v>
      </c>
      <c r="D664" t="s">
        <v>1583</v>
      </c>
      <c r="E664" t="str">
        <f t="shared" si="10"/>
        <v>Sulpak1830008286</v>
      </c>
    </row>
    <row r="665" spans="1:5" x14ac:dyDescent="0.3">
      <c r="A665" t="s">
        <v>446</v>
      </c>
      <c r="B665">
        <v>1830008437</v>
      </c>
      <c r="C665" t="s">
        <v>1584</v>
      </c>
      <c r="D665" t="s">
        <v>1585</v>
      </c>
      <c r="E665" t="str">
        <f t="shared" si="10"/>
        <v>Sulpak1830008437</v>
      </c>
    </row>
    <row r="666" spans="1:5" x14ac:dyDescent="0.3">
      <c r="A666" t="s">
        <v>446</v>
      </c>
      <c r="B666">
        <v>1830008390</v>
      </c>
      <c r="C666" t="s">
        <v>216</v>
      </c>
      <c r="D666" t="s">
        <v>344</v>
      </c>
      <c r="E666" t="str">
        <f t="shared" si="10"/>
        <v>Sulpak1830008390</v>
      </c>
    </row>
    <row r="667" spans="1:5" x14ac:dyDescent="0.3">
      <c r="A667" t="s">
        <v>446</v>
      </c>
      <c r="B667">
        <v>7211004581</v>
      </c>
      <c r="C667" t="s">
        <v>1586</v>
      </c>
      <c r="D667" t="s">
        <v>1587</v>
      </c>
      <c r="E667" t="str">
        <f t="shared" si="10"/>
        <v>Sulpak7211004581</v>
      </c>
    </row>
    <row r="668" spans="1:5" x14ac:dyDescent="0.3">
      <c r="A668" t="s">
        <v>446</v>
      </c>
      <c r="B668">
        <v>7211004322</v>
      </c>
      <c r="C668" t="s">
        <v>1588</v>
      </c>
      <c r="D668" t="s">
        <v>1589</v>
      </c>
      <c r="E668" t="str">
        <f t="shared" si="10"/>
        <v>Sulpak7211004322</v>
      </c>
    </row>
    <row r="669" spans="1:5" x14ac:dyDescent="0.3">
      <c r="A669" t="s">
        <v>446</v>
      </c>
      <c r="B669">
        <v>1510002136</v>
      </c>
      <c r="C669" t="s">
        <v>1590</v>
      </c>
      <c r="D669" t="s">
        <v>1591</v>
      </c>
      <c r="E669" t="str">
        <f t="shared" si="10"/>
        <v>Sulpak1510002136</v>
      </c>
    </row>
    <row r="670" spans="1:5" x14ac:dyDescent="0.3">
      <c r="A670" t="s">
        <v>446</v>
      </c>
      <c r="B670">
        <v>1510002154</v>
      </c>
      <c r="C670" t="s">
        <v>1592</v>
      </c>
      <c r="D670" t="s">
        <v>1593</v>
      </c>
      <c r="E670" t="str">
        <f t="shared" si="10"/>
        <v>Sulpak1510002154</v>
      </c>
    </row>
    <row r="671" spans="1:5" x14ac:dyDescent="0.3">
      <c r="A671" t="s">
        <v>446</v>
      </c>
      <c r="B671">
        <v>1830008313</v>
      </c>
      <c r="C671" t="s">
        <v>214</v>
      </c>
      <c r="D671" t="s">
        <v>290</v>
      </c>
      <c r="E671" t="str">
        <f t="shared" si="10"/>
        <v>Sulpak1830008313</v>
      </c>
    </row>
    <row r="672" spans="1:5" x14ac:dyDescent="0.3">
      <c r="A672" t="s">
        <v>446</v>
      </c>
      <c r="B672">
        <v>2211400979</v>
      </c>
      <c r="C672" t="s">
        <v>37</v>
      </c>
      <c r="D672" t="s">
        <v>305</v>
      </c>
      <c r="E672" t="str">
        <f t="shared" si="10"/>
        <v>Sulpak2211400979</v>
      </c>
    </row>
    <row r="673" spans="1:5" x14ac:dyDescent="0.3">
      <c r="A673" t="s">
        <v>446</v>
      </c>
      <c r="B673">
        <v>1830007876</v>
      </c>
      <c r="C673" t="s">
        <v>103</v>
      </c>
      <c r="D673" t="s">
        <v>348</v>
      </c>
      <c r="E673" t="str">
        <f t="shared" si="10"/>
        <v>Sulpak1830007876</v>
      </c>
    </row>
    <row r="674" spans="1:5" x14ac:dyDescent="0.3">
      <c r="A674" t="s">
        <v>446</v>
      </c>
      <c r="B674">
        <v>1830008104</v>
      </c>
      <c r="C674" t="s">
        <v>104</v>
      </c>
      <c r="D674" t="s">
        <v>349</v>
      </c>
      <c r="E674" t="str">
        <f t="shared" si="10"/>
        <v>Sulpak1830008104</v>
      </c>
    </row>
    <row r="675" spans="1:5" x14ac:dyDescent="0.3">
      <c r="A675" t="s">
        <v>446</v>
      </c>
      <c r="B675">
        <v>1830007603</v>
      </c>
      <c r="C675" t="s">
        <v>105</v>
      </c>
      <c r="D675" t="s">
        <v>350</v>
      </c>
      <c r="E675" t="str">
        <f t="shared" si="10"/>
        <v>Sulpak1830007603</v>
      </c>
    </row>
    <row r="676" spans="1:5" x14ac:dyDescent="0.3">
      <c r="A676" t="s">
        <v>446</v>
      </c>
      <c r="B676">
        <v>1830007337</v>
      </c>
      <c r="C676" t="s">
        <v>106</v>
      </c>
      <c r="D676" t="s">
        <v>351</v>
      </c>
      <c r="E676" t="str">
        <f t="shared" si="10"/>
        <v>Sulpak1830007337</v>
      </c>
    </row>
    <row r="677" spans="1:5" x14ac:dyDescent="0.3">
      <c r="A677" t="s">
        <v>446</v>
      </c>
      <c r="B677">
        <v>1830007602</v>
      </c>
      <c r="C677" t="s">
        <v>107</v>
      </c>
      <c r="D677" t="s">
        <v>352</v>
      </c>
      <c r="E677" t="str">
        <f t="shared" si="10"/>
        <v>Sulpak1830007602</v>
      </c>
    </row>
    <row r="678" spans="1:5" x14ac:dyDescent="0.3">
      <c r="A678" t="s">
        <v>446</v>
      </c>
      <c r="B678">
        <v>2211401035</v>
      </c>
      <c r="C678" t="s">
        <v>395</v>
      </c>
      <c r="D678" t="s">
        <v>1594</v>
      </c>
      <c r="E678" t="str">
        <f t="shared" si="10"/>
        <v>Sulpak2211401035</v>
      </c>
    </row>
    <row r="679" spans="1:5" x14ac:dyDescent="0.3">
      <c r="A679" t="s">
        <v>446</v>
      </c>
      <c r="B679">
        <v>2211401034</v>
      </c>
      <c r="C679" t="s">
        <v>396</v>
      </c>
      <c r="D679" t="s">
        <v>1595</v>
      </c>
      <c r="E679" t="str">
        <f t="shared" si="10"/>
        <v>Sulpak2211401034</v>
      </c>
    </row>
    <row r="680" spans="1:5" x14ac:dyDescent="0.3">
      <c r="A680" t="s">
        <v>446</v>
      </c>
      <c r="B680">
        <v>2211401062</v>
      </c>
      <c r="C680" t="s">
        <v>1596</v>
      </c>
      <c r="D680" t="s">
        <v>1597</v>
      </c>
      <c r="E680" t="str">
        <f t="shared" si="10"/>
        <v>Sulpak2211401062</v>
      </c>
    </row>
    <row r="681" spans="1:5" x14ac:dyDescent="0.3">
      <c r="A681" t="s">
        <v>446</v>
      </c>
      <c r="B681">
        <v>2211401061</v>
      </c>
      <c r="C681" t="s">
        <v>1598</v>
      </c>
      <c r="D681" t="s">
        <v>1599</v>
      </c>
      <c r="E681" t="str">
        <f t="shared" si="10"/>
        <v>Sulpak2211401061</v>
      </c>
    </row>
    <row r="682" spans="1:5" x14ac:dyDescent="0.3">
      <c r="A682" t="s">
        <v>446</v>
      </c>
      <c r="B682">
        <v>1510002143</v>
      </c>
      <c r="C682" t="s">
        <v>1600</v>
      </c>
      <c r="D682" t="s">
        <v>1601</v>
      </c>
      <c r="E682" t="str">
        <f t="shared" si="10"/>
        <v>Sulpak1510002143</v>
      </c>
    </row>
    <row r="683" spans="1:5" x14ac:dyDescent="0.3">
      <c r="A683" t="s">
        <v>446</v>
      </c>
      <c r="B683">
        <v>7211002932</v>
      </c>
      <c r="C683" t="s">
        <v>44</v>
      </c>
      <c r="D683" t="s">
        <v>1602</v>
      </c>
      <c r="E683" t="str">
        <f t="shared" si="10"/>
        <v>Sulpak7211002932</v>
      </c>
    </row>
    <row r="684" spans="1:5" x14ac:dyDescent="0.3">
      <c r="A684" t="s">
        <v>446</v>
      </c>
      <c r="B684">
        <v>1600005144</v>
      </c>
      <c r="C684" t="s">
        <v>1603</v>
      </c>
      <c r="D684" t="s">
        <v>1604</v>
      </c>
      <c r="E684" t="str">
        <f t="shared" si="10"/>
        <v>Sulpak1600005144</v>
      </c>
    </row>
    <row r="685" spans="1:5" x14ac:dyDescent="0.3">
      <c r="A685" t="s">
        <v>446</v>
      </c>
      <c r="B685">
        <v>2100111795</v>
      </c>
      <c r="C685" t="s">
        <v>1605</v>
      </c>
      <c r="D685" t="s">
        <v>1606</v>
      </c>
      <c r="E685" t="str">
        <f t="shared" si="10"/>
        <v>Sulpak2100111795</v>
      </c>
    </row>
    <row r="686" spans="1:5" x14ac:dyDescent="0.3">
      <c r="A686" t="s">
        <v>446</v>
      </c>
      <c r="B686">
        <v>1830007670</v>
      </c>
      <c r="C686" t="s">
        <v>1607</v>
      </c>
      <c r="D686" t="s">
        <v>1608</v>
      </c>
      <c r="E686" t="str">
        <f t="shared" si="10"/>
        <v>Sulpak1830007670</v>
      </c>
    </row>
    <row r="687" spans="1:5" x14ac:dyDescent="0.3">
      <c r="A687" t="s">
        <v>446</v>
      </c>
      <c r="B687">
        <v>1830007874</v>
      </c>
      <c r="C687" t="s">
        <v>1609</v>
      </c>
      <c r="D687" t="s">
        <v>1610</v>
      </c>
      <c r="E687" t="str">
        <f t="shared" si="10"/>
        <v>Sulpak1830007874</v>
      </c>
    </row>
    <row r="688" spans="1:5" x14ac:dyDescent="0.3">
      <c r="A688" t="s">
        <v>446</v>
      </c>
      <c r="B688">
        <v>2211401074</v>
      </c>
      <c r="C688" t="s">
        <v>128</v>
      </c>
      <c r="D688" t="s">
        <v>304</v>
      </c>
      <c r="E688" t="str">
        <f t="shared" si="10"/>
        <v>Sulpak2211401074</v>
      </c>
    </row>
    <row r="689" spans="1:5" x14ac:dyDescent="0.3">
      <c r="A689" t="s">
        <v>446</v>
      </c>
      <c r="B689">
        <v>1830008461</v>
      </c>
      <c r="C689" t="s">
        <v>424</v>
      </c>
      <c r="D689" t="s">
        <v>1611</v>
      </c>
      <c r="E689" t="str">
        <f t="shared" si="10"/>
        <v>Sulpak1830008461</v>
      </c>
    </row>
    <row r="690" spans="1:5" x14ac:dyDescent="0.3">
      <c r="A690" t="s">
        <v>446</v>
      </c>
      <c r="B690">
        <v>1830007569</v>
      </c>
      <c r="C690" t="s">
        <v>1612</v>
      </c>
      <c r="D690" t="s">
        <v>1613</v>
      </c>
      <c r="E690" t="str">
        <f t="shared" si="10"/>
        <v>Sulpak1830007569</v>
      </c>
    </row>
    <row r="691" spans="1:5" x14ac:dyDescent="0.3">
      <c r="A691" t="s">
        <v>446</v>
      </c>
      <c r="B691">
        <v>2211400977</v>
      </c>
      <c r="C691" t="s">
        <v>35</v>
      </c>
      <c r="D691" t="s">
        <v>1614</v>
      </c>
      <c r="E691" t="str">
        <f t="shared" si="10"/>
        <v>Sulpak2211400977</v>
      </c>
    </row>
    <row r="692" spans="1:5" x14ac:dyDescent="0.3">
      <c r="A692" t="s">
        <v>446</v>
      </c>
      <c r="B692">
        <v>1830008513</v>
      </c>
      <c r="C692" t="s">
        <v>112</v>
      </c>
      <c r="D692" t="s">
        <v>1615</v>
      </c>
      <c r="E692" t="str">
        <f t="shared" si="10"/>
        <v>Sulpak1830008513</v>
      </c>
    </row>
    <row r="693" spans="1:5" x14ac:dyDescent="0.3">
      <c r="A693" t="s">
        <v>446</v>
      </c>
      <c r="B693">
        <v>1830008510</v>
      </c>
      <c r="C693" t="s">
        <v>114</v>
      </c>
      <c r="D693" t="s">
        <v>1616</v>
      </c>
      <c r="E693" t="str">
        <f t="shared" si="10"/>
        <v>Sulpak1830008510</v>
      </c>
    </row>
    <row r="694" spans="1:5" x14ac:dyDescent="0.3">
      <c r="A694" t="s">
        <v>446</v>
      </c>
      <c r="B694">
        <v>1110030532</v>
      </c>
      <c r="C694" t="s">
        <v>1617</v>
      </c>
      <c r="D694" t="s">
        <v>1618</v>
      </c>
      <c r="E694" t="str">
        <f t="shared" si="10"/>
        <v>Sulpak1110030532</v>
      </c>
    </row>
    <row r="695" spans="1:5" x14ac:dyDescent="0.3">
      <c r="A695" t="s">
        <v>446</v>
      </c>
      <c r="B695">
        <v>1830008496</v>
      </c>
      <c r="C695" t="s">
        <v>1619</v>
      </c>
      <c r="D695" t="s">
        <v>1620</v>
      </c>
      <c r="E695" t="str">
        <f t="shared" si="10"/>
        <v>Sulpak1830008496</v>
      </c>
    </row>
    <row r="696" spans="1:5" x14ac:dyDescent="0.3">
      <c r="A696" t="s">
        <v>446</v>
      </c>
      <c r="B696">
        <v>1830008493</v>
      </c>
      <c r="C696" t="s">
        <v>1621</v>
      </c>
      <c r="D696" t="s">
        <v>1622</v>
      </c>
      <c r="E696" t="str">
        <f t="shared" si="10"/>
        <v>Sulpak1830008493</v>
      </c>
    </row>
    <row r="697" spans="1:5" x14ac:dyDescent="0.3">
      <c r="A697" t="s">
        <v>446</v>
      </c>
      <c r="B697">
        <v>1830008583</v>
      </c>
      <c r="C697" t="s">
        <v>1623</v>
      </c>
      <c r="D697" t="s">
        <v>1624</v>
      </c>
      <c r="E697" t="str">
        <f t="shared" si="10"/>
        <v>Sulpak1830008583</v>
      </c>
    </row>
    <row r="698" spans="1:5" x14ac:dyDescent="0.3">
      <c r="A698" t="s">
        <v>446</v>
      </c>
      <c r="B698">
        <v>1830008587</v>
      </c>
      <c r="C698" t="s">
        <v>1625</v>
      </c>
      <c r="D698" t="s">
        <v>1626</v>
      </c>
      <c r="E698" t="str">
        <f t="shared" si="10"/>
        <v>Sulpak1830008587</v>
      </c>
    </row>
    <row r="699" spans="1:5" x14ac:dyDescent="0.3">
      <c r="A699" t="s">
        <v>446</v>
      </c>
      <c r="B699">
        <v>1830008581</v>
      </c>
      <c r="C699" t="s">
        <v>1627</v>
      </c>
      <c r="D699" t="s">
        <v>1628</v>
      </c>
      <c r="E699" t="str">
        <f t="shared" si="10"/>
        <v>Sulpak1830008581</v>
      </c>
    </row>
    <row r="700" spans="1:5" x14ac:dyDescent="0.3">
      <c r="A700" t="s">
        <v>446</v>
      </c>
      <c r="B700">
        <v>1830008533</v>
      </c>
      <c r="C700" t="s">
        <v>1629</v>
      </c>
      <c r="D700" t="s">
        <v>1630</v>
      </c>
      <c r="E700" t="str">
        <f t="shared" si="10"/>
        <v>Sulpak1830008533</v>
      </c>
    </row>
    <row r="701" spans="1:5" x14ac:dyDescent="0.3">
      <c r="A701" t="s">
        <v>446</v>
      </c>
      <c r="B701">
        <v>1830008557</v>
      </c>
      <c r="C701" t="s">
        <v>1631</v>
      </c>
      <c r="D701" t="s">
        <v>1632</v>
      </c>
      <c r="E701" t="str">
        <f t="shared" si="10"/>
        <v>Sulpak1830008557</v>
      </c>
    </row>
    <row r="702" spans="1:5" x14ac:dyDescent="0.3">
      <c r="A702" t="s">
        <v>446</v>
      </c>
      <c r="B702">
        <v>1830008556</v>
      </c>
      <c r="C702" t="s">
        <v>1633</v>
      </c>
      <c r="D702" t="s">
        <v>1634</v>
      </c>
      <c r="E702" t="str">
        <f t="shared" si="10"/>
        <v>Sulpak1830008556</v>
      </c>
    </row>
    <row r="703" spans="1:5" x14ac:dyDescent="0.3">
      <c r="A703" t="s">
        <v>446</v>
      </c>
      <c r="B703">
        <v>1830008554</v>
      </c>
      <c r="C703" t="s">
        <v>1635</v>
      </c>
      <c r="D703" t="s">
        <v>1636</v>
      </c>
      <c r="E703" t="str">
        <f t="shared" si="10"/>
        <v>Sulpak1830008554</v>
      </c>
    </row>
    <row r="704" spans="1:5" x14ac:dyDescent="0.3">
      <c r="A704" t="s">
        <v>446</v>
      </c>
      <c r="B704">
        <v>1830008470</v>
      </c>
      <c r="C704" t="s">
        <v>1637</v>
      </c>
      <c r="D704" t="s">
        <v>1638</v>
      </c>
      <c r="E704" t="str">
        <f t="shared" si="10"/>
        <v>Sulpak1830008470</v>
      </c>
    </row>
    <row r="705" spans="1:5" x14ac:dyDescent="0.3">
      <c r="A705" t="s">
        <v>446</v>
      </c>
      <c r="B705">
        <v>1830008506</v>
      </c>
      <c r="C705" t="s">
        <v>1639</v>
      </c>
      <c r="D705" t="s">
        <v>1640</v>
      </c>
      <c r="E705" t="str">
        <f t="shared" si="10"/>
        <v>Sulpak1830008506</v>
      </c>
    </row>
    <row r="706" spans="1:5" x14ac:dyDescent="0.3">
      <c r="A706" t="s">
        <v>446</v>
      </c>
      <c r="B706">
        <v>1830008455</v>
      </c>
      <c r="C706" t="s">
        <v>1641</v>
      </c>
      <c r="D706" t="s">
        <v>1642</v>
      </c>
      <c r="E706" t="str">
        <f t="shared" si="10"/>
        <v>Sulpak1830008455</v>
      </c>
    </row>
    <row r="707" spans="1:5" x14ac:dyDescent="0.3">
      <c r="A707" t="s">
        <v>446</v>
      </c>
      <c r="B707">
        <v>1830008458</v>
      </c>
      <c r="C707" t="s">
        <v>1643</v>
      </c>
      <c r="D707" t="s">
        <v>1644</v>
      </c>
      <c r="E707" t="str">
        <f t="shared" ref="E707:E770" si="11">A707&amp;B707</f>
        <v>Sulpak1830008458</v>
      </c>
    </row>
    <row r="708" spans="1:5" x14ac:dyDescent="0.3">
      <c r="A708" t="s">
        <v>446</v>
      </c>
      <c r="B708">
        <v>1830008468</v>
      </c>
      <c r="C708" t="s">
        <v>1645</v>
      </c>
      <c r="D708" t="s">
        <v>1646</v>
      </c>
      <c r="E708" t="str">
        <f t="shared" si="11"/>
        <v>Sulpak1830008468</v>
      </c>
    </row>
    <row r="709" spans="1:5" x14ac:dyDescent="0.3">
      <c r="A709" t="s">
        <v>446</v>
      </c>
      <c r="B709">
        <v>1830008503</v>
      </c>
      <c r="C709" t="s">
        <v>1647</v>
      </c>
      <c r="D709" t="s">
        <v>1648</v>
      </c>
      <c r="E709" t="str">
        <f t="shared" si="11"/>
        <v>Sulpak1830008503</v>
      </c>
    </row>
    <row r="710" spans="1:5" x14ac:dyDescent="0.3">
      <c r="A710" t="s">
        <v>446</v>
      </c>
      <c r="B710">
        <v>2211401050</v>
      </c>
      <c r="C710" t="s">
        <v>127</v>
      </c>
      <c r="D710" t="s">
        <v>301</v>
      </c>
      <c r="E710" t="str">
        <f t="shared" si="11"/>
        <v>Sulpak2211401050</v>
      </c>
    </row>
    <row r="711" spans="1:5" x14ac:dyDescent="0.3">
      <c r="A711" t="s">
        <v>446</v>
      </c>
      <c r="B711">
        <v>1830008527</v>
      </c>
      <c r="C711" t="s">
        <v>1649</v>
      </c>
      <c r="D711" t="s">
        <v>1650</v>
      </c>
      <c r="E711" t="str">
        <f t="shared" si="11"/>
        <v>Sulpak1830008527</v>
      </c>
    </row>
    <row r="712" spans="1:5" x14ac:dyDescent="0.3">
      <c r="A712" t="s">
        <v>446</v>
      </c>
      <c r="B712">
        <v>1830008521</v>
      </c>
      <c r="C712" t="s">
        <v>1651</v>
      </c>
      <c r="D712" t="s">
        <v>1652</v>
      </c>
      <c r="E712" t="str">
        <f t="shared" si="11"/>
        <v>Sulpak1830008521</v>
      </c>
    </row>
    <row r="713" spans="1:5" x14ac:dyDescent="0.3">
      <c r="A713" t="s">
        <v>446</v>
      </c>
      <c r="B713">
        <v>1830008526</v>
      </c>
      <c r="C713" t="s">
        <v>358</v>
      </c>
      <c r="D713" t="s">
        <v>1653</v>
      </c>
      <c r="E713" t="str">
        <f t="shared" si="11"/>
        <v>Sulpak1830008526</v>
      </c>
    </row>
    <row r="714" spans="1:5" x14ac:dyDescent="0.3">
      <c r="A714" t="s">
        <v>446</v>
      </c>
      <c r="B714">
        <v>1830008585</v>
      </c>
      <c r="C714" t="s">
        <v>359</v>
      </c>
      <c r="D714" t="s">
        <v>1654</v>
      </c>
      <c r="E714" t="str">
        <f t="shared" si="11"/>
        <v>Sulpak1830008585</v>
      </c>
    </row>
    <row r="715" spans="1:5" x14ac:dyDescent="0.3">
      <c r="A715" t="s">
        <v>446</v>
      </c>
      <c r="B715">
        <v>1510001937</v>
      </c>
      <c r="C715" t="s">
        <v>1655</v>
      </c>
      <c r="D715" t="s">
        <v>1656</v>
      </c>
      <c r="E715" t="str">
        <f t="shared" si="11"/>
        <v>Sulpak1510001937</v>
      </c>
    </row>
    <row r="716" spans="1:5" x14ac:dyDescent="0.3">
      <c r="A716" t="s">
        <v>446</v>
      </c>
      <c r="B716">
        <v>8010000601</v>
      </c>
      <c r="C716" t="s">
        <v>1657</v>
      </c>
      <c r="D716" t="s">
        <v>1658</v>
      </c>
      <c r="E716" t="str">
        <f t="shared" si="11"/>
        <v>Sulpak8010000601</v>
      </c>
    </row>
    <row r="717" spans="1:5" x14ac:dyDescent="0.3">
      <c r="A717" t="s">
        <v>446</v>
      </c>
      <c r="B717">
        <v>8000003687</v>
      </c>
      <c r="C717" t="s">
        <v>1659</v>
      </c>
      <c r="D717" t="s">
        <v>1660</v>
      </c>
      <c r="E717" t="str">
        <f t="shared" si="11"/>
        <v>Sulpak8000003687</v>
      </c>
    </row>
    <row r="718" spans="1:5" x14ac:dyDescent="0.3">
      <c r="A718" t="s">
        <v>446</v>
      </c>
      <c r="B718">
        <v>8000031569</v>
      </c>
      <c r="C718" t="s">
        <v>1661</v>
      </c>
      <c r="D718" t="s">
        <v>1662</v>
      </c>
      <c r="E718" t="str">
        <f t="shared" si="11"/>
        <v>Sulpak8000031569</v>
      </c>
    </row>
    <row r="719" spans="1:5" x14ac:dyDescent="0.3">
      <c r="A719" t="s">
        <v>446</v>
      </c>
      <c r="B719">
        <v>8000033616</v>
      </c>
      <c r="C719" t="s">
        <v>1663</v>
      </c>
      <c r="D719" t="s">
        <v>1664</v>
      </c>
      <c r="E719" t="str">
        <f t="shared" si="11"/>
        <v>Sulpak8000033616</v>
      </c>
    </row>
    <row r="720" spans="1:5" x14ac:dyDescent="0.3">
      <c r="A720" t="s">
        <v>446</v>
      </c>
      <c r="B720">
        <v>1830008518</v>
      </c>
      <c r="C720" t="s">
        <v>111</v>
      </c>
      <c r="D720" t="s">
        <v>291</v>
      </c>
      <c r="E720" t="str">
        <f t="shared" si="11"/>
        <v>Sulpak1830008518</v>
      </c>
    </row>
    <row r="721" spans="1:5" x14ac:dyDescent="0.3">
      <c r="A721" t="s">
        <v>446</v>
      </c>
      <c r="B721">
        <v>1830008463</v>
      </c>
      <c r="C721" t="s">
        <v>1665</v>
      </c>
      <c r="D721" t="s">
        <v>1666</v>
      </c>
      <c r="E721" t="str">
        <f t="shared" si="11"/>
        <v>Sulpak1830008463</v>
      </c>
    </row>
    <row r="722" spans="1:5" x14ac:dyDescent="0.3">
      <c r="A722" t="s">
        <v>446</v>
      </c>
      <c r="B722">
        <v>1830008504</v>
      </c>
      <c r="C722" t="s">
        <v>1667</v>
      </c>
      <c r="D722" t="s">
        <v>1668</v>
      </c>
      <c r="E722" t="str">
        <f t="shared" si="11"/>
        <v>Sulpak1830008504</v>
      </c>
    </row>
    <row r="723" spans="1:5" x14ac:dyDescent="0.3">
      <c r="A723" t="s">
        <v>446</v>
      </c>
      <c r="B723">
        <v>1830008508</v>
      </c>
      <c r="C723" t="s">
        <v>1669</v>
      </c>
      <c r="D723" t="s">
        <v>1670</v>
      </c>
      <c r="E723" t="str">
        <f t="shared" si="11"/>
        <v>Sulpak1830008508</v>
      </c>
    </row>
    <row r="724" spans="1:5" x14ac:dyDescent="0.3">
      <c r="A724" t="s">
        <v>446</v>
      </c>
      <c r="B724">
        <v>1830008509</v>
      </c>
      <c r="C724" t="s">
        <v>1671</v>
      </c>
      <c r="D724" t="s">
        <v>1672</v>
      </c>
      <c r="E724" t="str">
        <f t="shared" si="11"/>
        <v>Sulpak1830008509</v>
      </c>
    </row>
    <row r="725" spans="1:5" x14ac:dyDescent="0.3">
      <c r="A725" t="s">
        <v>446</v>
      </c>
      <c r="B725">
        <v>8010000453</v>
      </c>
      <c r="C725" t="s">
        <v>116</v>
      </c>
      <c r="D725" t="s">
        <v>1673</v>
      </c>
      <c r="E725" t="str">
        <f t="shared" si="11"/>
        <v>Sulpak8010000453</v>
      </c>
    </row>
    <row r="726" spans="1:5" x14ac:dyDescent="0.3">
      <c r="A726" t="s">
        <v>446</v>
      </c>
      <c r="B726">
        <v>2211401128</v>
      </c>
      <c r="C726" t="s">
        <v>372</v>
      </c>
      <c r="D726" t="s">
        <v>1674</v>
      </c>
      <c r="E726" t="str">
        <f t="shared" si="11"/>
        <v>Sulpak2211401128</v>
      </c>
    </row>
    <row r="727" spans="1:5" x14ac:dyDescent="0.3">
      <c r="A727" t="s">
        <v>446</v>
      </c>
      <c r="B727">
        <v>2211401132</v>
      </c>
      <c r="C727" t="s">
        <v>373</v>
      </c>
      <c r="D727" t="s">
        <v>1675</v>
      </c>
      <c r="E727" t="str">
        <f t="shared" si="11"/>
        <v>Sulpak2211401132</v>
      </c>
    </row>
    <row r="728" spans="1:5" x14ac:dyDescent="0.3">
      <c r="A728" t="s">
        <v>446</v>
      </c>
      <c r="B728">
        <v>7211004463</v>
      </c>
      <c r="C728" t="s">
        <v>110</v>
      </c>
      <c r="D728" t="s">
        <v>1676</v>
      </c>
      <c r="E728" t="str">
        <f t="shared" si="11"/>
        <v>Sulpak7211004463</v>
      </c>
    </row>
    <row r="729" spans="1:5" x14ac:dyDescent="0.3">
      <c r="A729" t="s">
        <v>446</v>
      </c>
      <c r="B729">
        <v>7211004773</v>
      </c>
      <c r="C729" t="s">
        <v>1677</v>
      </c>
      <c r="D729" t="s">
        <v>1678</v>
      </c>
      <c r="E729" t="str">
        <f t="shared" si="11"/>
        <v>Sulpak7211004773</v>
      </c>
    </row>
    <row r="730" spans="1:5" x14ac:dyDescent="0.3">
      <c r="A730" t="s">
        <v>446</v>
      </c>
      <c r="B730">
        <v>1830008444</v>
      </c>
      <c r="C730" t="s">
        <v>1679</v>
      </c>
      <c r="D730" t="s">
        <v>1680</v>
      </c>
      <c r="E730" t="str">
        <f t="shared" si="11"/>
        <v>Sulpak1830008444</v>
      </c>
    </row>
    <row r="731" spans="1:5" x14ac:dyDescent="0.3">
      <c r="A731" t="s">
        <v>446</v>
      </c>
      <c r="B731">
        <v>1830008076</v>
      </c>
      <c r="C731" t="s">
        <v>1681</v>
      </c>
      <c r="D731" t="s">
        <v>1682</v>
      </c>
      <c r="E731" t="str">
        <f t="shared" si="11"/>
        <v>Sulpak1830008076</v>
      </c>
    </row>
    <row r="732" spans="1:5" x14ac:dyDescent="0.3">
      <c r="A732" t="s">
        <v>446</v>
      </c>
      <c r="B732">
        <v>8010001135</v>
      </c>
      <c r="C732" t="s">
        <v>398</v>
      </c>
      <c r="D732" t="s">
        <v>1683</v>
      </c>
      <c r="E732" t="str">
        <f t="shared" si="11"/>
        <v>Sulpak8010001135</v>
      </c>
    </row>
    <row r="733" spans="1:5" x14ac:dyDescent="0.3">
      <c r="A733" t="s">
        <v>446</v>
      </c>
      <c r="B733">
        <v>8000035583</v>
      </c>
      <c r="C733" t="s">
        <v>1684</v>
      </c>
      <c r="D733" t="s">
        <v>1685</v>
      </c>
      <c r="E733" t="str">
        <f t="shared" si="11"/>
        <v>Sulpak8000035583</v>
      </c>
    </row>
    <row r="734" spans="1:5" x14ac:dyDescent="0.3">
      <c r="A734" t="s">
        <v>446</v>
      </c>
      <c r="B734">
        <v>8010000031</v>
      </c>
      <c r="C734" t="s">
        <v>1686</v>
      </c>
      <c r="D734" t="s">
        <v>1687</v>
      </c>
      <c r="E734" t="str">
        <f t="shared" si="11"/>
        <v>Sulpak8010000031</v>
      </c>
    </row>
    <row r="735" spans="1:5" x14ac:dyDescent="0.3">
      <c r="A735" t="s">
        <v>446</v>
      </c>
      <c r="B735">
        <v>2100104356</v>
      </c>
      <c r="C735" t="s">
        <v>1688</v>
      </c>
      <c r="D735" t="s">
        <v>1689</v>
      </c>
      <c r="E735" t="str">
        <f t="shared" si="11"/>
        <v>Sulpak2100104356</v>
      </c>
    </row>
    <row r="736" spans="1:5" x14ac:dyDescent="0.3">
      <c r="A736" t="s">
        <v>446</v>
      </c>
      <c r="B736">
        <v>1830006444</v>
      </c>
      <c r="C736" t="s">
        <v>1690</v>
      </c>
      <c r="D736" t="s">
        <v>1691</v>
      </c>
      <c r="E736" t="str">
        <f t="shared" si="11"/>
        <v>Sulpak1830006444</v>
      </c>
    </row>
    <row r="737" spans="1:5" x14ac:dyDescent="0.3">
      <c r="A737" t="s">
        <v>446</v>
      </c>
      <c r="B737">
        <v>1510002153</v>
      </c>
      <c r="C737" t="s">
        <v>1692</v>
      </c>
      <c r="D737" t="s">
        <v>1693</v>
      </c>
      <c r="E737" t="str">
        <f t="shared" si="11"/>
        <v>Sulpak1510002153</v>
      </c>
    </row>
    <row r="738" spans="1:5" x14ac:dyDescent="0.3">
      <c r="A738" t="s">
        <v>446</v>
      </c>
      <c r="B738">
        <v>1830008532</v>
      </c>
      <c r="C738" t="s">
        <v>1694</v>
      </c>
      <c r="D738" t="s">
        <v>1695</v>
      </c>
      <c r="E738" t="str">
        <f t="shared" si="11"/>
        <v>Sulpak1830008532</v>
      </c>
    </row>
    <row r="739" spans="1:5" x14ac:dyDescent="0.3">
      <c r="A739" t="s">
        <v>446</v>
      </c>
      <c r="B739">
        <v>1830008173</v>
      </c>
      <c r="C739" t="s">
        <v>1696</v>
      </c>
      <c r="D739" t="s">
        <v>1697</v>
      </c>
      <c r="E739" t="str">
        <f t="shared" si="11"/>
        <v>Sulpak1830008173</v>
      </c>
    </row>
    <row r="740" spans="1:5" x14ac:dyDescent="0.3">
      <c r="A740" t="s">
        <v>446</v>
      </c>
      <c r="B740">
        <v>1830008334</v>
      </c>
      <c r="C740" t="s">
        <v>1698</v>
      </c>
      <c r="D740" t="s">
        <v>1699</v>
      </c>
      <c r="E740" t="str">
        <f t="shared" si="11"/>
        <v>Sulpak1830008334</v>
      </c>
    </row>
    <row r="741" spans="1:5" x14ac:dyDescent="0.3">
      <c r="A741" t="s">
        <v>446</v>
      </c>
      <c r="B741">
        <v>1830008582</v>
      </c>
      <c r="C741" t="s">
        <v>1700</v>
      </c>
      <c r="D741" t="s">
        <v>1701</v>
      </c>
      <c r="E741" t="str">
        <f t="shared" si="11"/>
        <v>Sulpak1830008582</v>
      </c>
    </row>
    <row r="742" spans="1:5" x14ac:dyDescent="0.3">
      <c r="A742" t="s">
        <v>446</v>
      </c>
      <c r="B742">
        <v>1830008025</v>
      </c>
      <c r="C742" t="s">
        <v>353</v>
      </c>
      <c r="D742" t="s">
        <v>1702</v>
      </c>
      <c r="E742" t="str">
        <f t="shared" si="11"/>
        <v>Sulpak1830008025</v>
      </c>
    </row>
    <row r="743" spans="1:5" x14ac:dyDescent="0.3">
      <c r="A743" t="s">
        <v>446</v>
      </c>
      <c r="B743">
        <v>2211401012</v>
      </c>
      <c r="C743" t="s">
        <v>1703</v>
      </c>
      <c r="D743" t="s">
        <v>1704</v>
      </c>
      <c r="E743" t="str">
        <f t="shared" si="11"/>
        <v>Sulpak2211401012</v>
      </c>
    </row>
    <row r="744" spans="1:5" x14ac:dyDescent="0.3">
      <c r="A744" t="s">
        <v>446</v>
      </c>
      <c r="B744">
        <v>1830008586</v>
      </c>
      <c r="C744" t="s">
        <v>1705</v>
      </c>
      <c r="D744" t="s">
        <v>1706</v>
      </c>
      <c r="E744" t="str">
        <f t="shared" si="11"/>
        <v>Sulpak1830008586</v>
      </c>
    </row>
    <row r="745" spans="1:5" x14ac:dyDescent="0.3">
      <c r="A745" t="s">
        <v>446</v>
      </c>
      <c r="B745">
        <v>1830008441</v>
      </c>
      <c r="C745" t="s">
        <v>1707</v>
      </c>
      <c r="D745" t="s">
        <v>1708</v>
      </c>
      <c r="E745" t="str">
        <f t="shared" si="11"/>
        <v>Sulpak1830008441</v>
      </c>
    </row>
    <row r="746" spans="1:5" x14ac:dyDescent="0.3">
      <c r="A746" t="s">
        <v>446</v>
      </c>
      <c r="B746">
        <v>1830007849</v>
      </c>
      <c r="C746" t="s">
        <v>1709</v>
      </c>
      <c r="D746" t="s">
        <v>1710</v>
      </c>
      <c r="E746" t="str">
        <f t="shared" si="11"/>
        <v>Sulpak1830007849</v>
      </c>
    </row>
    <row r="747" spans="1:5" x14ac:dyDescent="0.3">
      <c r="A747" t="s">
        <v>446</v>
      </c>
      <c r="B747">
        <v>7211004399</v>
      </c>
      <c r="C747" t="s">
        <v>1711</v>
      </c>
      <c r="D747" t="s">
        <v>1712</v>
      </c>
      <c r="E747" t="str">
        <f t="shared" si="11"/>
        <v>Sulpak7211004399</v>
      </c>
    </row>
    <row r="748" spans="1:5" x14ac:dyDescent="0.3">
      <c r="A748" t="s">
        <v>446</v>
      </c>
      <c r="B748">
        <v>7211004511</v>
      </c>
      <c r="C748" t="s">
        <v>1713</v>
      </c>
      <c r="D748" t="s">
        <v>1714</v>
      </c>
      <c r="E748" t="str">
        <f t="shared" si="11"/>
        <v>Sulpak7211004511</v>
      </c>
    </row>
    <row r="749" spans="1:5" x14ac:dyDescent="0.3">
      <c r="A749" t="s">
        <v>446</v>
      </c>
      <c r="B749">
        <v>8010000033</v>
      </c>
      <c r="C749" t="s">
        <v>64</v>
      </c>
      <c r="D749" t="s">
        <v>1715</v>
      </c>
      <c r="E749" t="str">
        <f t="shared" si="11"/>
        <v>Sulpak8010000033</v>
      </c>
    </row>
    <row r="750" spans="1:5" x14ac:dyDescent="0.3">
      <c r="A750" t="s">
        <v>446</v>
      </c>
      <c r="B750">
        <v>2100096005</v>
      </c>
      <c r="C750" t="s">
        <v>1716</v>
      </c>
      <c r="D750" t="s">
        <v>1717</v>
      </c>
      <c r="E750" t="str">
        <f t="shared" si="11"/>
        <v>Sulpak2100096005</v>
      </c>
    </row>
    <row r="751" spans="1:5" x14ac:dyDescent="0.3">
      <c r="A751" t="s">
        <v>446</v>
      </c>
      <c r="B751">
        <v>2211401093</v>
      </c>
      <c r="C751" t="s">
        <v>392</v>
      </c>
      <c r="D751" t="s">
        <v>1718</v>
      </c>
      <c r="E751" t="str">
        <f t="shared" si="11"/>
        <v>Sulpak2211401093</v>
      </c>
    </row>
    <row r="752" spans="1:5" x14ac:dyDescent="0.3">
      <c r="A752" t="s">
        <v>446</v>
      </c>
      <c r="B752">
        <v>2211401094</v>
      </c>
      <c r="C752" t="s">
        <v>391</v>
      </c>
      <c r="D752" t="s">
        <v>1719</v>
      </c>
      <c r="E752" t="str">
        <f t="shared" si="11"/>
        <v>Sulpak2211401094</v>
      </c>
    </row>
    <row r="753" spans="1:5" x14ac:dyDescent="0.3">
      <c r="A753" t="s">
        <v>446</v>
      </c>
      <c r="B753">
        <v>2211401092</v>
      </c>
      <c r="C753" t="s">
        <v>393</v>
      </c>
      <c r="D753" t="s">
        <v>1720</v>
      </c>
      <c r="E753" t="str">
        <f t="shared" si="11"/>
        <v>Sulpak2211401092</v>
      </c>
    </row>
    <row r="754" spans="1:5" x14ac:dyDescent="0.3">
      <c r="A754" t="s">
        <v>446</v>
      </c>
      <c r="B754">
        <v>1510001937</v>
      </c>
      <c r="C754" t="s">
        <v>1655</v>
      </c>
      <c r="D754" t="s">
        <v>1721</v>
      </c>
      <c r="E754" t="str">
        <f t="shared" si="11"/>
        <v>Sulpak1510001937</v>
      </c>
    </row>
    <row r="755" spans="1:5" x14ac:dyDescent="0.3">
      <c r="A755" t="s">
        <v>446</v>
      </c>
      <c r="B755">
        <v>7211004682</v>
      </c>
      <c r="C755" t="s">
        <v>119</v>
      </c>
      <c r="D755" t="s">
        <v>1722</v>
      </c>
      <c r="E755" t="str">
        <f t="shared" si="11"/>
        <v>Sulpak7211004682</v>
      </c>
    </row>
    <row r="756" spans="1:5" x14ac:dyDescent="0.3">
      <c r="A756" t="s">
        <v>446</v>
      </c>
      <c r="B756">
        <v>7211004670</v>
      </c>
      <c r="C756" t="s">
        <v>404</v>
      </c>
      <c r="D756" t="s">
        <v>1723</v>
      </c>
      <c r="E756" t="str">
        <f t="shared" si="11"/>
        <v>Sulpak7211004670</v>
      </c>
    </row>
    <row r="757" spans="1:5" x14ac:dyDescent="0.3">
      <c r="A757" t="s">
        <v>446</v>
      </c>
      <c r="B757">
        <v>7211004232</v>
      </c>
      <c r="C757" t="s">
        <v>1724</v>
      </c>
      <c r="D757" t="s">
        <v>1725</v>
      </c>
      <c r="E757" t="str">
        <f t="shared" si="11"/>
        <v>Sulpak7211004232</v>
      </c>
    </row>
    <row r="758" spans="1:5" x14ac:dyDescent="0.3">
      <c r="A758" t="s">
        <v>446</v>
      </c>
      <c r="B758">
        <v>1830007796</v>
      </c>
      <c r="C758" t="s">
        <v>1726</v>
      </c>
      <c r="D758" t="s">
        <v>1727</v>
      </c>
      <c r="E758" t="str">
        <f t="shared" si="11"/>
        <v>Sulpak1830007796</v>
      </c>
    </row>
    <row r="759" spans="1:5" x14ac:dyDescent="0.3">
      <c r="A759" t="s">
        <v>446</v>
      </c>
      <c r="B759">
        <v>1830008555</v>
      </c>
      <c r="C759" t="s">
        <v>1728</v>
      </c>
      <c r="D759" t="s">
        <v>1729</v>
      </c>
      <c r="E759" t="str">
        <f t="shared" si="11"/>
        <v>Sulpak1830008555</v>
      </c>
    </row>
    <row r="760" spans="1:5" x14ac:dyDescent="0.3">
      <c r="A760" t="s">
        <v>446</v>
      </c>
      <c r="B760">
        <v>1830006275</v>
      </c>
      <c r="C760" t="s">
        <v>1730</v>
      </c>
      <c r="D760" t="s">
        <v>1731</v>
      </c>
      <c r="E760" t="str">
        <f t="shared" si="11"/>
        <v>Sulpak1830006275</v>
      </c>
    </row>
    <row r="761" spans="1:5" x14ac:dyDescent="0.3">
      <c r="A761" t="s">
        <v>446</v>
      </c>
      <c r="B761">
        <v>1830007960</v>
      </c>
      <c r="C761" t="s">
        <v>1732</v>
      </c>
      <c r="D761" t="s">
        <v>1733</v>
      </c>
      <c r="E761" t="str">
        <f t="shared" si="11"/>
        <v>Sulpak1830007960</v>
      </c>
    </row>
    <row r="762" spans="1:5" x14ac:dyDescent="0.3">
      <c r="A762" t="s">
        <v>446</v>
      </c>
      <c r="B762">
        <v>9100046090</v>
      </c>
      <c r="C762">
        <v>4212522</v>
      </c>
      <c r="D762" t="s">
        <v>1734</v>
      </c>
      <c r="E762" t="str">
        <f t="shared" si="11"/>
        <v>Sulpak9100046090</v>
      </c>
    </row>
    <row r="763" spans="1:5" x14ac:dyDescent="0.3">
      <c r="A763" t="s">
        <v>446</v>
      </c>
      <c r="B763">
        <v>9100046089</v>
      </c>
      <c r="C763">
        <v>4212128</v>
      </c>
      <c r="D763" t="s">
        <v>1735</v>
      </c>
      <c r="E763" t="str">
        <f t="shared" si="11"/>
        <v>Sulpak9100046089</v>
      </c>
    </row>
    <row r="764" spans="1:5" x14ac:dyDescent="0.3">
      <c r="A764" t="s">
        <v>446</v>
      </c>
      <c r="B764">
        <v>9100046087</v>
      </c>
      <c r="C764">
        <v>4212124</v>
      </c>
      <c r="D764" t="s">
        <v>1736</v>
      </c>
      <c r="E764" t="str">
        <f t="shared" si="11"/>
        <v>Sulpak9100046087</v>
      </c>
    </row>
    <row r="765" spans="1:5" x14ac:dyDescent="0.3">
      <c r="A765" t="s">
        <v>446</v>
      </c>
      <c r="B765">
        <v>9100047581</v>
      </c>
      <c r="C765" t="s">
        <v>1737</v>
      </c>
      <c r="D765" t="s">
        <v>1738</v>
      </c>
      <c r="E765" t="str">
        <f t="shared" si="11"/>
        <v>Sulpak9100047581</v>
      </c>
    </row>
    <row r="766" spans="1:5" x14ac:dyDescent="0.3">
      <c r="A766" t="s">
        <v>446</v>
      </c>
      <c r="B766">
        <v>9100047580</v>
      </c>
      <c r="C766" t="s">
        <v>1739</v>
      </c>
      <c r="D766" t="s">
        <v>1740</v>
      </c>
      <c r="E766" t="str">
        <f t="shared" si="11"/>
        <v>Sulpak9100047580</v>
      </c>
    </row>
    <row r="767" spans="1:5" x14ac:dyDescent="0.3">
      <c r="A767" t="s">
        <v>446</v>
      </c>
      <c r="B767">
        <v>9100046091</v>
      </c>
      <c r="C767">
        <v>4212628</v>
      </c>
      <c r="D767" t="s">
        <v>1741</v>
      </c>
      <c r="E767" t="str">
        <f t="shared" si="11"/>
        <v>Sulpak9100046091</v>
      </c>
    </row>
    <row r="768" spans="1:5" x14ac:dyDescent="0.3">
      <c r="A768" t="s">
        <v>446</v>
      </c>
      <c r="B768">
        <v>9100046088</v>
      </c>
      <c r="C768">
        <v>4212126</v>
      </c>
      <c r="D768" t="s">
        <v>1742</v>
      </c>
      <c r="E768" t="str">
        <f t="shared" si="11"/>
        <v>Sulpak9100046088</v>
      </c>
    </row>
    <row r="769" spans="1:5" x14ac:dyDescent="0.3">
      <c r="A769" t="s">
        <v>446</v>
      </c>
      <c r="B769">
        <v>2100125392</v>
      </c>
      <c r="C769" t="s">
        <v>399</v>
      </c>
      <c r="D769" t="s">
        <v>1743</v>
      </c>
      <c r="E769" t="str">
        <f t="shared" si="11"/>
        <v>Sulpak2100125392</v>
      </c>
    </row>
    <row r="770" spans="1:5" x14ac:dyDescent="0.3">
      <c r="A770" t="s">
        <v>446</v>
      </c>
      <c r="B770">
        <v>1830007627</v>
      </c>
      <c r="C770" t="s">
        <v>1744</v>
      </c>
      <c r="D770" t="s">
        <v>1745</v>
      </c>
      <c r="E770" t="str">
        <f t="shared" si="11"/>
        <v>Sulpak1830007627</v>
      </c>
    </row>
    <row r="771" spans="1:5" x14ac:dyDescent="0.3">
      <c r="A771" t="s">
        <v>446</v>
      </c>
      <c r="B771">
        <v>2211401142</v>
      </c>
      <c r="C771" t="s">
        <v>390</v>
      </c>
      <c r="D771" t="s">
        <v>1746</v>
      </c>
      <c r="E771" t="str">
        <f t="shared" ref="E771:E834" si="12">A771&amp;B771</f>
        <v>Sulpak2211401142</v>
      </c>
    </row>
    <row r="772" spans="1:5" x14ac:dyDescent="0.3">
      <c r="A772" t="s">
        <v>446</v>
      </c>
      <c r="B772">
        <v>2211401143</v>
      </c>
      <c r="C772" t="s">
        <v>389</v>
      </c>
      <c r="D772" t="s">
        <v>1747</v>
      </c>
      <c r="E772" t="str">
        <f t="shared" si="12"/>
        <v>Sulpak2211401143</v>
      </c>
    </row>
    <row r="773" spans="1:5" x14ac:dyDescent="0.3">
      <c r="A773" t="s">
        <v>446</v>
      </c>
      <c r="B773">
        <v>7211004612</v>
      </c>
      <c r="C773" t="s">
        <v>1748</v>
      </c>
      <c r="D773" t="s">
        <v>1749</v>
      </c>
      <c r="E773" t="str">
        <f t="shared" si="12"/>
        <v>Sulpak7211004612</v>
      </c>
    </row>
    <row r="774" spans="1:5" x14ac:dyDescent="0.3">
      <c r="A774" t="s">
        <v>446</v>
      </c>
      <c r="B774">
        <v>7211004571</v>
      </c>
      <c r="C774" t="s">
        <v>1750</v>
      </c>
      <c r="D774" t="s">
        <v>1751</v>
      </c>
      <c r="E774" t="str">
        <f t="shared" si="12"/>
        <v>Sulpak7211004571</v>
      </c>
    </row>
    <row r="775" spans="1:5" x14ac:dyDescent="0.3">
      <c r="A775" t="s">
        <v>446</v>
      </c>
      <c r="B775">
        <v>1510002152</v>
      </c>
      <c r="C775" t="s">
        <v>1752</v>
      </c>
      <c r="D775" t="s">
        <v>1753</v>
      </c>
      <c r="E775" t="str">
        <f t="shared" si="12"/>
        <v>Sulpak1510002152</v>
      </c>
    </row>
    <row r="776" spans="1:5" x14ac:dyDescent="0.3">
      <c r="A776" t="s">
        <v>446</v>
      </c>
      <c r="B776">
        <v>1510001319</v>
      </c>
      <c r="C776" t="s">
        <v>69</v>
      </c>
      <c r="D776" t="s">
        <v>1754</v>
      </c>
      <c r="E776" t="str">
        <f t="shared" si="12"/>
        <v>Sulpak1510001319</v>
      </c>
    </row>
    <row r="777" spans="1:5" x14ac:dyDescent="0.3">
      <c r="A777" t="s">
        <v>446</v>
      </c>
      <c r="B777">
        <v>9100049048</v>
      </c>
      <c r="C777">
        <v>4224124</v>
      </c>
      <c r="D777" t="s">
        <v>1755</v>
      </c>
      <c r="E777" t="str">
        <f t="shared" si="12"/>
        <v>Sulpak9100049048</v>
      </c>
    </row>
    <row r="778" spans="1:5" x14ac:dyDescent="0.3">
      <c r="A778" t="s">
        <v>446</v>
      </c>
      <c r="B778">
        <v>9100049049</v>
      </c>
      <c r="C778">
        <v>4224126</v>
      </c>
      <c r="D778" t="s">
        <v>1756</v>
      </c>
      <c r="E778" t="str">
        <f t="shared" si="12"/>
        <v>Sulpak9100049049</v>
      </c>
    </row>
    <row r="779" spans="1:5" x14ac:dyDescent="0.3">
      <c r="A779" t="s">
        <v>446</v>
      </c>
      <c r="B779">
        <v>9100049051</v>
      </c>
      <c r="C779">
        <v>4224525</v>
      </c>
      <c r="D779" t="s">
        <v>1757</v>
      </c>
      <c r="E779" t="str">
        <f t="shared" si="12"/>
        <v>Sulpak9100049051</v>
      </c>
    </row>
    <row r="780" spans="1:5" x14ac:dyDescent="0.3">
      <c r="A780" t="s">
        <v>446</v>
      </c>
      <c r="B780">
        <v>9100049050</v>
      </c>
      <c r="C780">
        <v>4224128</v>
      </c>
      <c r="D780" t="s">
        <v>1758</v>
      </c>
      <c r="E780" t="str">
        <f t="shared" si="12"/>
        <v>Sulpak9100049050</v>
      </c>
    </row>
    <row r="781" spans="1:5" x14ac:dyDescent="0.3">
      <c r="A781" t="s">
        <v>446</v>
      </c>
      <c r="B781">
        <v>1830008418</v>
      </c>
      <c r="C781" t="s">
        <v>1759</v>
      </c>
      <c r="D781" t="s">
        <v>1760</v>
      </c>
      <c r="E781" t="str">
        <f t="shared" si="12"/>
        <v>Sulpak1830008418</v>
      </c>
    </row>
    <row r="782" spans="1:5" x14ac:dyDescent="0.3">
      <c r="A782" t="s">
        <v>446</v>
      </c>
      <c r="B782">
        <v>1500636348</v>
      </c>
      <c r="C782" t="s">
        <v>1761</v>
      </c>
      <c r="D782" t="s">
        <v>1762</v>
      </c>
      <c r="E782" t="str">
        <f t="shared" si="12"/>
        <v>Sulpak1500636348</v>
      </c>
    </row>
    <row r="783" spans="1:5" x14ac:dyDescent="0.3">
      <c r="A783" t="s">
        <v>446</v>
      </c>
      <c r="B783">
        <v>1830007718</v>
      </c>
      <c r="C783" t="s">
        <v>1763</v>
      </c>
      <c r="D783" t="s">
        <v>1764</v>
      </c>
      <c r="E783" t="str">
        <f t="shared" si="12"/>
        <v>Sulpak1830007718</v>
      </c>
    </row>
    <row r="784" spans="1:5" x14ac:dyDescent="0.3">
      <c r="A784" t="s">
        <v>446</v>
      </c>
      <c r="B784">
        <v>1830007649</v>
      </c>
      <c r="C784" t="s">
        <v>1765</v>
      </c>
      <c r="D784" t="s">
        <v>1766</v>
      </c>
      <c r="E784" t="str">
        <f t="shared" si="12"/>
        <v>Sulpak1830007649</v>
      </c>
    </row>
    <row r="785" spans="1:5" x14ac:dyDescent="0.3">
      <c r="A785" t="s">
        <v>446</v>
      </c>
      <c r="B785">
        <v>1830008090</v>
      </c>
      <c r="C785" t="s">
        <v>1767</v>
      </c>
      <c r="D785" t="s">
        <v>1768</v>
      </c>
      <c r="E785" t="str">
        <f t="shared" si="12"/>
        <v>Sulpak1830008090</v>
      </c>
    </row>
    <row r="786" spans="1:5" x14ac:dyDescent="0.3">
      <c r="A786" t="s">
        <v>446</v>
      </c>
      <c r="B786">
        <v>1830007834</v>
      </c>
      <c r="C786" t="s">
        <v>1769</v>
      </c>
      <c r="D786" t="s">
        <v>1770</v>
      </c>
      <c r="E786" t="str">
        <f t="shared" si="12"/>
        <v>Sulpak1830007834</v>
      </c>
    </row>
    <row r="787" spans="1:5" x14ac:dyDescent="0.3">
      <c r="A787" t="s">
        <v>446</v>
      </c>
      <c r="B787">
        <v>1830008258</v>
      </c>
      <c r="C787" t="s">
        <v>99</v>
      </c>
      <c r="D787" t="s">
        <v>1771</v>
      </c>
      <c r="E787" t="str">
        <f t="shared" si="12"/>
        <v>Sulpak1830008258</v>
      </c>
    </row>
    <row r="788" spans="1:5" x14ac:dyDescent="0.3">
      <c r="A788" t="s">
        <v>446</v>
      </c>
      <c r="B788">
        <v>1830007912</v>
      </c>
      <c r="C788" t="s">
        <v>1772</v>
      </c>
      <c r="D788" t="s">
        <v>1773</v>
      </c>
      <c r="E788" t="str">
        <f t="shared" si="12"/>
        <v>Sulpak1830007912</v>
      </c>
    </row>
    <row r="789" spans="1:5" x14ac:dyDescent="0.3">
      <c r="A789" t="s">
        <v>446</v>
      </c>
      <c r="B789">
        <v>1830008259</v>
      </c>
      <c r="C789" t="s">
        <v>1774</v>
      </c>
      <c r="D789" t="s">
        <v>1775</v>
      </c>
      <c r="E789" t="str">
        <f t="shared" si="12"/>
        <v>Sulpak1830008259</v>
      </c>
    </row>
    <row r="790" spans="1:5" x14ac:dyDescent="0.3">
      <c r="A790" t="s">
        <v>446</v>
      </c>
      <c r="B790">
        <v>1830008407</v>
      </c>
      <c r="C790" t="s">
        <v>1776</v>
      </c>
      <c r="D790" t="s">
        <v>1777</v>
      </c>
      <c r="E790" t="str">
        <f t="shared" si="12"/>
        <v>Sulpak1830008407</v>
      </c>
    </row>
    <row r="791" spans="1:5" x14ac:dyDescent="0.3">
      <c r="A791" t="s">
        <v>446</v>
      </c>
      <c r="B791">
        <v>1830008261</v>
      </c>
      <c r="C791" t="s">
        <v>101</v>
      </c>
      <c r="D791" t="s">
        <v>1778</v>
      </c>
      <c r="E791" t="str">
        <f t="shared" si="12"/>
        <v>Sulpak1830008261</v>
      </c>
    </row>
    <row r="792" spans="1:5" x14ac:dyDescent="0.3">
      <c r="A792" t="s">
        <v>446</v>
      </c>
      <c r="B792">
        <v>2211400813</v>
      </c>
      <c r="C792" t="s">
        <v>1779</v>
      </c>
      <c r="D792" t="s">
        <v>1780</v>
      </c>
      <c r="E792" t="str">
        <f t="shared" si="12"/>
        <v>Sulpak2211400813</v>
      </c>
    </row>
    <row r="793" spans="1:5" x14ac:dyDescent="0.3">
      <c r="A793" t="s">
        <v>446</v>
      </c>
      <c r="B793">
        <v>2211400928</v>
      </c>
      <c r="C793" t="s">
        <v>1781</v>
      </c>
      <c r="D793" t="s">
        <v>1782</v>
      </c>
      <c r="E793" t="str">
        <f t="shared" si="12"/>
        <v>Sulpak2211400928</v>
      </c>
    </row>
    <row r="794" spans="1:5" x14ac:dyDescent="0.3">
      <c r="A794" t="s">
        <v>446</v>
      </c>
      <c r="B794">
        <v>1830007453</v>
      </c>
      <c r="C794" t="s">
        <v>1783</v>
      </c>
      <c r="D794" t="s">
        <v>1784</v>
      </c>
      <c r="E794" t="str">
        <f t="shared" si="12"/>
        <v>Sulpak1830007453</v>
      </c>
    </row>
    <row r="795" spans="1:5" x14ac:dyDescent="0.3">
      <c r="A795" t="s">
        <v>446</v>
      </c>
      <c r="B795">
        <v>1830006775</v>
      </c>
      <c r="C795" t="s">
        <v>1785</v>
      </c>
      <c r="D795" t="s">
        <v>1786</v>
      </c>
      <c r="E795" t="str">
        <f t="shared" si="12"/>
        <v>Sulpak1830006775</v>
      </c>
    </row>
    <row r="796" spans="1:5" x14ac:dyDescent="0.3">
      <c r="A796" t="s">
        <v>446</v>
      </c>
      <c r="B796">
        <v>2100123117</v>
      </c>
      <c r="C796" t="s">
        <v>428</v>
      </c>
      <c r="D796" t="s">
        <v>1787</v>
      </c>
      <c r="E796" t="str">
        <f t="shared" si="12"/>
        <v>Sulpak2100123117</v>
      </c>
    </row>
    <row r="797" spans="1:5" x14ac:dyDescent="0.3">
      <c r="A797" t="s">
        <v>446</v>
      </c>
      <c r="B797">
        <v>7211002749</v>
      </c>
      <c r="C797" t="s">
        <v>397</v>
      </c>
      <c r="D797" t="s">
        <v>1788</v>
      </c>
      <c r="E797" t="str">
        <f t="shared" si="12"/>
        <v>Sulpak7211002749</v>
      </c>
    </row>
    <row r="798" spans="1:5" x14ac:dyDescent="0.3">
      <c r="A798" t="s">
        <v>446</v>
      </c>
      <c r="B798">
        <v>7211004435</v>
      </c>
      <c r="C798" t="s">
        <v>413</v>
      </c>
      <c r="D798" t="s">
        <v>1789</v>
      </c>
      <c r="E798" t="str">
        <f t="shared" si="12"/>
        <v>Sulpak7211004435</v>
      </c>
    </row>
    <row r="799" spans="1:5" x14ac:dyDescent="0.3">
      <c r="A799" t="s">
        <v>446</v>
      </c>
      <c r="B799">
        <v>7211002804</v>
      </c>
      <c r="C799" t="s">
        <v>1790</v>
      </c>
      <c r="D799" t="s">
        <v>1791</v>
      </c>
      <c r="E799" t="str">
        <f t="shared" si="12"/>
        <v>Sulpak7211002804</v>
      </c>
    </row>
    <row r="800" spans="1:5" x14ac:dyDescent="0.3">
      <c r="A800" t="s">
        <v>446</v>
      </c>
      <c r="B800">
        <v>7211004259</v>
      </c>
      <c r="C800" t="s">
        <v>419</v>
      </c>
      <c r="D800" t="s">
        <v>1792</v>
      </c>
      <c r="E800" t="str">
        <f t="shared" si="12"/>
        <v>Sulpak7211004259</v>
      </c>
    </row>
    <row r="801" spans="1:5" x14ac:dyDescent="0.3">
      <c r="A801" t="s">
        <v>446</v>
      </c>
      <c r="B801">
        <v>7211004669</v>
      </c>
      <c r="C801" t="s">
        <v>403</v>
      </c>
      <c r="D801" t="s">
        <v>1793</v>
      </c>
      <c r="E801" t="str">
        <f t="shared" si="12"/>
        <v>Sulpak7211004669</v>
      </c>
    </row>
    <row r="802" spans="1:5" x14ac:dyDescent="0.3">
      <c r="A802" t="s">
        <v>447</v>
      </c>
      <c r="B802">
        <v>2100118307</v>
      </c>
      <c r="C802" t="s">
        <v>1209</v>
      </c>
      <c r="D802" t="s">
        <v>1794</v>
      </c>
      <c r="E802" t="str">
        <f t="shared" si="12"/>
        <v>Mechta2100118307</v>
      </c>
    </row>
    <row r="803" spans="1:5" x14ac:dyDescent="0.3">
      <c r="A803" t="s">
        <v>447</v>
      </c>
      <c r="B803">
        <v>7211003308</v>
      </c>
      <c r="C803" t="s">
        <v>871</v>
      </c>
      <c r="D803" t="s">
        <v>1795</v>
      </c>
      <c r="E803" t="str">
        <f t="shared" si="12"/>
        <v>Mechta7211003308</v>
      </c>
    </row>
    <row r="804" spans="1:5" x14ac:dyDescent="0.3">
      <c r="A804" t="s">
        <v>447</v>
      </c>
      <c r="B804">
        <v>2100118285</v>
      </c>
      <c r="C804" t="s">
        <v>92</v>
      </c>
      <c r="D804" t="s">
        <v>273</v>
      </c>
      <c r="E804" t="str">
        <f t="shared" si="12"/>
        <v>Mechta2100118285</v>
      </c>
    </row>
    <row r="805" spans="1:5" x14ac:dyDescent="0.3">
      <c r="A805" t="s">
        <v>447</v>
      </c>
      <c r="B805">
        <v>2100110589</v>
      </c>
      <c r="C805" t="s">
        <v>1488</v>
      </c>
      <c r="D805" t="s">
        <v>1796</v>
      </c>
      <c r="E805" t="str">
        <f t="shared" si="12"/>
        <v>Mechta2100110589</v>
      </c>
    </row>
    <row r="806" spans="1:5" x14ac:dyDescent="0.3">
      <c r="A806" t="s">
        <v>447</v>
      </c>
      <c r="B806">
        <v>2100068613</v>
      </c>
      <c r="C806" t="s">
        <v>484</v>
      </c>
      <c r="D806" t="s">
        <v>1797</v>
      </c>
      <c r="E806" t="str">
        <f t="shared" si="12"/>
        <v>Mechta2100068613</v>
      </c>
    </row>
    <row r="807" spans="1:5" x14ac:dyDescent="0.3">
      <c r="A807" t="s">
        <v>447</v>
      </c>
      <c r="B807">
        <v>2100060368</v>
      </c>
      <c r="C807" t="s">
        <v>1798</v>
      </c>
      <c r="D807" t="s">
        <v>1799</v>
      </c>
      <c r="E807" t="str">
        <f t="shared" si="12"/>
        <v>Mechta2100060368</v>
      </c>
    </row>
    <row r="808" spans="1:5" x14ac:dyDescent="0.3">
      <c r="A808" t="s">
        <v>447</v>
      </c>
      <c r="B808">
        <v>4100000622</v>
      </c>
      <c r="C808" t="s">
        <v>1406</v>
      </c>
      <c r="D808" t="s">
        <v>1800</v>
      </c>
      <c r="E808" t="str">
        <f t="shared" si="12"/>
        <v>Mechta4100000622</v>
      </c>
    </row>
    <row r="809" spans="1:5" x14ac:dyDescent="0.3">
      <c r="A809" t="s">
        <v>447</v>
      </c>
      <c r="B809">
        <v>4100000737</v>
      </c>
      <c r="C809" t="s">
        <v>1801</v>
      </c>
      <c r="D809" t="s">
        <v>1802</v>
      </c>
      <c r="E809" t="str">
        <f t="shared" si="12"/>
        <v>Mechta4100000737</v>
      </c>
    </row>
    <row r="810" spans="1:5" x14ac:dyDescent="0.3">
      <c r="A810" t="s">
        <v>447</v>
      </c>
      <c r="B810">
        <v>1830007687</v>
      </c>
      <c r="C810" t="s">
        <v>1402</v>
      </c>
      <c r="D810" t="s">
        <v>1803</v>
      </c>
      <c r="E810" t="str">
        <f t="shared" si="12"/>
        <v>Mechta1830007687</v>
      </c>
    </row>
    <row r="811" spans="1:5" x14ac:dyDescent="0.3">
      <c r="A811" t="s">
        <v>447</v>
      </c>
      <c r="B811">
        <v>4100000128</v>
      </c>
      <c r="C811" t="s">
        <v>1804</v>
      </c>
      <c r="D811" t="s">
        <v>1805</v>
      </c>
      <c r="E811" t="str">
        <f t="shared" si="12"/>
        <v>Mechta4100000128</v>
      </c>
    </row>
    <row r="812" spans="1:5" x14ac:dyDescent="0.3">
      <c r="A812" t="s">
        <v>447</v>
      </c>
      <c r="B812">
        <v>4100000626</v>
      </c>
      <c r="C812" t="s">
        <v>1806</v>
      </c>
      <c r="D812" t="s">
        <v>1807</v>
      </c>
      <c r="E812" t="str">
        <f t="shared" si="12"/>
        <v>Mechta4100000626</v>
      </c>
    </row>
    <row r="813" spans="1:5" x14ac:dyDescent="0.3">
      <c r="A813" t="s">
        <v>447</v>
      </c>
      <c r="B813">
        <v>4100000739</v>
      </c>
      <c r="C813" t="s">
        <v>1808</v>
      </c>
      <c r="D813" t="s">
        <v>1809</v>
      </c>
      <c r="E813" t="str">
        <f t="shared" si="12"/>
        <v>Mechta4100000739</v>
      </c>
    </row>
    <row r="814" spans="1:5" x14ac:dyDescent="0.3">
      <c r="A814" t="s">
        <v>447</v>
      </c>
      <c r="B814">
        <v>1830006377</v>
      </c>
      <c r="C814" t="s">
        <v>1810</v>
      </c>
      <c r="D814" t="s">
        <v>1811</v>
      </c>
      <c r="E814" t="str">
        <f t="shared" si="12"/>
        <v>Mechta1830006377</v>
      </c>
    </row>
    <row r="815" spans="1:5" x14ac:dyDescent="0.3">
      <c r="A815" t="s">
        <v>447</v>
      </c>
      <c r="B815">
        <v>1830006929</v>
      </c>
      <c r="C815" t="s">
        <v>829</v>
      </c>
      <c r="D815" t="s">
        <v>1812</v>
      </c>
      <c r="E815" t="str">
        <f t="shared" si="12"/>
        <v>Mechta1830006929</v>
      </c>
    </row>
    <row r="816" spans="1:5" x14ac:dyDescent="0.3">
      <c r="A816" t="s">
        <v>447</v>
      </c>
      <c r="B816">
        <v>1830006444</v>
      </c>
      <c r="C816" t="s">
        <v>1690</v>
      </c>
      <c r="D816" t="s">
        <v>1813</v>
      </c>
      <c r="E816" t="str">
        <f t="shared" si="12"/>
        <v>Mechta1830006444</v>
      </c>
    </row>
    <row r="817" spans="1:5" x14ac:dyDescent="0.3">
      <c r="A817" t="s">
        <v>447</v>
      </c>
      <c r="B817">
        <v>1830008137</v>
      </c>
      <c r="C817" t="s">
        <v>1400</v>
      </c>
      <c r="D817" t="s">
        <v>1814</v>
      </c>
      <c r="E817" t="str">
        <f t="shared" si="12"/>
        <v>Mechta1830008137</v>
      </c>
    </row>
    <row r="818" spans="1:5" x14ac:dyDescent="0.3">
      <c r="A818" t="s">
        <v>447</v>
      </c>
      <c r="B818">
        <v>2100102187</v>
      </c>
      <c r="C818" t="s">
        <v>1457</v>
      </c>
      <c r="D818" t="s">
        <v>1815</v>
      </c>
      <c r="E818" t="str">
        <f t="shared" si="12"/>
        <v>Mechta2100102187</v>
      </c>
    </row>
    <row r="819" spans="1:5" x14ac:dyDescent="0.3">
      <c r="A819" t="s">
        <v>447</v>
      </c>
      <c r="B819">
        <v>2211400233</v>
      </c>
      <c r="C819" t="s">
        <v>849</v>
      </c>
      <c r="D819" t="s">
        <v>1816</v>
      </c>
      <c r="E819" t="str">
        <f t="shared" si="12"/>
        <v>Mechta2211400233</v>
      </c>
    </row>
    <row r="820" spans="1:5" x14ac:dyDescent="0.3">
      <c r="A820" t="s">
        <v>447</v>
      </c>
      <c r="B820">
        <v>2211400880</v>
      </c>
      <c r="C820" t="s">
        <v>1135</v>
      </c>
      <c r="D820" t="s">
        <v>1817</v>
      </c>
      <c r="E820" t="str">
        <f t="shared" si="12"/>
        <v>Mechta2211400880</v>
      </c>
    </row>
    <row r="821" spans="1:5" x14ac:dyDescent="0.3">
      <c r="A821" t="s">
        <v>447</v>
      </c>
      <c r="B821">
        <v>2211400814</v>
      </c>
      <c r="C821" t="s">
        <v>1818</v>
      </c>
      <c r="D821" t="s">
        <v>1819</v>
      </c>
      <c r="E821" t="str">
        <f t="shared" si="12"/>
        <v>Mechta2211400814</v>
      </c>
    </row>
    <row r="822" spans="1:5" x14ac:dyDescent="0.3">
      <c r="A822" t="s">
        <v>447</v>
      </c>
      <c r="B822">
        <v>2211400613</v>
      </c>
      <c r="C822" t="s">
        <v>1179</v>
      </c>
      <c r="D822" t="s">
        <v>1820</v>
      </c>
      <c r="E822" t="str">
        <f t="shared" si="12"/>
        <v>Mechta2211400613</v>
      </c>
    </row>
    <row r="823" spans="1:5" x14ac:dyDescent="0.3">
      <c r="A823" t="s">
        <v>447</v>
      </c>
      <c r="B823">
        <v>2211400778</v>
      </c>
      <c r="C823" t="s">
        <v>1126</v>
      </c>
      <c r="D823" t="s">
        <v>1821</v>
      </c>
      <c r="E823" t="str">
        <f t="shared" si="12"/>
        <v>Mechta2211400778</v>
      </c>
    </row>
    <row r="824" spans="1:5" x14ac:dyDescent="0.3">
      <c r="A824" t="s">
        <v>447</v>
      </c>
      <c r="B824">
        <v>2211400535</v>
      </c>
      <c r="C824" t="s">
        <v>968</v>
      </c>
      <c r="D824" t="s">
        <v>1822</v>
      </c>
      <c r="E824" t="str">
        <f t="shared" si="12"/>
        <v>Mechta2211400535</v>
      </c>
    </row>
    <row r="825" spans="1:5" x14ac:dyDescent="0.3">
      <c r="A825" t="s">
        <v>447</v>
      </c>
      <c r="B825">
        <v>2211400825</v>
      </c>
      <c r="C825" t="s">
        <v>1277</v>
      </c>
      <c r="D825" t="s">
        <v>1823</v>
      </c>
      <c r="E825" t="str">
        <f t="shared" si="12"/>
        <v>Mechta2211400825</v>
      </c>
    </row>
    <row r="826" spans="1:5" x14ac:dyDescent="0.3">
      <c r="A826" t="s">
        <v>447</v>
      </c>
      <c r="B826">
        <v>2211400824</v>
      </c>
      <c r="C826" t="s">
        <v>1130</v>
      </c>
      <c r="D826" t="s">
        <v>1824</v>
      </c>
      <c r="E826" t="str">
        <f t="shared" si="12"/>
        <v>Mechta2211400824</v>
      </c>
    </row>
    <row r="827" spans="1:5" x14ac:dyDescent="0.3">
      <c r="A827" t="s">
        <v>447</v>
      </c>
      <c r="B827">
        <v>2211400886</v>
      </c>
      <c r="C827" t="s">
        <v>1128</v>
      </c>
      <c r="D827" t="s">
        <v>1825</v>
      </c>
      <c r="E827" t="str">
        <f t="shared" si="12"/>
        <v>Mechta2211400886</v>
      </c>
    </row>
    <row r="828" spans="1:5" x14ac:dyDescent="0.3">
      <c r="A828" t="s">
        <v>447</v>
      </c>
      <c r="B828">
        <v>2211400888</v>
      </c>
      <c r="C828" t="s">
        <v>38</v>
      </c>
      <c r="D828" t="s">
        <v>1826</v>
      </c>
      <c r="E828" t="str">
        <f t="shared" si="12"/>
        <v>Mechta2211400888</v>
      </c>
    </row>
    <row r="829" spans="1:5" x14ac:dyDescent="0.3">
      <c r="A829" t="s">
        <v>447</v>
      </c>
      <c r="B829">
        <v>2211401128</v>
      </c>
      <c r="C829" t="s">
        <v>372</v>
      </c>
      <c r="D829" t="s">
        <v>1827</v>
      </c>
      <c r="E829" t="str">
        <f t="shared" si="12"/>
        <v>Mechta2211401128</v>
      </c>
    </row>
    <row r="830" spans="1:5" x14ac:dyDescent="0.3">
      <c r="A830" t="s">
        <v>447</v>
      </c>
      <c r="B830">
        <v>2211401132</v>
      </c>
      <c r="C830" t="s">
        <v>373</v>
      </c>
      <c r="D830" t="s">
        <v>1828</v>
      </c>
      <c r="E830" t="str">
        <f t="shared" si="12"/>
        <v>Mechta2211401132</v>
      </c>
    </row>
    <row r="831" spans="1:5" x14ac:dyDescent="0.3">
      <c r="A831" t="s">
        <v>447</v>
      </c>
      <c r="B831">
        <v>2211400979</v>
      </c>
      <c r="C831" t="s">
        <v>37</v>
      </c>
      <c r="D831" t="s">
        <v>241</v>
      </c>
      <c r="E831" t="str">
        <f t="shared" si="12"/>
        <v>Mechta2211400979</v>
      </c>
    </row>
    <row r="832" spans="1:5" x14ac:dyDescent="0.3">
      <c r="A832" t="s">
        <v>447</v>
      </c>
      <c r="B832">
        <v>2211400977</v>
      </c>
      <c r="C832" t="s">
        <v>35</v>
      </c>
      <c r="D832" t="s">
        <v>238</v>
      </c>
      <c r="E832" t="str">
        <f t="shared" si="12"/>
        <v>Mechta2211400977</v>
      </c>
    </row>
    <row r="833" spans="1:5" x14ac:dyDescent="0.3">
      <c r="A833" t="s">
        <v>447</v>
      </c>
      <c r="B833">
        <v>2211401142</v>
      </c>
      <c r="C833" t="s">
        <v>390</v>
      </c>
      <c r="D833" t="s">
        <v>1829</v>
      </c>
      <c r="E833" t="str">
        <f t="shared" si="12"/>
        <v>Mechta2211401142</v>
      </c>
    </row>
    <row r="834" spans="1:5" x14ac:dyDescent="0.3">
      <c r="A834" t="s">
        <v>447</v>
      </c>
      <c r="B834">
        <v>2211401143</v>
      </c>
      <c r="C834" t="s">
        <v>389</v>
      </c>
      <c r="D834" t="s">
        <v>1830</v>
      </c>
      <c r="E834" t="str">
        <f t="shared" si="12"/>
        <v>Mechta2211401143</v>
      </c>
    </row>
    <row r="835" spans="1:5" x14ac:dyDescent="0.3">
      <c r="A835" t="s">
        <v>447</v>
      </c>
      <c r="B835">
        <v>2211401074</v>
      </c>
      <c r="C835" t="s">
        <v>128</v>
      </c>
      <c r="D835" t="s">
        <v>240</v>
      </c>
      <c r="E835" t="str">
        <f t="shared" ref="E835:E898" si="13">A835&amp;B835</f>
        <v>Mechta2211401074</v>
      </c>
    </row>
    <row r="836" spans="1:5" x14ac:dyDescent="0.3">
      <c r="A836" t="s">
        <v>447</v>
      </c>
      <c r="B836">
        <v>2211400268</v>
      </c>
      <c r="C836" t="s">
        <v>855</v>
      </c>
      <c r="D836" t="s">
        <v>1831</v>
      </c>
      <c r="E836" t="str">
        <f t="shared" si="13"/>
        <v>Mechta2211400268</v>
      </c>
    </row>
    <row r="837" spans="1:5" x14ac:dyDescent="0.3">
      <c r="A837" t="s">
        <v>447</v>
      </c>
      <c r="B837">
        <v>1830007671</v>
      </c>
      <c r="C837" t="s">
        <v>1832</v>
      </c>
      <c r="D837" t="s">
        <v>1833</v>
      </c>
      <c r="E837" t="str">
        <f t="shared" si="13"/>
        <v>Mechta1830007671</v>
      </c>
    </row>
    <row r="838" spans="1:5" x14ac:dyDescent="0.3">
      <c r="A838" t="s">
        <v>447</v>
      </c>
      <c r="B838">
        <v>2100101961</v>
      </c>
      <c r="C838" t="s">
        <v>700</v>
      </c>
      <c r="D838" t="s">
        <v>1834</v>
      </c>
      <c r="E838" t="str">
        <f t="shared" si="13"/>
        <v>Mechta2100101961</v>
      </c>
    </row>
    <row r="839" spans="1:5" x14ac:dyDescent="0.3">
      <c r="A839" t="s">
        <v>447</v>
      </c>
      <c r="B839">
        <v>2100098659</v>
      </c>
      <c r="C839" t="s">
        <v>1835</v>
      </c>
      <c r="D839" t="s">
        <v>1836</v>
      </c>
      <c r="E839" t="str">
        <f t="shared" si="13"/>
        <v>Mechta2100098659</v>
      </c>
    </row>
    <row r="840" spans="1:5" x14ac:dyDescent="0.3">
      <c r="A840" t="s">
        <v>447</v>
      </c>
      <c r="B840">
        <v>1830007838</v>
      </c>
      <c r="C840" t="s">
        <v>1531</v>
      </c>
      <c r="D840" t="s">
        <v>1837</v>
      </c>
      <c r="E840" t="str">
        <f t="shared" si="13"/>
        <v>Mechta1830007838</v>
      </c>
    </row>
    <row r="841" spans="1:5" x14ac:dyDescent="0.3">
      <c r="A841" t="s">
        <v>447</v>
      </c>
      <c r="B841">
        <v>1830007887</v>
      </c>
      <c r="C841" t="s">
        <v>1525</v>
      </c>
      <c r="D841" t="s">
        <v>1838</v>
      </c>
      <c r="E841" t="str">
        <f t="shared" si="13"/>
        <v>Mechta1830007887</v>
      </c>
    </row>
    <row r="842" spans="1:5" x14ac:dyDescent="0.3">
      <c r="A842" t="s">
        <v>447</v>
      </c>
      <c r="B842">
        <v>1830007886</v>
      </c>
      <c r="C842" t="s">
        <v>1529</v>
      </c>
      <c r="D842" t="s">
        <v>1839</v>
      </c>
      <c r="E842" t="str">
        <f t="shared" si="13"/>
        <v>Mechta1830007886</v>
      </c>
    </row>
    <row r="843" spans="1:5" x14ac:dyDescent="0.3">
      <c r="A843" t="s">
        <v>447</v>
      </c>
      <c r="B843">
        <v>1830008071</v>
      </c>
      <c r="C843" t="s">
        <v>1517</v>
      </c>
      <c r="D843" t="s">
        <v>1840</v>
      </c>
      <c r="E843" t="str">
        <f t="shared" si="13"/>
        <v>Mechta1830008071</v>
      </c>
    </row>
    <row r="844" spans="1:5" x14ac:dyDescent="0.3">
      <c r="A844" t="s">
        <v>447</v>
      </c>
      <c r="B844">
        <v>1830008090</v>
      </c>
      <c r="C844" t="s">
        <v>1767</v>
      </c>
      <c r="D844" t="s">
        <v>1841</v>
      </c>
      <c r="E844" t="str">
        <f t="shared" si="13"/>
        <v>Mechta1830008090</v>
      </c>
    </row>
    <row r="845" spans="1:5" x14ac:dyDescent="0.3">
      <c r="A845" t="s">
        <v>447</v>
      </c>
      <c r="B845">
        <v>7211003484</v>
      </c>
      <c r="C845" t="s">
        <v>1842</v>
      </c>
      <c r="D845" t="s">
        <v>1843</v>
      </c>
      <c r="E845" t="str">
        <f t="shared" si="13"/>
        <v>Mechta7211003484</v>
      </c>
    </row>
    <row r="846" spans="1:5" x14ac:dyDescent="0.3">
      <c r="A846" t="s">
        <v>447</v>
      </c>
      <c r="B846">
        <v>7211004283</v>
      </c>
      <c r="C846" t="s">
        <v>1844</v>
      </c>
      <c r="D846" t="s">
        <v>1845</v>
      </c>
      <c r="E846" t="str">
        <f t="shared" si="13"/>
        <v>Mechta7211004283</v>
      </c>
    </row>
    <row r="847" spans="1:5" x14ac:dyDescent="0.3">
      <c r="A847" t="s">
        <v>447</v>
      </c>
      <c r="B847">
        <v>1830008189</v>
      </c>
      <c r="C847" t="s">
        <v>24</v>
      </c>
      <c r="D847" t="s">
        <v>1846</v>
      </c>
      <c r="E847" t="str">
        <f t="shared" si="13"/>
        <v>Mechta1830008189</v>
      </c>
    </row>
    <row r="848" spans="1:5" x14ac:dyDescent="0.3">
      <c r="A848" t="s">
        <v>447</v>
      </c>
      <c r="B848">
        <v>1110030485</v>
      </c>
      <c r="C848" t="s">
        <v>835</v>
      </c>
      <c r="D848" t="s">
        <v>1847</v>
      </c>
      <c r="E848" t="str">
        <f t="shared" si="13"/>
        <v>Mechta1110030485</v>
      </c>
    </row>
    <row r="849" spans="1:5" x14ac:dyDescent="0.3">
      <c r="A849" t="s">
        <v>447</v>
      </c>
      <c r="B849">
        <v>1110030532</v>
      </c>
      <c r="C849" t="s">
        <v>1617</v>
      </c>
      <c r="D849" t="s">
        <v>1848</v>
      </c>
      <c r="E849" t="str">
        <f t="shared" si="13"/>
        <v>Mechta1110030532</v>
      </c>
    </row>
    <row r="850" spans="1:5" x14ac:dyDescent="0.3">
      <c r="A850" t="s">
        <v>447</v>
      </c>
      <c r="B850">
        <v>1830007520</v>
      </c>
      <c r="C850" t="s">
        <v>7</v>
      </c>
      <c r="D850" t="s">
        <v>223</v>
      </c>
      <c r="E850" t="str">
        <f t="shared" si="13"/>
        <v>Mechta1830007520</v>
      </c>
    </row>
    <row r="851" spans="1:5" x14ac:dyDescent="0.3">
      <c r="A851" t="s">
        <v>447</v>
      </c>
      <c r="B851">
        <v>1830006291</v>
      </c>
      <c r="C851" t="s">
        <v>1849</v>
      </c>
      <c r="D851" t="s">
        <v>1850</v>
      </c>
      <c r="E851" t="str">
        <f t="shared" si="13"/>
        <v>Mechta1830006291</v>
      </c>
    </row>
    <row r="852" spans="1:5" x14ac:dyDescent="0.3">
      <c r="A852" t="s">
        <v>447</v>
      </c>
      <c r="B852">
        <v>1830006572</v>
      </c>
      <c r="C852" t="s">
        <v>1851</v>
      </c>
      <c r="D852" t="s">
        <v>1852</v>
      </c>
      <c r="E852" t="str">
        <f t="shared" si="13"/>
        <v>Mechta1830006572</v>
      </c>
    </row>
    <row r="853" spans="1:5" x14ac:dyDescent="0.3">
      <c r="A853" t="s">
        <v>447</v>
      </c>
      <c r="B853">
        <v>1830006093</v>
      </c>
      <c r="C853" t="s">
        <v>1853</v>
      </c>
      <c r="D853" t="s">
        <v>1854</v>
      </c>
      <c r="E853" t="str">
        <f t="shared" si="13"/>
        <v>Mechta1830006093</v>
      </c>
    </row>
    <row r="854" spans="1:5" x14ac:dyDescent="0.3">
      <c r="A854" t="s">
        <v>447</v>
      </c>
      <c r="B854">
        <v>1830007710</v>
      </c>
      <c r="C854" t="s">
        <v>22</v>
      </c>
      <c r="D854" t="s">
        <v>229</v>
      </c>
      <c r="E854" t="str">
        <f t="shared" si="13"/>
        <v>Mechta1830007710</v>
      </c>
    </row>
    <row r="855" spans="1:5" x14ac:dyDescent="0.3">
      <c r="A855" t="s">
        <v>447</v>
      </c>
      <c r="B855">
        <v>1830006757</v>
      </c>
      <c r="C855" t="s">
        <v>1855</v>
      </c>
      <c r="D855" t="s">
        <v>1856</v>
      </c>
      <c r="E855" t="str">
        <f t="shared" si="13"/>
        <v>Mechta1830006757</v>
      </c>
    </row>
    <row r="856" spans="1:5" x14ac:dyDescent="0.3">
      <c r="A856" t="s">
        <v>447</v>
      </c>
      <c r="B856">
        <v>1830007756</v>
      </c>
      <c r="C856" t="s">
        <v>1504</v>
      </c>
      <c r="D856" t="s">
        <v>230</v>
      </c>
      <c r="E856" t="str">
        <f t="shared" si="13"/>
        <v>Mechta1830007756</v>
      </c>
    </row>
    <row r="857" spans="1:5" x14ac:dyDescent="0.3">
      <c r="A857" t="s">
        <v>447</v>
      </c>
      <c r="B857">
        <v>1830007759</v>
      </c>
      <c r="C857" t="s">
        <v>1857</v>
      </c>
      <c r="D857" t="s">
        <v>231</v>
      </c>
      <c r="E857" t="str">
        <f t="shared" si="13"/>
        <v>Mechta1830007759</v>
      </c>
    </row>
    <row r="858" spans="1:5" x14ac:dyDescent="0.3">
      <c r="A858" t="s">
        <v>447</v>
      </c>
      <c r="B858">
        <v>1830006920</v>
      </c>
      <c r="C858" t="s">
        <v>873</v>
      </c>
      <c r="D858" t="s">
        <v>1858</v>
      </c>
      <c r="E858" t="str">
        <f t="shared" si="13"/>
        <v>Mechta1830006920</v>
      </c>
    </row>
    <row r="859" spans="1:5" x14ac:dyDescent="0.3">
      <c r="A859" t="s">
        <v>447</v>
      </c>
      <c r="B859">
        <v>1830006878</v>
      </c>
      <c r="C859" t="s">
        <v>907</v>
      </c>
      <c r="D859" t="s">
        <v>1859</v>
      </c>
      <c r="E859" t="str">
        <f t="shared" si="13"/>
        <v>Mechta1830006878</v>
      </c>
    </row>
    <row r="860" spans="1:5" x14ac:dyDescent="0.3">
      <c r="A860" t="s">
        <v>447</v>
      </c>
      <c r="B860">
        <v>1830007359</v>
      </c>
      <c r="C860" t="s">
        <v>19</v>
      </c>
      <c r="D860" t="s">
        <v>1860</v>
      </c>
      <c r="E860" t="str">
        <f t="shared" si="13"/>
        <v>Mechta1830007359</v>
      </c>
    </row>
    <row r="861" spans="1:5" x14ac:dyDescent="0.3">
      <c r="A861" t="s">
        <v>447</v>
      </c>
      <c r="B861">
        <v>1830008510</v>
      </c>
      <c r="C861" t="s">
        <v>114</v>
      </c>
      <c r="D861" t="s">
        <v>1861</v>
      </c>
      <c r="E861" t="str">
        <f t="shared" si="13"/>
        <v>Mechta1830008510</v>
      </c>
    </row>
    <row r="862" spans="1:5" x14ac:dyDescent="0.3">
      <c r="A862" t="s">
        <v>447</v>
      </c>
      <c r="B862">
        <v>1830008512</v>
      </c>
      <c r="C862" t="s">
        <v>113</v>
      </c>
      <c r="D862" t="s">
        <v>1862</v>
      </c>
      <c r="E862" t="str">
        <f t="shared" si="13"/>
        <v>Mechta1830008512</v>
      </c>
    </row>
    <row r="863" spans="1:5" x14ac:dyDescent="0.3">
      <c r="A863" t="s">
        <v>447</v>
      </c>
      <c r="B863">
        <v>1830008518</v>
      </c>
      <c r="C863" t="s">
        <v>111</v>
      </c>
      <c r="D863" t="s">
        <v>1863</v>
      </c>
      <c r="E863" t="str">
        <f t="shared" si="13"/>
        <v>Mechta1830008518</v>
      </c>
    </row>
    <row r="864" spans="1:5" x14ac:dyDescent="0.3">
      <c r="A864" t="s">
        <v>447</v>
      </c>
      <c r="B864">
        <v>1830008265</v>
      </c>
      <c r="C864" t="s">
        <v>12</v>
      </c>
      <c r="D864" t="s">
        <v>1864</v>
      </c>
      <c r="E864" t="str">
        <f t="shared" si="13"/>
        <v>Mechta1830008265</v>
      </c>
    </row>
    <row r="865" spans="1:5" x14ac:dyDescent="0.3">
      <c r="A865" t="s">
        <v>447</v>
      </c>
      <c r="B865">
        <v>1830008176</v>
      </c>
      <c r="C865" t="s">
        <v>8</v>
      </c>
      <c r="D865" t="s">
        <v>224</v>
      </c>
      <c r="E865" t="str">
        <f t="shared" si="13"/>
        <v>Mechta1830008176</v>
      </c>
    </row>
    <row r="866" spans="1:5" x14ac:dyDescent="0.3">
      <c r="A866" t="s">
        <v>447</v>
      </c>
      <c r="B866">
        <v>1830008254</v>
      </c>
      <c r="C866" t="s">
        <v>9</v>
      </c>
      <c r="D866" t="s">
        <v>225</v>
      </c>
      <c r="E866" t="str">
        <f t="shared" si="13"/>
        <v>Mechta1830008254</v>
      </c>
    </row>
    <row r="867" spans="1:5" x14ac:dyDescent="0.3">
      <c r="A867" t="s">
        <v>447</v>
      </c>
      <c r="B867">
        <v>1830007908</v>
      </c>
      <c r="C867" t="s">
        <v>1865</v>
      </c>
      <c r="D867" t="s">
        <v>1866</v>
      </c>
      <c r="E867" t="str">
        <f t="shared" si="13"/>
        <v>Mechta1830007908</v>
      </c>
    </row>
    <row r="868" spans="1:5" x14ac:dyDescent="0.3">
      <c r="A868" t="s">
        <v>447</v>
      </c>
      <c r="B868">
        <v>1830007905</v>
      </c>
      <c r="C868" t="s">
        <v>1867</v>
      </c>
      <c r="D868" t="s">
        <v>1868</v>
      </c>
      <c r="E868" t="str">
        <f t="shared" si="13"/>
        <v>Mechta1830007905</v>
      </c>
    </row>
    <row r="869" spans="1:5" x14ac:dyDescent="0.3">
      <c r="A869" t="s">
        <v>447</v>
      </c>
      <c r="B869">
        <v>1830006593</v>
      </c>
      <c r="C869" t="s">
        <v>1869</v>
      </c>
      <c r="D869" t="s">
        <v>1870</v>
      </c>
      <c r="E869" t="str">
        <f t="shared" si="13"/>
        <v>Mechta1830006593</v>
      </c>
    </row>
    <row r="870" spans="1:5" x14ac:dyDescent="0.3">
      <c r="A870" t="s">
        <v>447</v>
      </c>
      <c r="B870">
        <v>1830006950</v>
      </c>
      <c r="C870" t="s">
        <v>1871</v>
      </c>
      <c r="D870" t="s">
        <v>1872</v>
      </c>
      <c r="E870" t="str">
        <f t="shared" si="13"/>
        <v>Mechta1830006950</v>
      </c>
    </row>
    <row r="871" spans="1:5" x14ac:dyDescent="0.3">
      <c r="A871" t="s">
        <v>447</v>
      </c>
      <c r="B871">
        <v>1830007679</v>
      </c>
      <c r="C871" t="s">
        <v>1246</v>
      </c>
      <c r="D871" t="s">
        <v>1873</v>
      </c>
      <c r="E871" t="str">
        <f t="shared" si="13"/>
        <v>Mechta1830007679</v>
      </c>
    </row>
    <row r="872" spans="1:5" x14ac:dyDescent="0.3">
      <c r="A872" t="s">
        <v>447</v>
      </c>
      <c r="B872">
        <v>1830007760</v>
      </c>
      <c r="C872" t="s">
        <v>17</v>
      </c>
      <c r="D872" t="s">
        <v>228</v>
      </c>
      <c r="E872" t="str">
        <f t="shared" si="13"/>
        <v>Mechta1830007760</v>
      </c>
    </row>
    <row r="873" spans="1:5" x14ac:dyDescent="0.3">
      <c r="A873" t="s">
        <v>447</v>
      </c>
      <c r="B873">
        <v>1830008313</v>
      </c>
      <c r="C873" t="s">
        <v>214</v>
      </c>
      <c r="D873" t="s">
        <v>227</v>
      </c>
      <c r="E873" t="str">
        <f t="shared" si="13"/>
        <v>Mechta1830008313</v>
      </c>
    </row>
    <row r="874" spans="1:5" x14ac:dyDescent="0.3">
      <c r="A874" t="s">
        <v>447</v>
      </c>
      <c r="B874">
        <v>2841851000</v>
      </c>
      <c r="C874" t="s">
        <v>1874</v>
      </c>
      <c r="D874" t="s">
        <v>1875</v>
      </c>
      <c r="E874" t="str">
        <f t="shared" si="13"/>
        <v>Mechta2841851000</v>
      </c>
    </row>
    <row r="875" spans="1:5" x14ac:dyDescent="0.3">
      <c r="A875" t="s">
        <v>447</v>
      </c>
      <c r="B875">
        <v>2100107960</v>
      </c>
      <c r="C875" t="s">
        <v>1876</v>
      </c>
      <c r="D875" t="s">
        <v>1877</v>
      </c>
      <c r="E875" t="str">
        <f t="shared" si="13"/>
        <v>Mechta2100107960</v>
      </c>
    </row>
    <row r="876" spans="1:5" x14ac:dyDescent="0.3">
      <c r="A876" t="s">
        <v>447</v>
      </c>
      <c r="B876">
        <v>2100107961</v>
      </c>
      <c r="C876" t="s">
        <v>1878</v>
      </c>
      <c r="D876" t="s">
        <v>1879</v>
      </c>
      <c r="E876" t="str">
        <f t="shared" si="13"/>
        <v>Mechta2100107961</v>
      </c>
    </row>
    <row r="877" spans="1:5" x14ac:dyDescent="0.3">
      <c r="A877" t="s">
        <v>447</v>
      </c>
      <c r="B877">
        <v>2100125947</v>
      </c>
      <c r="C877" t="s">
        <v>1880</v>
      </c>
      <c r="D877" t="s">
        <v>1881</v>
      </c>
      <c r="E877" t="str">
        <f t="shared" si="13"/>
        <v>Mechta2100125947</v>
      </c>
    </row>
    <row r="878" spans="1:5" x14ac:dyDescent="0.3">
      <c r="A878" t="s">
        <v>447</v>
      </c>
      <c r="B878">
        <v>2100125948</v>
      </c>
      <c r="C878" t="s">
        <v>1882</v>
      </c>
      <c r="D878" t="s">
        <v>1883</v>
      </c>
      <c r="E878" t="str">
        <f t="shared" si="13"/>
        <v>Mechta2100125948</v>
      </c>
    </row>
    <row r="879" spans="1:5" x14ac:dyDescent="0.3">
      <c r="A879" t="s">
        <v>447</v>
      </c>
      <c r="B879">
        <v>2100120957</v>
      </c>
      <c r="C879" t="s">
        <v>1538</v>
      </c>
      <c r="D879" t="s">
        <v>1884</v>
      </c>
      <c r="E879" t="str">
        <f t="shared" si="13"/>
        <v>Mechta2100120957</v>
      </c>
    </row>
    <row r="880" spans="1:5" x14ac:dyDescent="0.3">
      <c r="A880" t="s">
        <v>447</v>
      </c>
      <c r="B880">
        <v>2100120958</v>
      </c>
      <c r="C880" t="s">
        <v>1540</v>
      </c>
      <c r="D880" t="s">
        <v>1885</v>
      </c>
      <c r="E880" t="str">
        <f t="shared" si="13"/>
        <v>Mechta2100120958</v>
      </c>
    </row>
    <row r="881" spans="1:5" x14ac:dyDescent="0.3">
      <c r="A881" t="s">
        <v>447</v>
      </c>
      <c r="B881">
        <v>2100113153</v>
      </c>
      <c r="C881" t="s">
        <v>987</v>
      </c>
      <c r="D881" t="s">
        <v>1886</v>
      </c>
      <c r="E881" t="str">
        <f t="shared" si="13"/>
        <v>Mechta2100113153</v>
      </c>
    </row>
    <row r="882" spans="1:5" x14ac:dyDescent="0.3">
      <c r="A882" t="s">
        <v>447</v>
      </c>
      <c r="B882">
        <v>2100113151</v>
      </c>
      <c r="C882" t="s">
        <v>989</v>
      </c>
      <c r="D882" t="s">
        <v>1887</v>
      </c>
      <c r="E882" t="str">
        <f t="shared" si="13"/>
        <v>Mechta2100113151</v>
      </c>
    </row>
    <row r="883" spans="1:5" x14ac:dyDescent="0.3">
      <c r="A883" t="s">
        <v>447</v>
      </c>
      <c r="B883">
        <v>2100113152</v>
      </c>
      <c r="C883" t="s">
        <v>991</v>
      </c>
      <c r="D883" t="s">
        <v>1888</v>
      </c>
      <c r="E883" t="str">
        <f t="shared" si="13"/>
        <v>Mechta2100113152</v>
      </c>
    </row>
    <row r="884" spans="1:5" x14ac:dyDescent="0.3">
      <c r="A884" t="s">
        <v>447</v>
      </c>
      <c r="B884">
        <v>2100115224</v>
      </c>
      <c r="C884" t="s">
        <v>1889</v>
      </c>
      <c r="D884" t="s">
        <v>1890</v>
      </c>
      <c r="E884" t="str">
        <f t="shared" si="13"/>
        <v>Mechta2100115224</v>
      </c>
    </row>
    <row r="885" spans="1:5" x14ac:dyDescent="0.3">
      <c r="A885" t="s">
        <v>447</v>
      </c>
      <c r="B885">
        <v>2100115225</v>
      </c>
      <c r="C885" t="s">
        <v>1891</v>
      </c>
      <c r="D885" t="s">
        <v>1892</v>
      </c>
      <c r="E885" t="str">
        <f t="shared" si="13"/>
        <v>Mechta2100115225</v>
      </c>
    </row>
    <row r="886" spans="1:5" x14ac:dyDescent="0.3">
      <c r="A886" t="s">
        <v>447</v>
      </c>
      <c r="B886">
        <v>2100120954</v>
      </c>
      <c r="C886" t="s">
        <v>1322</v>
      </c>
      <c r="D886" t="s">
        <v>1893</v>
      </c>
      <c r="E886" t="str">
        <f t="shared" si="13"/>
        <v>Mechta2100120954</v>
      </c>
    </row>
    <row r="887" spans="1:5" x14ac:dyDescent="0.3">
      <c r="A887" t="s">
        <v>447</v>
      </c>
      <c r="B887">
        <v>1830005679</v>
      </c>
      <c r="C887" t="s">
        <v>1894</v>
      </c>
      <c r="D887" t="s">
        <v>1895</v>
      </c>
      <c r="E887" t="str">
        <f t="shared" si="13"/>
        <v>Mechta1830005679</v>
      </c>
    </row>
    <row r="888" spans="1:5" x14ac:dyDescent="0.3">
      <c r="A888" t="s">
        <v>447</v>
      </c>
      <c r="B888">
        <v>1830006695</v>
      </c>
      <c r="C888" t="s">
        <v>1896</v>
      </c>
      <c r="D888" t="s">
        <v>1897</v>
      </c>
      <c r="E888" t="str">
        <f t="shared" si="13"/>
        <v>Mechta1830006695</v>
      </c>
    </row>
    <row r="889" spans="1:5" x14ac:dyDescent="0.3">
      <c r="A889" t="s">
        <v>447</v>
      </c>
      <c r="B889">
        <v>1830008104</v>
      </c>
      <c r="C889" t="s">
        <v>104</v>
      </c>
      <c r="D889" t="s">
        <v>280</v>
      </c>
      <c r="E889" t="str">
        <f t="shared" si="13"/>
        <v>Mechta1830008104</v>
      </c>
    </row>
    <row r="890" spans="1:5" x14ac:dyDescent="0.3">
      <c r="A890" t="s">
        <v>447</v>
      </c>
      <c r="B890">
        <v>1830007876</v>
      </c>
      <c r="C890" t="s">
        <v>103</v>
      </c>
      <c r="D890" t="s">
        <v>279</v>
      </c>
      <c r="E890" t="str">
        <f t="shared" si="13"/>
        <v>Mechta1830007876</v>
      </c>
    </row>
    <row r="891" spans="1:5" x14ac:dyDescent="0.3">
      <c r="A891" t="s">
        <v>447</v>
      </c>
      <c r="B891">
        <v>1830007337</v>
      </c>
      <c r="C891" t="s">
        <v>106</v>
      </c>
      <c r="D891" t="s">
        <v>282</v>
      </c>
      <c r="E891" t="str">
        <f t="shared" si="13"/>
        <v>Mechta1830007337</v>
      </c>
    </row>
    <row r="892" spans="1:5" x14ac:dyDescent="0.3">
      <c r="A892" t="s">
        <v>447</v>
      </c>
      <c r="B892">
        <v>1830007603</v>
      </c>
      <c r="C892" t="s">
        <v>105</v>
      </c>
      <c r="D892" t="s">
        <v>281</v>
      </c>
      <c r="E892" t="str">
        <f t="shared" si="13"/>
        <v>Mechta1830007603</v>
      </c>
    </row>
    <row r="893" spans="1:5" x14ac:dyDescent="0.3">
      <c r="A893" t="s">
        <v>447</v>
      </c>
      <c r="B893">
        <v>1510001848</v>
      </c>
      <c r="C893" t="s">
        <v>1898</v>
      </c>
      <c r="D893" t="s">
        <v>1899</v>
      </c>
      <c r="E893" t="str">
        <f t="shared" si="13"/>
        <v>Mechta1510001848</v>
      </c>
    </row>
    <row r="894" spans="1:5" x14ac:dyDescent="0.3">
      <c r="A894" t="s">
        <v>447</v>
      </c>
      <c r="B894">
        <v>7211001550</v>
      </c>
      <c r="C894" t="s">
        <v>1900</v>
      </c>
      <c r="D894" t="s">
        <v>1901</v>
      </c>
      <c r="E894" t="str">
        <f t="shared" si="13"/>
        <v>Mechta7211001550</v>
      </c>
    </row>
    <row r="895" spans="1:5" x14ac:dyDescent="0.3">
      <c r="A895" t="s">
        <v>447</v>
      </c>
      <c r="B895">
        <v>8000032850</v>
      </c>
      <c r="C895" t="s">
        <v>1902</v>
      </c>
      <c r="D895" t="s">
        <v>1903</v>
      </c>
      <c r="E895" t="str">
        <f t="shared" si="13"/>
        <v>Mechta8000032850</v>
      </c>
    </row>
    <row r="896" spans="1:5" x14ac:dyDescent="0.3">
      <c r="A896" t="s">
        <v>447</v>
      </c>
      <c r="B896">
        <v>8010000986</v>
      </c>
      <c r="C896" t="s">
        <v>75</v>
      </c>
      <c r="D896" t="s">
        <v>264</v>
      </c>
      <c r="E896" t="str">
        <f t="shared" si="13"/>
        <v>Mechta8010000986</v>
      </c>
    </row>
    <row r="897" spans="1:5" x14ac:dyDescent="0.3">
      <c r="A897" t="s">
        <v>447</v>
      </c>
      <c r="B897">
        <v>8000036182</v>
      </c>
      <c r="C897" t="s">
        <v>80</v>
      </c>
      <c r="D897" t="s">
        <v>375</v>
      </c>
      <c r="E897" t="str">
        <f t="shared" si="13"/>
        <v>Mechta8000036182</v>
      </c>
    </row>
    <row r="898" spans="1:5" x14ac:dyDescent="0.3">
      <c r="A898" t="s">
        <v>447</v>
      </c>
      <c r="B898">
        <v>8000036209</v>
      </c>
      <c r="C898" t="s">
        <v>374</v>
      </c>
      <c r="D898" t="s">
        <v>376</v>
      </c>
      <c r="E898" t="str">
        <f t="shared" si="13"/>
        <v>Mechta8000036209</v>
      </c>
    </row>
    <row r="899" spans="1:5" x14ac:dyDescent="0.3">
      <c r="A899" t="s">
        <v>447</v>
      </c>
      <c r="B899">
        <v>8010000429</v>
      </c>
      <c r="C899" t="s">
        <v>109</v>
      </c>
      <c r="D899" t="s">
        <v>377</v>
      </c>
      <c r="E899" t="str">
        <f t="shared" ref="E899:E962" si="14">A899&amp;B899</f>
        <v>Mechta8010000429</v>
      </c>
    </row>
    <row r="900" spans="1:5" x14ac:dyDescent="0.3">
      <c r="A900" t="s">
        <v>447</v>
      </c>
      <c r="B900">
        <v>8010000601</v>
      </c>
      <c r="C900" t="s">
        <v>1657</v>
      </c>
      <c r="D900" t="s">
        <v>1904</v>
      </c>
      <c r="E900" t="str">
        <f t="shared" si="14"/>
        <v>Mechta8010000601</v>
      </c>
    </row>
    <row r="901" spans="1:5" x14ac:dyDescent="0.3">
      <c r="A901" t="s">
        <v>447</v>
      </c>
      <c r="B901">
        <v>9100004180</v>
      </c>
      <c r="C901">
        <v>4090118</v>
      </c>
      <c r="D901" t="s">
        <v>1905</v>
      </c>
      <c r="E901" t="str">
        <f t="shared" si="14"/>
        <v>Mechta9100004180</v>
      </c>
    </row>
    <row r="902" spans="1:5" x14ac:dyDescent="0.3">
      <c r="A902" t="s">
        <v>447</v>
      </c>
      <c r="B902">
        <v>9100004140</v>
      </c>
      <c r="C902">
        <v>4090120</v>
      </c>
      <c r="D902" t="s">
        <v>1906</v>
      </c>
      <c r="E902" t="str">
        <f t="shared" si="14"/>
        <v>Mechta9100004140</v>
      </c>
    </row>
    <row r="903" spans="1:5" x14ac:dyDescent="0.3">
      <c r="A903" t="s">
        <v>447</v>
      </c>
      <c r="B903">
        <v>9100004179</v>
      </c>
      <c r="C903">
        <v>4090122</v>
      </c>
      <c r="D903" t="s">
        <v>1907</v>
      </c>
      <c r="E903" t="str">
        <f t="shared" si="14"/>
        <v>Mechta9100004179</v>
      </c>
    </row>
    <row r="904" spans="1:5" x14ac:dyDescent="0.3">
      <c r="A904" t="s">
        <v>447</v>
      </c>
      <c r="B904">
        <v>9100004192</v>
      </c>
      <c r="C904">
        <v>4090124</v>
      </c>
      <c r="D904" t="s">
        <v>1908</v>
      </c>
      <c r="E904" t="str">
        <f t="shared" si="14"/>
        <v>Mechta9100004192</v>
      </c>
    </row>
    <row r="905" spans="1:5" x14ac:dyDescent="0.3">
      <c r="A905" t="s">
        <v>447</v>
      </c>
      <c r="B905">
        <v>9100004193</v>
      </c>
      <c r="C905">
        <v>4090126</v>
      </c>
      <c r="D905" t="s">
        <v>1909</v>
      </c>
      <c r="E905" t="str">
        <f t="shared" si="14"/>
        <v>Mechta9100004193</v>
      </c>
    </row>
    <row r="906" spans="1:5" x14ac:dyDescent="0.3">
      <c r="A906" t="s">
        <v>447</v>
      </c>
      <c r="B906">
        <v>9100004194</v>
      </c>
      <c r="C906">
        <v>4090128</v>
      </c>
      <c r="D906" t="s">
        <v>1910</v>
      </c>
      <c r="E906" t="str">
        <f t="shared" si="14"/>
        <v>Mechta9100004194</v>
      </c>
    </row>
    <row r="907" spans="1:5" x14ac:dyDescent="0.3">
      <c r="A907" t="s">
        <v>447</v>
      </c>
      <c r="B907">
        <v>9100004195</v>
      </c>
      <c r="C907">
        <v>4090130</v>
      </c>
      <c r="D907" t="s">
        <v>1911</v>
      </c>
      <c r="E907" t="str">
        <f t="shared" si="14"/>
        <v>Mechta9100004195</v>
      </c>
    </row>
    <row r="908" spans="1:5" x14ac:dyDescent="0.3">
      <c r="A908" t="s">
        <v>447</v>
      </c>
      <c r="B908">
        <v>9100040498</v>
      </c>
      <c r="C908" t="s">
        <v>1912</v>
      </c>
      <c r="D908" t="s">
        <v>1913</v>
      </c>
      <c r="E908" t="str">
        <f t="shared" si="14"/>
        <v>Mechta9100040498</v>
      </c>
    </row>
    <row r="909" spans="1:5" x14ac:dyDescent="0.3">
      <c r="A909" t="s">
        <v>447</v>
      </c>
      <c r="B909">
        <v>9100040499</v>
      </c>
      <c r="C909" t="s">
        <v>1914</v>
      </c>
      <c r="D909" t="s">
        <v>1915</v>
      </c>
      <c r="E909" t="str">
        <f t="shared" si="14"/>
        <v>Mechta9100040499</v>
      </c>
    </row>
    <row r="910" spans="1:5" x14ac:dyDescent="0.3">
      <c r="A910" t="s">
        <v>447</v>
      </c>
      <c r="B910">
        <v>9100040502</v>
      </c>
      <c r="C910" t="s">
        <v>1315</v>
      </c>
      <c r="D910" t="s">
        <v>1916</v>
      </c>
      <c r="E910" t="str">
        <f t="shared" si="14"/>
        <v>Mechta9100040502</v>
      </c>
    </row>
    <row r="911" spans="1:5" x14ac:dyDescent="0.3">
      <c r="A911" t="s">
        <v>447</v>
      </c>
      <c r="B911">
        <v>9100040503</v>
      </c>
      <c r="C911" t="s">
        <v>1317</v>
      </c>
      <c r="D911" t="s">
        <v>1917</v>
      </c>
      <c r="E911" t="str">
        <f t="shared" si="14"/>
        <v>Mechta9100040503</v>
      </c>
    </row>
    <row r="912" spans="1:5" x14ac:dyDescent="0.3">
      <c r="A912" t="s">
        <v>447</v>
      </c>
      <c r="B912">
        <v>9100040504</v>
      </c>
      <c r="C912">
        <v>4199728</v>
      </c>
      <c r="D912" t="s">
        <v>1918</v>
      </c>
      <c r="E912" t="str">
        <f t="shared" si="14"/>
        <v>Mechta9100040504</v>
      </c>
    </row>
    <row r="913" spans="1:5" x14ac:dyDescent="0.3">
      <c r="A913" t="s">
        <v>447</v>
      </c>
      <c r="B913">
        <v>2100087320</v>
      </c>
      <c r="C913" t="s">
        <v>1299</v>
      </c>
      <c r="D913" t="s">
        <v>1919</v>
      </c>
      <c r="E913" t="str">
        <f t="shared" si="14"/>
        <v>Mechta2100087320</v>
      </c>
    </row>
    <row r="914" spans="1:5" x14ac:dyDescent="0.3">
      <c r="A914" t="s">
        <v>447</v>
      </c>
      <c r="B914">
        <v>8010000956</v>
      </c>
      <c r="C914" t="s">
        <v>1920</v>
      </c>
      <c r="D914" t="s">
        <v>1921</v>
      </c>
      <c r="E914" t="str">
        <f t="shared" si="14"/>
        <v>Mechta8010000956</v>
      </c>
    </row>
    <row r="915" spans="1:5" x14ac:dyDescent="0.3">
      <c r="A915" t="s">
        <v>447</v>
      </c>
      <c r="B915">
        <v>7211004672</v>
      </c>
      <c r="C915" t="s">
        <v>363</v>
      </c>
      <c r="D915" t="s">
        <v>1922</v>
      </c>
      <c r="E915" t="str">
        <f t="shared" si="14"/>
        <v>Mechta7211004672</v>
      </c>
    </row>
    <row r="916" spans="1:5" x14ac:dyDescent="0.3">
      <c r="A916" t="s">
        <v>447</v>
      </c>
      <c r="B916">
        <v>7211004670</v>
      </c>
      <c r="C916" t="s">
        <v>404</v>
      </c>
      <c r="D916" t="s">
        <v>1923</v>
      </c>
      <c r="E916" t="str">
        <f t="shared" si="14"/>
        <v>Mechta7211004670</v>
      </c>
    </row>
    <row r="917" spans="1:5" x14ac:dyDescent="0.3">
      <c r="A917" t="s">
        <v>447</v>
      </c>
      <c r="B917">
        <v>2820509032</v>
      </c>
      <c r="C917" t="s">
        <v>1924</v>
      </c>
      <c r="D917" t="s">
        <v>1925</v>
      </c>
      <c r="E917" t="str">
        <f t="shared" si="14"/>
        <v>Mechta2820509032</v>
      </c>
    </row>
    <row r="918" spans="1:5" x14ac:dyDescent="0.3">
      <c r="A918" t="s">
        <v>447</v>
      </c>
      <c r="B918">
        <v>7211004682</v>
      </c>
      <c r="C918" t="s">
        <v>119</v>
      </c>
      <c r="D918" t="s">
        <v>1926</v>
      </c>
      <c r="E918" t="str">
        <f t="shared" si="14"/>
        <v>Mechta7211004682</v>
      </c>
    </row>
    <row r="919" spans="1:5" x14ac:dyDescent="0.3">
      <c r="A919" t="s">
        <v>447</v>
      </c>
      <c r="B919">
        <v>7211004683</v>
      </c>
      <c r="C919" t="s">
        <v>118</v>
      </c>
      <c r="D919" t="s">
        <v>1927</v>
      </c>
      <c r="E919" t="str">
        <f t="shared" si="14"/>
        <v>Mechta7211004683</v>
      </c>
    </row>
    <row r="920" spans="1:5" x14ac:dyDescent="0.3">
      <c r="A920" t="s">
        <v>447</v>
      </c>
      <c r="B920">
        <v>7211004699</v>
      </c>
      <c r="C920" t="s">
        <v>120</v>
      </c>
      <c r="D920" t="s">
        <v>1928</v>
      </c>
      <c r="E920" t="str">
        <f t="shared" si="14"/>
        <v>Mechta7211004699</v>
      </c>
    </row>
    <row r="921" spans="1:5" x14ac:dyDescent="0.3">
      <c r="A921" t="s">
        <v>447</v>
      </c>
      <c r="B921">
        <v>2820300101</v>
      </c>
      <c r="C921" t="s">
        <v>827</v>
      </c>
      <c r="D921" t="s">
        <v>1929</v>
      </c>
      <c r="E921" t="str">
        <f t="shared" si="14"/>
        <v>Mechta2820300101</v>
      </c>
    </row>
    <row r="922" spans="1:5" x14ac:dyDescent="0.3">
      <c r="A922" t="s">
        <v>447</v>
      </c>
      <c r="B922">
        <v>1830007830</v>
      </c>
      <c r="C922" t="s">
        <v>698</v>
      </c>
      <c r="D922" t="s">
        <v>1930</v>
      </c>
      <c r="E922" t="str">
        <f t="shared" si="14"/>
        <v>Mechta1830007830</v>
      </c>
    </row>
    <row r="923" spans="1:5" x14ac:dyDescent="0.3">
      <c r="A923" t="s">
        <v>447</v>
      </c>
      <c r="B923">
        <v>1830007817</v>
      </c>
      <c r="C923" t="s">
        <v>1931</v>
      </c>
      <c r="D923" t="s">
        <v>1932</v>
      </c>
      <c r="E923" t="str">
        <f t="shared" si="14"/>
        <v>Mechta1830007817</v>
      </c>
    </row>
    <row r="924" spans="1:5" x14ac:dyDescent="0.3">
      <c r="A924" t="s">
        <v>447</v>
      </c>
      <c r="B924">
        <v>1830007874</v>
      </c>
      <c r="C924" t="s">
        <v>1609</v>
      </c>
      <c r="D924" t="s">
        <v>1933</v>
      </c>
      <c r="E924" t="str">
        <f t="shared" si="14"/>
        <v>Mechta1830007874</v>
      </c>
    </row>
    <row r="925" spans="1:5" x14ac:dyDescent="0.3">
      <c r="A925" t="s">
        <v>447</v>
      </c>
      <c r="B925">
        <v>8000034610</v>
      </c>
      <c r="C925" t="s">
        <v>1934</v>
      </c>
      <c r="D925" t="s">
        <v>1935</v>
      </c>
      <c r="E925" t="str">
        <f t="shared" si="14"/>
        <v>Mechta8000034610</v>
      </c>
    </row>
    <row r="926" spans="1:5" x14ac:dyDescent="0.3">
      <c r="A926" t="s">
        <v>447</v>
      </c>
      <c r="B926">
        <v>8010001069</v>
      </c>
      <c r="C926" t="s">
        <v>3</v>
      </c>
      <c r="D926" t="s">
        <v>221</v>
      </c>
      <c r="E926" t="str">
        <f t="shared" si="14"/>
        <v>Mechta8010001069</v>
      </c>
    </row>
    <row r="927" spans="1:5" x14ac:dyDescent="0.3">
      <c r="A927" t="s">
        <v>447</v>
      </c>
      <c r="B927">
        <v>2027441120</v>
      </c>
      <c r="C927">
        <v>2744112</v>
      </c>
      <c r="D927" t="s">
        <v>1936</v>
      </c>
      <c r="E927" t="str">
        <f t="shared" si="14"/>
        <v>Mechta2027441120</v>
      </c>
    </row>
    <row r="928" spans="1:5" x14ac:dyDescent="0.3">
      <c r="A928" t="s">
        <v>447</v>
      </c>
      <c r="B928">
        <v>2027449120</v>
      </c>
      <c r="C928">
        <v>2744912</v>
      </c>
      <c r="D928" t="s">
        <v>1937</v>
      </c>
      <c r="E928" t="str">
        <f t="shared" si="14"/>
        <v>Mechta2027449120</v>
      </c>
    </row>
    <row r="929" spans="1:5" x14ac:dyDescent="0.3">
      <c r="A929" t="s">
        <v>447</v>
      </c>
      <c r="B929">
        <v>2027451120</v>
      </c>
      <c r="C929">
        <v>2745112</v>
      </c>
      <c r="D929" t="s">
        <v>1938</v>
      </c>
      <c r="E929" t="str">
        <f t="shared" si="14"/>
        <v>Mechta2027451120</v>
      </c>
    </row>
    <row r="930" spans="1:5" x14ac:dyDescent="0.3">
      <c r="A930" t="s">
        <v>447</v>
      </c>
      <c r="B930">
        <v>2100098982</v>
      </c>
      <c r="C930" t="s">
        <v>1939</v>
      </c>
      <c r="D930" t="s">
        <v>1940</v>
      </c>
      <c r="E930" t="str">
        <f t="shared" si="14"/>
        <v>Mechta2100098982</v>
      </c>
    </row>
    <row r="931" spans="1:5" x14ac:dyDescent="0.3">
      <c r="A931" t="s">
        <v>447</v>
      </c>
      <c r="B931">
        <v>2100098984</v>
      </c>
      <c r="C931" t="s">
        <v>1941</v>
      </c>
      <c r="D931" t="s">
        <v>1942</v>
      </c>
      <c r="E931" t="str">
        <f t="shared" si="14"/>
        <v>Mechta2100098984</v>
      </c>
    </row>
    <row r="932" spans="1:5" x14ac:dyDescent="0.3">
      <c r="A932" t="s">
        <v>447</v>
      </c>
      <c r="B932">
        <v>1830008219</v>
      </c>
      <c r="C932" t="s">
        <v>1943</v>
      </c>
      <c r="D932" t="s">
        <v>1944</v>
      </c>
      <c r="E932" t="str">
        <f t="shared" si="14"/>
        <v>Mechta1830008219</v>
      </c>
    </row>
    <row r="933" spans="1:5" x14ac:dyDescent="0.3">
      <c r="A933" t="s">
        <v>447</v>
      </c>
      <c r="B933">
        <v>1830007031</v>
      </c>
      <c r="C933" t="s">
        <v>1088</v>
      </c>
      <c r="D933" t="s">
        <v>1945</v>
      </c>
      <c r="E933" t="str">
        <f t="shared" si="14"/>
        <v>Mechta1830007031</v>
      </c>
    </row>
    <row r="934" spans="1:5" x14ac:dyDescent="0.3">
      <c r="A934" t="s">
        <v>447</v>
      </c>
      <c r="B934">
        <v>8000035985</v>
      </c>
      <c r="C934" t="s">
        <v>1258</v>
      </c>
      <c r="D934" t="s">
        <v>1946</v>
      </c>
      <c r="E934" t="str">
        <f t="shared" si="14"/>
        <v>Mechta8000035985</v>
      </c>
    </row>
    <row r="935" spans="1:5" x14ac:dyDescent="0.3">
      <c r="A935" t="s">
        <v>447</v>
      </c>
      <c r="B935">
        <v>8000036062</v>
      </c>
      <c r="C935" t="s">
        <v>1252</v>
      </c>
      <c r="D935" t="s">
        <v>1947</v>
      </c>
      <c r="E935" t="str">
        <f t="shared" si="14"/>
        <v>Mechta8000036062</v>
      </c>
    </row>
    <row r="936" spans="1:5" x14ac:dyDescent="0.3">
      <c r="A936" t="s">
        <v>447</v>
      </c>
      <c r="B936">
        <v>1500637550</v>
      </c>
      <c r="C936" t="s">
        <v>1256</v>
      </c>
      <c r="D936" t="s">
        <v>1948</v>
      </c>
      <c r="E936" t="str">
        <f t="shared" si="14"/>
        <v>Mechta1500637550</v>
      </c>
    </row>
    <row r="937" spans="1:5" x14ac:dyDescent="0.3">
      <c r="A937" t="s">
        <v>447</v>
      </c>
      <c r="B937">
        <v>7211004399</v>
      </c>
      <c r="C937" t="s">
        <v>1711</v>
      </c>
      <c r="D937" t="s">
        <v>1949</v>
      </c>
      <c r="E937" t="str">
        <f t="shared" si="14"/>
        <v>Mechta7211004399</v>
      </c>
    </row>
    <row r="938" spans="1:5" x14ac:dyDescent="0.3">
      <c r="A938" t="s">
        <v>447</v>
      </c>
      <c r="B938">
        <v>7211004571</v>
      </c>
      <c r="C938" t="s">
        <v>1750</v>
      </c>
      <c r="D938" t="s">
        <v>1950</v>
      </c>
      <c r="E938" t="str">
        <f t="shared" si="14"/>
        <v>Mechta7211004571</v>
      </c>
    </row>
    <row r="939" spans="1:5" x14ac:dyDescent="0.3">
      <c r="A939" t="s">
        <v>447</v>
      </c>
      <c r="B939">
        <v>1830008227</v>
      </c>
      <c r="C939" t="s">
        <v>10</v>
      </c>
      <c r="D939" t="s">
        <v>226</v>
      </c>
      <c r="E939" t="str">
        <f t="shared" si="14"/>
        <v>Mechta1830008227</v>
      </c>
    </row>
    <row r="940" spans="1:5" x14ac:dyDescent="0.3">
      <c r="A940" t="s">
        <v>447</v>
      </c>
      <c r="B940">
        <v>7211004435</v>
      </c>
      <c r="C940" t="s">
        <v>1951</v>
      </c>
      <c r="D940" t="s">
        <v>1952</v>
      </c>
      <c r="E940" t="str">
        <f t="shared" si="14"/>
        <v>Mechta7211004435</v>
      </c>
    </row>
    <row r="941" spans="1:5" x14ac:dyDescent="0.3">
      <c r="A941" t="s">
        <v>447</v>
      </c>
      <c r="B941">
        <v>7211004050</v>
      </c>
      <c r="C941" t="s">
        <v>1114</v>
      </c>
      <c r="D941" t="s">
        <v>1953</v>
      </c>
      <c r="E941" t="str">
        <f t="shared" si="14"/>
        <v>Mechta7211004050</v>
      </c>
    </row>
    <row r="942" spans="1:5" x14ac:dyDescent="0.3">
      <c r="A942" t="s">
        <v>447</v>
      </c>
      <c r="B942">
        <v>7211003141</v>
      </c>
      <c r="C942" t="s">
        <v>898</v>
      </c>
      <c r="D942" t="s">
        <v>1954</v>
      </c>
      <c r="E942" t="str">
        <f t="shared" si="14"/>
        <v>Mechta7211003141</v>
      </c>
    </row>
    <row r="943" spans="1:5" x14ac:dyDescent="0.3">
      <c r="A943" t="s">
        <v>447</v>
      </c>
      <c r="B943">
        <v>7211002101</v>
      </c>
      <c r="C943" t="s">
        <v>425</v>
      </c>
      <c r="D943" t="s">
        <v>1955</v>
      </c>
      <c r="E943" t="str">
        <f t="shared" si="14"/>
        <v>Mechta7211002101</v>
      </c>
    </row>
    <row r="944" spans="1:5" x14ac:dyDescent="0.3">
      <c r="A944" t="s">
        <v>447</v>
      </c>
      <c r="B944">
        <v>7211004463</v>
      </c>
      <c r="C944" t="s">
        <v>110</v>
      </c>
      <c r="D944" t="s">
        <v>248</v>
      </c>
      <c r="E944" t="str">
        <f t="shared" si="14"/>
        <v>Mechta7211004463</v>
      </c>
    </row>
    <row r="945" spans="1:5" x14ac:dyDescent="0.3">
      <c r="A945" t="s">
        <v>447</v>
      </c>
      <c r="B945">
        <v>7211004474</v>
      </c>
      <c r="C945" t="s">
        <v>415</v>
      </c>
      <c r="D945" t="s">
        <v>1956</v>
      </c>
      <c r="E945" t="str">
        <f t="shared" si="14"/>
        <v>Mechta7211004474</v>
      </c>
    </row>
    <row r="946" spans="1:5" x14ac:dyDescent="0.3">
      <c r="A946" t="s">
        <v>447</v>
      </c>
      <c r="B946">
        <v>7211003968</v>
      </c>
      <c r="C946" t="s">
        <v>47</v>
      </c>
      <c r="D946" t="s">
        <v>247</v>
      </c>
      <c r="E946" t="str">
        <f t="shared" si="14"/>
        <v>Mechta7211003968</v>
      </c>
    </row>
    <row r="947" spans="1:5" x14ac:dyDescent="0.3">
      <c r="A947" t="s">
        <v>447</v>
      </c>
      <c r="B947">
        <v>7211001597</v>
      </c>
      <c r="C947" t="s">
        <v>1957</v>
      </c>
      <c r="D947" t="s">
        <v>1958</v>
      </c>
      <c r="E947" t="str">
        <f t="shared" si="14"/>
        <v>Mechta7211001597</v>
      </c>
    </row>
    <row r="948" spans="1:5" x14ac:dyDescent="0.3">
      <c r="A948" t="s">
        <v>447</v>
      </c>
      <c r="B948">
        <v>7211003315</v>
      </c>
      <c r="C948" t="s">
        <v>896</v>
      </c>
      <c r="D948" t="s">
        <v>1959</v>
      </c>
      <c r="E948" t="str">
        <f t="shared" si="14"/>
        <v>Mechta7211003315</v>
      </c>
    </row>
    <row r="949" spans="1:5" x14ac:dyDescent="0.3">
      <c r="A949" t="s">
        <v>447</v>
      </c>
      <c r="B949">
        <v>7211003399</v>
      </c>
      <c r="C949" t="s">
        <v>50</v>
      </c>
      <c r="D949" t="s">
        <v>249</v>
      </c>
      <c r="E949" t="str">
        <f t="shared" si="14"/>
        <v>Mechta7211003399</v>
      </c>
    </row>
    <row r="950" spans="1:5" x14ac:dyDescent="0.3">
      <c r="A950" t="s">
        <v>447</v>
      </c>
      <c r="B950">
        <v>7211004348</v>
      </c>
      <c r="C950" t="s">
        <v>1960</v>
      </c>
      <c r="D950" t="s">
        <v>1961</v>
      </c>
      <c r="E950" t="str">
        <f t="shared" si="14"/>
        <v>Mechta7211004348</v>
      </c>
    </row>
    <row r="951" spans="1:5" x14ac:dyDescent="0.3">
      <c r="A951" t="s">
        <v>447</v>
      </c>
      <c r="B951">
        <v>1830008499</v>
      </c>
      <c r="C951" t="s">
        <v>1962</v>
      </c>
      <c r="D951" t="s">
        <v>1963</v>
      </c>
      <c r="E951" t="str">
        <f t="shared" si="14"/>
        <v>Mechta1830008499</v>
      </c>
    </row>
    <row r="952" spans="1:5" x14ac:dyDescent="0.3">
      <c r="A952" t="s">
        <v>447</v>
      </c>
      <c r="B952">
        <v>1830008185</v>
      </c>
      <c r="C952" t="s">
        <v>357</v>
      </c>
      <c r="D952" t="s">
        <v>1964</v>
      </c>
      <c r="E952" t="str">
        <f t="shared" si="14"/>
        <v>Mechta1830008185</v>
      </c>
    </row>
    <row r="953" spans="1:5" x14ac:dyDescent="0.3">
      <c r="A953" t="s">
        <v>447</v>
      </c>
      <c r="B953">
        <v>1830005921</v>
      </c>
      <c r="C953" t="s">
        <v>618</v>
      </c>
      <c r="D953" t="s">
        <v>1965</v>
      </c>
      <c r="E953" t="str">
        <f t="shared" si="14"/>
        <v>Mechta1830005921</v>
      </c>
    </row>
    <row r="954" spans="1:5" x14ac:dyDescent="0.3">
      <c r="A954" t="s">
        <v>447</v>
      </c>
      <c r="B954">
        <v>1830007991</v>
      </c>
      <c r="C954" t="s">
        <v>882</v>
      </c>
      <c r="D954" t="s">
        <v>1966</v>
      </c>
      <c r="E954" t="str">
        <f t="shared" si="14"/>
        <v>Mechta1830007991</v>
      </c>
    </row>
    <row r="955" spans="1:5" x14ac:dyDescent="0.3">
      <c r="A955" t="s">
        <v>447</v>
      </c>
      <c r="B955">
        <v>1830008216</v>
      </c>
      <c r="C955" t="s">
        <v>1439</v>
      </c>
      <c r="D955" t="s">
        <v>1967</v>
      </c>
      <c r="E955" t="str">
        <f t="shared" si="14"/>
        <v>Mechta1830008216</v>
      </c>
    </row>
    <row r="956" spans="1:5" x14ac:dyDescent="0.3">
      <c r="A956" t="s">
        <v>447</v>
      </c>
      <c r="B956">
        <v>1830007992</v>
      </c>
      <c r="C956" t="s">
        <v>971</v>
      </c>
      <c r="D956" t="s">
        <v>1968</v>
      </c>
      <c r="E956" t="str">
        <f t="shared" si="14"/>
        <v>Mechta1830007992</v>
      </c>
    </row>
    <row r="957" spans="1:5" x14ac:dyDescent="0.3">
      <c r="A957" t="s">
        <v>447</v>
      </c>
      <c r="B957">
        <v>1830008217</v>
      </c>
      <c r="C957" t="s">
        <v>1969</v>
      </c>
      <c r="D957" t="s">
        <v>1970</v>
      </c>
      <c r="E957" t="str">
        <f t="shared" si="14"/>
        <v>Mechta1830008217</v>
      </c>
    </row>
    <row r="958" spans="1:5" x14ac:dyDescent="0.3">
      <c r="A958" t="s">
        <v>447</v>
      </c>
      <c r="B958">
        <v>8010000031</v>
      </c>
      <c r="C958" t="s">
        <v>1686</v>
      </c>
      <c r="D958" t="s">
        <v>1971</v>
      </c>
      <c r="E958" t="str">
        <f t="shared" si="14"/>
        <v>Mechta8010000031</v>
      </c>
    </row>
    <row r="959" spans="1:5" x14ac:dyDescent="0.3">
      <c r="A959" t="s">
        <v>447</v>
      </c>
      <c r="B959">
        <v>8010000032</v>
      </c>
      <c r="C959" t="s">
        <v>817</v>
      </c>
      <c r="D959" t="s">
        <v>1972</v>
      </c>
      <c r="E959" t="str">
        <f t="shared" si="14"/>
        <v>Mechta8010000032</v>
      </c>
    </row>
    <row r="960" spans="1:5" x14ac:dyDescent="0.3">
      <c r="A960" t="s">
        <v>447</v>
      </c>
      <c r="B960">
        <v>8010000982</v>
      </c>
      <c r="C960" t="s">
        <v>1274</v>
      </c>
      <c r="D960" t="s">
        <v>1973</v>
      </c>
      <c r="E960" t="str">
        <f t="shared" si="14"/>
        <v>Mechta8010000982</v>
      </c>
    </row>
    <row r="961" spans="1:5" x14ac:dyDescent="0.3">
      <c r="A961" t="s">
        <v>447</v>
      </c>
      <c r="B961">
        <v>1500868890</v>
      </c>
      <c r="C961" t="s">
        <v>1343</v>
      </c>
      <c r="D961" t="s">
        <v>1974</v>
      </c>
      <c r="E961" t="str">
        <f t="shared" si="14"/>
        <v>Mechta1500868890</v>
      </c>
    </row>
    <row r="962" spans="1:5" x14ac:dyDescent="0.3">
      <c r="A962" t="s">
        <v>447</v>
      </c>
      <c r="B962">
        <v>1500868891</v>
      </c>
      <c r="C962" t="s">
        <v>1341</v>
      </c>
      <c r="D962" t="s">
        <v>1975</v>
      </c>
      <c r="E962" t="str">
        <f t="shared" si="14"/>
        <v>Mechta1500868891</v>
      </c>
    </row>
    <row r="963" spans="1:5" x14ac:dyDescent="0.3">
      <c r="A963" t="s">
        <v>447</v>
      </c>
      <c r="B963">
        <v>8010001045</v>
      </c>
      <c r="C963" t="s">
        <v>1502</v>
      </c>
      <c r="D963" t="s">
        <v>1976</v>
      </c>
      <c r="E963" t="str">
        <f t="shared" ref="E963:E1026" si="15">A963&amp;B963</f>
        <v>Mechta8010001045</v>
      </c>
    </row>
    <row r="964" spans="1:5" x14ac:dyDescent="0.3">
      <c r="A964" t="s">
        <v>447</v>
      </c>
      <c r="B964">
        <v>8010000095</v>
      </c>
      <c r="C964" t="s">
        <v>819</v>
      </c>
      <c r="D964" t="s">
        <v>1977</v>
      </c>
      <c r="E964" t="str">
        <f t="shared" si="15"/>
        <v>Mechta8010000095</v>
      </c>
    </row>
    <row r="965" spans="1:5" x14ac:dyDescent="0.3">
      <c r="A965" t="s">
        <v>447</v>
      </c>
      <c r="B965">
        <v>1510001007</v>
      </c>
      <c r="C965" t="s">
        <v>1978</v>
      </c>
      <c r="D965" t="s">
        <v>1979</v>
      </c>
      <c r="E965" t="str">
        <f t="shared" si="15"/>
        <v>Mechta1510001007</v>
      </c>
    </row>
    <row r="966" spans="1:5" x14ac:dyDescent="0.3">
      <c r="A966" t="s">
        <v>447</v>
      </c>
      <c r="B966">
        <v>1510002154</v>
      </c>
      <c r="C966" t="s">
        <v>1592</v>
      </c>
      <c r="D966" t="s">
        <v>1980</v>
      </c>
      <c r="E966" t="str">
        <f t="shared" si="15"/>
        <v>Mechta1510002154</v>
      </c>
    </row>
    <row r="967" spans="1:5" x14ac:dyDescent="0.3">
      <c r="A967" t="s">
        <v>447</v>
      </c>
      <c r="B967">
        <v>8010001064</v>
      </c>
      <c r="C967" t="s">
        <v>1981</v>
      </c>
      <c r="D967" t="s">
        <v>1982</v>
      </c>
      <c r="E967" t="str">
        <f t="shared" si="15"/>
        <v>Mechta8010001064</v>
      </c>
    </row>
    <row r="968" spans="1:5" x14ac:dyDescent="0.3">
      <c r="A968" t="s">
        <v>447</v>
      </c>
      <c r="B968">
        <v>1510001195</v>
      </c>
      <c r="C968" t="s">
        <v>1983</v>
      </c>
      <c r="D968" t="s">
        <v>1984</v>
      </c>
      <c r="E968" t="str">
        <f t="shared" si="15"/>
        <v>Mechta1510001195</v>
      </c>
    </row>
    <row r="969" spans="1:5" x14ac:dyDescent="0.3">
      <c r="A969" t="s">
        <v>447</v>
      </c>
      <c r="B969">
        <v>1510001599</v>
      </c>
      <c r="C969" t="s">
        <v>66</v>
      </c>
      <c r="D969" t="s">
        <v>259</v>
      </c>
      <c r="E969" t="str">
        <f t="shared" si="15"/>
        <v>Mechta1510001599</v>
      </c>
    </row>
    <row r="970" spans="1:5" x14ac:dyDescent="0.3">
      <c r="A970" t="s">
        <v>447</v>
      </c>
      <c r="B970">
        <v>1510001687</v>
      </c>
      <c r="C970" t="s">
        <v>70</v>
      </c>
      <c r="D970" t="s">
        <v>261</v>
      </c>
      <c r="E970" t="str">
        <f t="shared" si="15"/>
        <v>Mechta1510001687</v>
      </c>
    </row>
    <row r="971" spans="1:5" x14ac:dyDescent="0.3">
      <c r="A971" t="s">
        <v>447</v>
      </c>
      <c r="B971">
        <v>1510001319</v>
      </c>
      <c r="C971" t="s">
        <v>69</v>
      </c>
      <c r="D971" t="s">
        <v>260</v>
      </c>
      <c r="E971" t="str">
        <f t="shared" si="15"/>
        <v>Mechta1510001319</v>
      </c>
    </row>
    <row r="972" spans="1:5" x14ac:dyDescent="0.3">
      <c r="A972" t="s">
        <v>447</v>
      </c>
      <c r="B972">
        <v>1500869984</v>
      </c>
      <c r="C972" t="s">
        <v>65</v>
      </c>
      <c r="D972" t="s">
        <v>258</v>
      </c>
      <c r="E972" t="str">
        <f t="shared" si="15"/>
        <v>Mechta1500869984</v>
      </c>
    </row>
    <row r="973" spans="1:5" x14ac:dyDescent="0.3">
      <c r="A973" t="s">
        <v>447</v>
      </c>
      <c r="B973">
        <v>8010000794</v>
      </c>
      <c r="C973" t="s">
        <v>63</v>
      </c>
      <c r="D973" t="s">
        <v>1985</v>
      </c>
      <c r="E973" t="str">
        <f t="shared" si="15"/>
        <v>Mechta8010000794</v>
      </c>
    </row>
    <row r="974" spans="1:5" x14ac:dyDescent="0.3">
      <c r="A974" t="s">
        <v>447</v>
      </c>
      <c r="B974">
        <v>2210019195</v>
      </c>
      <c r="C974" t="s">
        <v>1986</v>
      </c>
      <c r="D974" t="s">
        <v>1987</v>
      </c>
      <c r="E974" t="str">
        <f t="shared" si="15"/>
        <v>Mechta2210019195</v>
      </c>
    </row>
    <row r="975" spans="1:5" x14ac:dyDescent="0.3">
      <c r="A975" t="s">
        <v>447</v>
      </c>
      <c r="B975">
        <v>2211400757</v>
      </c>
      <c r="C975" t="s">
        <v>1988</v>
      </c>
      <c r="D975" t="s">
        <v>1989</v>
      </c>
      <c r="E975" t="str">
        <f t="shared" si="15"/>
        <v>Mechta2211400757</v>
      </c>
    </row>
    <row r="976" spans="1:5" x14ac:dyDescent="0.3">
      <c r="A976" t="s">
        <v>447</v>
      </c>
      <c r="B976">
        <v>2211400764</v>
      </c>
      <c r="C976" t="s">
        <v>1505</v>
      </c>
      <c r="D976" t="s">
        <v>1990</v>
      </c>
      <c r="E976" t="str">
        <f t="shared" si="15"/>
        <v>Mechta2211400764</v>
      </c>
    </row>
    <row r="977" spans="1:5" x14ac:dyDescent="0.3">
      <c r="A977" t="s">
        <v>447</v>
      </c>
      <c r="B977">
        <v>2211400969</v>
      </c>
      <c r="C977" t="s">
        <v>1991</v>
      </c>
      <c r="D977" t="s">
        <v>1992</v>
      </c>
      <c r="E977" t="str">
        <f t="shared" si="15"/>
        <v>Mechta2211400969</v>
      </c>
    </row>
    <row r="978" spans="1:5" x14ac:dyDescent="0.3">
      <c r="A978" t="s">
        <v>447</v>
      </c>
      <c r="B978">
        <v>2100096216</v>
      </c>
      <c r="C978" t="s">
        <v>1575</v>
      </c>
      <c r="D978" t="s">
        <v>1993</v>
      </c>
      <c r="E978" t="str">
        <f t="shared" si="15"/>
        <v>Mechta2100096216</v>
      </c>
    </row>
    <row r="979" spans="1:5" x14ac:dyDescent="0.3">
      <c r="A979" t="s">
        <v>447</v>
      </c>
      <c r="B979">
        <v>2100121762</v>
      </c>
      <c r="C979" t="s">
        <v>1496</v>
      </c>
      <c r="D979" t="s">
        <v>1994</v>
      </c>
      <c r="E979" t="str">
        <f t="shared" si="15"/>
        <v>Mechta2100121762</v>
      </c>
    </row>
    <row r="980" spans="1:5" x14ac:dyDescent="0.3">
      <c r="A980" t="s">
        <v>447</v>
      </c>
      <c r="B980">
        <v>2100096005</v>
      </c>
      <c r="C980" t="s">
        <v>1716</v>
      </c>
      <c r="D980" t="s">
        <v>1995</v>
      </c>
      <c r="E980" t="str">
        <f t="shared" si="15"/>
        <v>Mechta2100096005</v>
      </c>
    </row>
    <row r="981" spans="1:5" x14ac:dyDescent="0.3">
      <c r="A981" t="s">
        <v>447</v>
      </c>
      <c r="B981">
        <v>2100119880</v>
      </c>
      <c r="C981" t="s">
        <v>1490</v>
      </c>
      <c r="D981" t="s">
        <v>1996</v>
      </c>
      <c r="E981" t="str">
        <f t="shared" si="15"/>
        <v>Mechta2100119880</v>
      </c>
    </row>
    <row r="982" spans="1:5" x14ac:dyDescent="0.3">
      <c r="A982" t="s">
        <v>447</v>
      </c>
      <c r="B982">
        <v>2100119885</v>
      </c>
      <c r="C982" t="s">
        <v>1492</v>
      </c>
      <c r="D982" t="s">
        <v>1997</v>
      </c>
      <c r="E982" t="str">
        <f t="shared" si="15"/>
        <v>Mechta2100119885</v>
      </c>
    </row>
    <row r="983" spans="1:5" x14ac:dyDescent="0.3">
      <c r="A983" t="s">
        <v>447</v>
      </c>
      <c r="B983">
        <v>2100104356</v>
      </c>
      <c r="C983" t="s">
        <v>1688</v>
      </c>
      <c r="D983" t="s">
        <v>1998</v>
      </c>
      <c r="E983" t="str">
        <f t="shared" si="15"/>
        <v>Mechta2100104356</v>
      </c>
    </row>
    <row r="984" spans="1:5" x14ac:dyDescent="0.3">
      <c r="A984" t="s">
        <v>447</v>
      </c>
      <c r="B984">
        <v>2100122930</v>
      </c>
      <c r="C984" t="s">
        <v>401</v>
      </c>
      <c r="D984" t="s">
        <v>1999</v>
      </c>
      <c r="E984" t="str">
        <f t="shared" si="15"/>
        <v>Mechta2100122930</v>
      </c>
    </row>
    <row r="985" spans="1:5" x14ac:dyDescent="0.3">
      <c r="A985" t="s">
        <v>447</v>
      </c>
      <c r="B985">
        <v>2100118828</v>
      </c>
      <c r="C985" t="s">
        <v>1567</v>
      </c>
      <c r="D985" t="s">
        <v>2000</v>
      </c>
      <c r="E985" t="str">
        <f t="shared" si="15"/>
        <v>Mechta2100118828</v>
      </c>
    </row>
    <row r="986" spans="1:5" x14ac:dyDescent="0.3">
      <c r="A986" t="s">
        <v>447</v>
      </c>
      <c r="B986">
        <v>2100118829</v>
      </c>
      <c r="C986" t="s">
        <v>427</v>
      </c>
      <c r="D986" t="s">
        <v>2001</v>
      </c>
      <c r="E986" t="str">
        <f t="shared" si="15"/>
        <v>Mechta2100118829</v>
      </c>
    </row>
    <row r="987" spans="1:5" x14ac:dyDescent="0.3">
      <c r="A987" t="s">
        <v>447</v>
      </c>
      <c r="B987">
        <v>2100115982</v>
      </c>
      <c r="C987" t="s">
        <v>85</v>
      </c>
      <c r="D987" t="s">
        <v>267</v>
      </c>
      <c r="E987" t="str">
        <f t="shared" si="15"/>
        <v>Mechta2100115982</v>
      </c>
    </row>
    <row r="988" spans="1:5" x14ac:dyDescent="0.3">
      <c r="A988" t="s">
        <v>447</v>
      </c>
      <c r="B988">
        <v>2100122932</v>
      </c>
      <c r="C988" t="s">
        <v>2002</v>
      </c>
      <c r="D988" t="s">
        <v>2003</v>
      </c>
      <c r="E988" t="str">
        <f t="shared" si="15"/>
        <v>Mechta2100122932</v>
      </c>
    </row>
    <row r="989" spans="1:5" x14ac:dyDescent="0.3">
      <c r="A989" t="s">
        <v>447</v>
      </c>
      <c r="B989">
        <v>2100116195</v>
      </c>
      <c r="C989" t="s">
        <v>84</v>
      </c>
      <c r="D989" t="s">
        <v>266</v>
      </c>
      <c r="E989" t="str">
        <f t="shared" si="15"/>
        <v>Mechta2100116195</v>
      </c>
    </row>
    <row r="990" spans="1:5" x14ac:dyDescent="0.3">
      <c r="A990" t="s">
        <v>447</v>
      </c>
      <c r="B990">
        <v>9100015789</v>
      </c>
      <c r="C990" t="s">
        <v>2004</v>
      </c>
      <c r="D990" t="s">
        <v>2005</v>
      </c>
      <c r="E990" t="str">
        <f t="shared" si="15"/>
        <v>Mechta9100015789</v>
      </c>
    </row>
    <row r="991" spans="1:5" x14ac:dyDescent="0.3">
      <c r="A991" t="s">
        <v>447</v>
      </c>
      <c r="B991">
        <v>9100015891</v>
      </c>
      <c r="C991">
        <v>4131820</v>
      </c>
      <c r="D991" t="s">
        <v>2006</v>
      </c>
      <c r="E991" t="str">
        <f t="shared" si="15"/>
        <v>Mechta9100015891</v>
      </c>
    </row>
    <row r="992" spans="1:5" x14ac:dyDescent="0.3">
      <c r="A992" t="s">
        <v>447</v>
      </c>
      <c r="B992">
        <v>2100058891</v>
      </c>
      <c r="C992" t="s">
        <v>586</v>
      </c>
      <c r="D992" t="s">
        <v>2007</v>
      </c>
      <c r="E992" t="str">
        <f t="shared" si="15"/>
        <v>Mechta2100058891</v>
      </c>
    </row>
    <row r="993" spans="1:5" x14ac:dyDescent="0.3">
      <c r="A993" t="s">
        <v>447</v>
      </c>
      <c r="B993">
        <v>8010000405</v>
      </c>
      <c r="C993" t="s">
        <v>1110</v>
      </c>
      <c r="D993" t="s">
        <v>2008</v>
      </c>
      <c r="E993" t="str">
        <f t="shared" si="15"/>
        <v>Mechta8010000405</v>
      </c>
    </row>
    <row r="994" spans="1:5" x14ac:dyDescent="0.3">
      <c r="A994" t="s">
        <v>447</v>
      </c>
      <c r="B994">
        <v>1500636334</v>
      </c>
      <c r="C994" t="s">
        <v>1106</v>
      </c>
      <c r="D994" t="s">
        <v>2009</v>
      </c>
      <c r="E994" t="str">
        <f t="shared" si="15"/>
        <v>Mechta1500636334</v>
      </c>
    </row>
    <row r="995" spans="1:5" x14ac:dyDescent="0.3">
      <c r="A995" t="s">
        <v>447</v>
      </c>
      <c r="B995">
        <v>1500637540</v>
      </c>
      <c r="C995" t="s">
        <v>859</v>
      </c>
      <c r="D995" t="s">
        <v>2010</v>
      </c>
      <c r="E995" t="str">
        <f t="shared" si="15"/>
        <v>Mechta1500637540</v>
      </c>
    </row>
    <row r="996" spans="1:5" x14ac:dyDescent="0.3">
      <c r="A996" t="s">
        <v>447</v>
      </c>
      <c r="B996">
        <v>7211002441</v>
      </c>
      <c r="C996" t="s">
        <v>40</v>
      </c>
      <c r="D996" t="s">
        <v>242</v>
      </c>
      <c r="E996" t="str">
        <f t="shared" si="15"/>
        <v>Mechta7211002441</v>
      </c>
    </row>
    <row r="997" spans="1:5" x14ac:dyDescent="0.3">
      <c r="A997" t="s">
        <v>447</v>
      </c>
      <c r="B997">
        <v>7211002749</v>
      </c>
      <c r="C997" t="s">
        <v>397</v>
      </c>
      <c r="D997" t="s">
        <v>2011</v>
      </c>
      <c r="E997" t="str">
        <f t="shared" si="15"/>
        <v>Mechta7211002749</v>
      </c>
    </row>
    <row r="998" spans="1:5" x14ac:dyDescent="0.3">
      <c r="A998" t="s">
        <v>447</v>
      </c>
      <c r="B998">
        <v>7211002459</v>
      </c>
      <c r="C998" t="s">
        <v>41</v>
      </c>
      <c r="D998" t="s">
        <v>243</v>
      </c>
      <c r="E998" t="str">
        <f t="shared" si="15"/>
        <v>Mechta7211002459</v>
      </c>
    </row>
    <row r="999" spans="1:5" x14ac:dyDescent="0.3">
      <c r="A999" t="s">
        <v>447</v>
      </c>
      <c r="B999">
        <v>7211002932</v>
      </c>
      <c r="C999" t="s">
        <v>44</v>
      </c>
      <c r="D999" t="s">
        <v>246</v>
      </c>
      <c r="E999" t="str">
        <f t="shared" si="15"/>
        <v>Mechta7211002932</v>
      </c>
    </row>
    <row r="1000" spans="1:5" x14ac:dyDescent="0.3">
      <c r="A1000" t="s">
        <v>447</v>
      </c>
      <c r="B1000">
        <v>7211003740</v>
      </c>
      <c r="C1000" t="s">
        <v>42</v>
      </c>
      <c r="D1000" t="s">
        <v>244</v>
      </c>
      <c r="E1000" t="str">
        <f t="shared" si="15"/>
        <v>Mechta7211003740</v>
      </c>
    </row>
    <row r="1001" spans="1:5" x14ac:dyDescent="0.3">
      <c r="A1001" t="s">
        <v>447</v>
      </c>
      <c r="B1001">
        <v>7211004078</v>
      </c>
      <c r="C1001" t="s">
        <v>43</v>
      </c>
      <c r="D1001" t="s">
        <v>245</v>
      </c>
      <c r="E1001" t="str">
        <f t="shared" si="15"/>
        <v>Mechta7211004078</v>
      </c>
    </row>
    <row r="1002" spans="1:5" x14ac:dyDescent="0.3">
      <c r="A1002" t="s">
        <v>447</v>
      </c>
      <c r="B1002">
        <v>2100118321</v>
      </c>
      <c r="C1002" t="s">
        <v>91</v>
      </c>
      <c r="D1002" t="s">
        <v>272</v>
      </c>
      <c r="E1002" t="str">
        <f t="shared" si="15"/>
        <v>Mechta2100118321</v>
      </c>
    </row>
    <row r="1003" spans="1:5" x14ac:dyDescent="0.3">
      <c r="A1003" t="s">
        <v>447</v>
      </c>
      <c r="B1003">
        <v>2100122012</v>
      </c>
      <c r="C1003" t="s">
        <v>1305</v>
      </c>
      <c r="D1003" t="s">
        <v>2012</v>
      </c>
      <c r="E1003" t="str">
        <f t="shared" si="15"/>
        <v>Mechta2100122012</v>
      </c>
    </row>
    <row r="1004" spans="1:5" x14ac:dyDescent="0.3">
      <c r="A1004" t="s">
        <v>447</v>
      </c>
      <c r="B1004">
        <v>2100122010</v>
      </c>
      <c r="C1004" t="s">
        <v>1307</v>
      </c>
      <c r="D1004" t="s">
        <v>2013</v>
      </c>
      <c r="E1004" t="str">
        <f t="shared" si="15"/>
        <v>Mechta2100122010</v>
      </c>
    </row>
    <row r="1005" spans="1:5" x14ac:dyDescent="0.3">
      <c r="A1005" t="s">
        <v>447</v>
      </c>
      <c r="B1005">
        <v>2100122009</v>
      </c>
      <c r="C1005" t="s">
        <v>1311</v>
      </c>
      <c r="D1005" t="s">
        <v>2014</v>
      </c>
      <c r="E1005" t="str">
        <f t="shared" si="15"/>
        <v>Mechta2100122009</v>
      </c>
    </row>
    <row r="1006" spans="1:5" x14ac:dyDescent="0.3">
      <c r="A1006" t="s">
        <v>447</v>
      </c>
      <c r="B1006">
        <v>2100122011</v>
      </c>
      <c r="C1006" t="s">
        <v>1309</v>
      </c>
      <c r="D1006" t="s">
        <v>2015</v>
      </c>
      <c r="E1006" t="str">
        <f t="shared" si="15"/>
        <v>Mechta2100122011</v>
      </c>
    </row>
    <row r="1007" spans="1:5" x14ac:dyDescent="0.3">
      <c r="A1007" t="s">
        <v>447</v>
      </c>
      <c r="B1007">
        <v>2100121737</v>
      </c>
      <c r="C1007" t="s">
        <v>614</v>
      </c>
      <c r="D1007" t="s">
        <v>2016</v>
      </c>
      <c r="E1007" t="str">
        <f t="shared" si="15"/>
        <v>Mechta2100121737</v>
      </c>
    </row>
    <row r="1008" spans="1:5" x14ac:dyDescent="0.3">
      <c r="A1008" t="s">
        <v>447</v>
      </c>
      <c r="B1008">
        <v>2100121732</v>
      </c>
      <c r="C1008" t="s">
        <v>652</v>
      </c>
      <c r="D1008" t="s">
        <v>2017</v>
      </c>
      <c r="E1008" t="str">
        <f t="shared" si="15"/>
        <v>Mechta2100121732</v>
      </c>
    </row>
    <row r="1009" spans="1:5" x14ac:dyDescent="0.3">
      <c r="A1009" t="s">
        <v>447</v>
      </c>
      <c r="B1009">
        <v>2100121739</v>
      </c>
      <c r="C1009" t="s">
        <v>650</v>
      </c>
      <c r="D1009" t="s">
        <v>2018</v>
      </c>
      <c r="E1009" t="str">
        <f t="shared" si="15"/>
        <v>Mechta2100121739</v>
      </c>
    </row>
    <row r="1010" spans="1:5" x14ac:dyDescent="0.3">
      <c r="A1010" t="s">
        <v>447</v>
      </c>
      <c r="B1010">
        <v>2100121731</v>
      </c>
      <c r="C1010" t="s">
        <v>646</v>
      </c>
      <c r="D1010" t="s">
        <v>2019</v>
      </c>
      <c r="E1010" t="str">
        <f t="shared" si="15"/>
        <v>Mechta2100121731</v>
      </c>
    </row>
    <row r="1011" spans="1:5" x14ac:dyDescent="0.3">
      <c r="A1011" t="s">
        <v>447</v>
      </c>
      <c r="B1011">
        <v>2100121738</v>
      </c>
      <c r="C1011" t="s">
        <v>616</v>
      </c>
      <c r="D1011" t="s">
        <v>2020</v>
      </c>
      <c r="E1011" t="str">
        <f t="shared" si="15"/>
        <v>Mechta2100121738</v>
      </c>
    </row>
    <row r="1012" spans="1:5" x14ac:dyDescent="0.3">
      <c r="A1012" t="s">
        <v>447</v>
      </c>
      <c r="B1012">
        <v>2100104348</v>
      </c>
      <c r="C1012" t="s">
        <v>2021</v>
      </c>
      <c r="D1012" t="s">
        <v>2022</v>
      </c>
      <c r="E1012" t="str">
        <f t="shared" si="15"/>
        <v>Mechta2100104348</v>
      </c>
    </row>
    <row r="1013" spans="1:5" x14ac:dyDescent="0.3">
      <c r="A1013" t="s">
        <v>447</v>
      </c>
      <c r="B1013">
        <v>2100104353</v>
      </c>
      <c r="C1013" t="s">
        <v>2023</v>
      </c>
      <c r="D1013" t="s">
        <v>2024</v>
      </c>
      <c r="E1013" t="str">
        <f t="shared" si="15"/>
        <v>Mechta2100104353</v>
      </c>
    </row>
    <row r="1014" spans="1:5" x14ac:dyDescent="0.3">
      <c r="A1014" t="s">
        <v>447</v>
      </c>
      <c r="B1014">
        <v>2100113067</v>
      </c>
      <c r="C1014" t="s">
        <v>2025</v>
      </c>
      <c r="D1014" t="s">
        <v>2026</v>
      </c>
      <c r="E1014" t="str">
        <f t="shared" si="15"/>
        <v>Mechta2100113067</v>
      </c>
    </row>
    <row r="1015" spans="1:5" x14ac:dyDescent="0.3">
      <c r="A1015" t="s">
        <v>447</v>
      </c>
      <c r="B1015">
        <v>8000035583</v>
      </c>
      <c r="C1015" t="s">
        <v>1684</v>
      </c>
      <c r="D1015" t="s">
        <v>2027</v>
      </c>
      <c r="E1015" t="str">
        <f t="shared" si="15"/>
        <v>Mechta8000035583</v>
      </c>
    </row>
    <row r="1016" spans="1:5" x14ac:dyDescent="0.3">
      <c r="A1016" t="s">
        <v>447</v>
      </c>
      <c r="B1016">
        <v>2100102186</v>
      </c>
      <c r="C1016" t="s">
        <v>841</v>
      </c>
      <c r="D1016" t="s">
        <v>2028</v>
      </c>
      <c r="E1016" t="str">
        <f t="shared" si="15"/>
        <v>Mechta2100102186</v>
      </c>
    </row>
    <row r="1017" spans="1:5" x14ac:dyDescent="0.3">
      <c r="A1017" t="s">
        <v>447</v>
      </c>
      <c r="B1017">
        <v>2100102185</v>
      </c>
      <c r="C1017" t="s">
        <v>1459</v>
      </c>
      <c r="D1017" t="s">
        <v>2029</v>
      </c>
      <c r="E1017" t="str">
        <f t="shared" si="15"/>
        <v>Mechta2100102185</v>
      </c>
    </row>
    <row r="1018" spans="1:5" x14ac:dyDescent="0.3">
      <c r="A1018" t="s">
        <v>447</v>
      </c>
      <c r="B1018">
        <v>1830007750</v>
      </c>
      <c r="C1018" t="s">
        <v>1090</v>
      </c>
      <c r="D1018" t="s">
        <v>2030</v>
      </c>
      <c r="E1018" t="str">
        <f t="shared" si="15"/>
        <v>Mechta1830007750</v>
      </c>
    </row>
    <row r="1019" spans="1:5" x14ac:dyDescent="0.3">
      <c r="A1019" t="s">
        <v>447</v>
      </c>
      <c r="B1019">
        <v>1830007748</v>
      </c>
      <c r="C1019" t="s">
        <v>2031</v>
      </c>
      <c r="D1019" t="s">
        <v>2032</v>
      </c>
      <c r="E1019" t="str">
        <f t="shared" si="15"/>
        <v>Mechta1830007748</v>
      </c>
    </row>
    <row r="1020" spans="1:5" x14ac:dyDescent="0.3">
      <c r="A1020" t="s">
        <v>447</v>
      </c>
      <c r="B1020">
        <v>1830006595</v>
      </c>
      <c r="C1020" t="s">
        <v>1417</v>
      </c>
      <c r="D1020" t="s">
        <v>2033</v>
      </c>
      <c r="E1020" t="str">
        <f t="shared" si="15"/>
        <v>Mechta1830006595</v>
      </c>
    </row>
    <row r="1021" spans="1:5" x14ac:dyDescent="0.3">
      <c r="A1021" t="s">
        <v>447</v>
      </c>
      <c r="B1021">
        <v>1830008418</v>
      </c>
      <c r="C1021" t="s">
        <v>1759</v>
      </c>
      <c r="D1021" t="s">
        <v>2034</v>
      </c>
      <c r="E1021" t="str">
        <f t="shared" si="15"/>
        <v>Mechta1830008418</v>
      </c>
    </row>
    <row r="1022" spans="1:5" x14ac:dyDescent="0.3">
      <c r="A1022" t="s">
        <v>447</v>
      </c>
      <c r="B1022">
        <v>1830008196</v>
      </c>
      <c r="C1022" t="s">
        <v>2035</v>
      </c>
      <c r="D1022" t="s">
        <v>2036</v>
      </c>
      <c r="E1022" t="str">
        <f t="shared" si="15"/>
        <v>Mechta1830008196</v>
      </c>
    </row>
    <row r="1023" spans="1:5" x14ac:dyDescent="0.3">
      <c r="A1023" t="s">
        <v>447</v>
      </c>
      <c r="B1023">
        <v>1830007269</v>
      </c>
      <c r="C1023" t="s">
        <v>1092</v>
      </c>
      <c r="D1023" t="s">
        <v>2037</v>
      </c>
      <c r="E1023" t="str">
        <f t="shared" si="15"/>
        <v>Mechta1830007269</v>
      </c>
    </row>
    <row r="1024" spans="1:5" x14ac:dyDescent="0.3">
      <c r="A1024" t="s">
        <v>447</v>
      </c>
      <c r="B1024">
        <v>1830007628</v>
      </c>
      <c r="C1024" t="s">
        <v>1071</v>
      </c>
      <c r="D1024" t="s">
        <v>2038</v>
      </c>
      <c r="E1024" t="str">
        <f t="shared" si="15"/>
        <v>Mechta1830007628</v>
      </c>
    </row>
    <row r="1025" spans="1:5" x14ac:dyDescent="0.3">
      <c r="A1025" t="s">
        <v>447</v>
      </c>
      <c r="B1025">
        <v>1830007629</v>
      </c>
      <c r="C1025" t="s">
        <v>1073</v>
      </c>
      <c r="D1025" t="s">
        <v>2039</v>
      </c>
      <c r="E1025" t="str">
        <f t="shared" si="15"/>
        <v>Mechta1830007629</v>
      </c>
    </row>
    <row r="1026" spans="1:5" x14ac:dyDescent="0.3">
      <c r="A1026" t="s">
        <v>447</v>
      </c>
      <c r="B1026">
        <v>1830007217</v>
      </c>
      <c r="C1026" t="s">
        <v>2040</v>
      </c>
      <c r="D1026" t="s">
        <v>2041</v>
      </c>
      <c r="E1026" t="str">
        <f t="shared" si="15"/>
        <v>Mechta1830007217</v>
      </c>
    </row>
    <row r="1027" spans="1:5" x14ac:dyDescent="0.3">
      <c r="A1027" t="s">
        <v>447</v>
      </c>
      <c r="B1027">
        <v>1830007156</v>
      </c>
      <c r="C1027" t="s">
        <v>411</v>
      </c>
      <c r="D1027" t="s">
        <v>2042</v>
      </c>
      <c r="E1027" t="str">
        <f t="shared" ref="E1027:E1090" si="16">A1027&amp;B1027</f>
        <v>Mechta1830007156</v>
      </c>
    </row>
    <row r="1028" spans="1:5" x14ac:dyDescent="0.3">
      <c r="A1028" t="s">
        <v>447</v>
      </c>
      <c r="B1028">
        <v>1830007659</v>
      </c>
      <c r="C1028" t="s">
        <v>1062</v>
      </c>
      <c r="D1028" t="s">
        <v>2043</v>
      </c>
      <c r="E1028" t="str">
        <f t="shared" si="16"/>
        <v>Mechta1830007659</v>
      </c>
    </row>
    <row r="1029" spans="1:5" x14ac:dyDescent="0.3">
      <c r="A1029" t="s">
        <v>447</v>
      </c>
      <c r="B1029">
        <v>2820950102</v>
      </c>
      <c r="C1029" t="s">
        <v>880</v>
      </c>
      <c r="D1029" t="s">
        <v>2044</v>
      </c>
      <c r="E1029" t="str">
        <f t="shared" si="16"/>
        <v>Mechta2820950102</v>
      </c>
    </row>
    <row r="1030" spans="1:5" x14ac:dyDescent="0.3">
      <c r="A1030" t="s">
        <v>447</v>
      </c>
      <c r="B1030">
        <v>2820101010</v>
      </c>
      <c r="C1030" t="s">
        <v>2045</v>
      </c>
      <c r="D1030" t="s">
        <v>2046</v>
      </c>
      <c r="E1030" t="str">
        <f t="shared" si="16"/>
        <v>Mechta2820101010</v>
      </c>
    </row>
    <row r="1031" spans="1:5" x14ac:dyDescent="0.3">
      <c r="A1031" t="s">
        <v>447</v>
      </c>
      <c r="B1031">
        <v>2820102010</v>
      </c>
      <c r="C1031" t="s">
        <v>900</v>
      </c>
      <c r="D1031" t="s">
        <v>2047</v>
      </c>
      <c r="E1031" t="str">
        <f t="shared" si="16"/>
        <v>Mechta2820102010</v>
      </c>
    </row>
    <row r="1032" spans="1:5" x14ac:dyDescent="0.3">
      <c r="A1032" t="s">
        <v>447</v>
      </c>
      <c r="B1032">
        <v>7211003840</v>
      </c>
      <c r="C1032" t="s">
        <v>1143</v>
      </c>
      <c r="D1032" t="s">
        <v>2048</v>
      </c>
      <c r="E1032" t="str">
        <f t="shared" si="16"/>
        <v>Mechta7211003840</v>
      </c>
    </row>
    <row r="1033" spans="1:5" x14ac:dyDescent="0.3">
      <c r="A1033" t="s">
        <v>447</v>
      </c>
      <c r="B1033">
        <v>2820130131</v>
      </c>
      <c r="C1033" t="s">
        <v>517</v>
      </c>
      <c r="D1033" t="s">
        <v>2049</v>
      </c>
      <c r="E1033" t="str">
        <f t="shared" si="16"/>
        <v>Mechta2820130131</v>
      </c>
    </row>
    <row r="1034" spans="1:5" x14ac:dyDescent="0.3">
      <c r="A1034" t="s">
        <v>447</v>
      </c>
      <c r="B1034">
        <v>7211002933</v>
      </c>
      <c r="C1034" t="s">
        <v>942</v>
      </c>
      <c r="D1034" t="s">
        <v>2050</v>
      </c>
      <c r="E1034" t="str">
        <f t="shared" si="16"/>
        <v>Mechta7211002933</v>
      </c>
    </row>
    <row r="1035" spans="1:5" x14ac:dyDescent="0.3">
      <c r="A1035" t="s">
        <v>447</v>
      </c>
      <c r="B1035">
        <v>1510001937</v>
      </c>
      <c r="C1035" t="s">
        <v>1655</v>
      </c>
      <c r="D1035" t="s">
        <v>2051</v>
      </c>
      <c r="E1035" t="str">
        <f t="shared" si="16"/>
        <v>Mechta1510001937</v>
      </c>
    </row>
    <row r="1036" spans="1:5" x14ac:dyDescent="0.3">
      <c r="A1036" t="s">
        <v>447</v>
      </c>
      <c r="B1036">
        <v>2820300830</v>
      </c>
      <c r="C1036" t="s">
        <v>944</v>
      </c>
      <c r="D1036" t="s">
        <v>2052</v>
      </c>
      <c r="E1036" t="str">
        <f t="shared" si="16"/>
        <v>Mechta2820300830</v>
      </c>
    </row>
    <row r="1037" spans="1:5" x14ac:dyDescent="0.3">
      <c r="A1037" t="s">
        <v>447</v>
      </c>
      <c r="B1037">
        <v>1830004589</v>
      </c>
      <c r="C1037" t="s">
        <v>491</v>
      </c>
      <c r="D1037" t="s">
        <v>2053</v>
      </c>
      <c r="E1037" t="str">
        <f t="shared" si="16"/>
        <v>Mechta1830004589</v>
      </c>
    </row>
    <row r="1038" spans="1:5" x14ac:dyDescent="0.3">
      <c r="A1038" t="s">
        <v>447</v>
      </c>
      <c r="B1038">
        <v>1830008463</v>
      </c>
      <c r="C1038" t="s">
        <v>1665</v>
      </c>
      <c r="D1038" t="s">
        <v>2054</v>
      </c>
      <c r="E1038" t="str">
        <f t="shared" si="16"/>
        <v>Mechta1830008463</v>
      </c>
    </row>
    <row r="1039" spans="1:5" x14ac:dyDescent="0.3">
      <c r="A1039" t="s">
        <v>447</v>
      </c>
      <c r="B1039">
        <v>1830006540</v>
      </c>
      <c r="C1039" t="s">
        <v>890</v>
      </c>
      <c r="D1039" t="s">
        <v>2055</v>
      </c>
      <c r="E1039" t="str">
        <f t="shared" si="16"/>
        <v>Mechta1830006540</v>
      </c>
    </row>
    <row r="1040" spans="1:5" x14ac:dyDescent="0.3">
      <c r="A1040" t="s">
        <v>447</v>
      </c>
      <c r="B1040">
        <v>1830008504</v>
      </c>
      <c r="C1040" t="s">
        <v>1667</v>
      </c>
      <c r="D1040" t="s">
        <v>2056</v>
      </c>
      <c r="E1040" t="str">
        <f t="shared" si="16"/>
        <v>Mechta1830008504</v>
      </c>
    </row>
    <row r="1041" spans="1:5" x14ac:dyDescent="0.3">
      <c r="A1041" t="s">
        <v>447</v>
      </c>
      <c r="B1041">
        <v>1830006532</v>
      </c>
      <c r="C1041" t="s">
        <v>888</v>
      </c>
      <c r="D1041" t="s">
        <v>2057</v>
      </c>
      <c r="E1041" t="str">
        <f t="shared" si="16"/>
        <v>Mechta1830006532</v>
      </c>
    </row>
    <row r="1042" spans="1:5" x14ac:dyDescent="0.3">
      <c r="A1042" t="s">
        <v>447</v>
      </c>
      <c r="B1042">
        <v>1830006533</v>
      </c>
      <c r="C1042" t="s">
        <v>892</v>
      </c>
      <c r="D1042" t="s">
        <v>2058</v>
      </c>
      <c r="E1042" t="str">
        <f t="shared" si="16"/>
        <v>Mechta1830006533</v>
      </c>
    </row>
    <row r="1043" spans="1:5" x14ac:dyDescent="0.3">
      <c r="A1043" t="s">
        <v>447</v>
      </c>
      <c r="B1043">
        <v>1830003867</v>
      </c>
      <c r="C1043" t="s">
        <v>482</v>
      </c>
      <c r="D1043" t="s">
        <v>2059</v>
      </c>
      <c r="E1043" t="str">
        <f t="shared" si="16"/>
        <v>Mechta1830003867</v>
      </c>
    </row>
    <row r="1044" spans="1:5" x14ac:dyDescent="0.3">
      <c r="A1044" t="s">
        <v>447</v>
      </c>
      <c r="B1044">
        <v>1830006026</v>
      </c>
      <c r="C1044" t="s">
        <v>356</v>
      </c>
      <c r="D1044" t="s">
        <v>2060</v>
      </c>
      <c r="E1044" t="str">
        <f t="shared" si="16"/>
        <v>Mechta1830006026</v>
      </c>
    </row>
    <row r="1045" spans="1:5" x14ac:dyDescent="0.3">
      <c r="A1045" t="s">
        <v>447</v>
      </c>
      <c r="B1045">
        <v>1830006977</v>
      </c>
      <c r="C1045" t="s">
        <v>1013</v>
      </c>
      <c r="D1045" t="s">
        <v>2061</v>
      </c>
      <c r="E1045" t="str">
        <f t="shared" si="16"/>
        <v>Mechta1830006977</v>
      </c>
    </row>
    <row r="1046" spans="1:5" x14ac:dyDescent="0.3">
      <c r="A1046" t="s">
        <v>447</v>
      </c>
      <c r="B1046">
        <v>1830007557</v>
      </c>
      <c r="C1046" t="s">
        <v>1413</v>
      </c>
      <c r="D1046" t="s">
        <v>2062</v>
      </c>
      <c r="E1046" t="str">
        <f t="shared" si="16"/>
        <v>Mechta1830007557</v>
      </c>
    </row>
    <row r="1047" spans="1:5" x14ac:dyDescent="0.3">
      <c r="A1047" t="s">
        <v>447</v>
      </c>
      <c r="B1047">
        <v>1830005197</v>
      </c>
      <c r="C1047" t="s">
        <v>529</v>
      </c>
      <c r="D1047" t="s">
        <v>2063</v>
      </c>
      <c r="E1047" t="str">
        <f t="shared" si="16"/>
        <v>Mechta1830005197</v>
      </c>
    </row>
    <row r="1048" spans="1:5" x14ac:dyDescent="0.3">
      <c r="A1048" t="s">
        <v>447</v>
      </c>
      <c r="B1048">
        <v>1830004849</v>
      </c>
      <c r="C1048" t="s">
        <v>493</v>
      </c>
      <c r="D1048" t="s">
        <v>2064</v>
      </c>
      <c r="E1048" t="str">
        <f t="shared" si="16"/>
        <v>Mechta1830004849</v>
      </c>
    </row>
    <row r="1049" spans="1:5" x14ac:dyDescent="0.3">
      <c r="A1049" t="s">
        <v>447</v>
      </c>
      <c r="B1049">
        <v>1830007933</v>
      </c>
      <c r="C1049" t="s">
        <v>98</v>
      </c>
      <c r="D1049" t="s">
        <v>277</v>
      </c>
      <c r="E1049" t="str">
        <f t="shared" si="16"/>
        <v>Mechta1830007933</v>
      </c>
    </row>
    <row r="1050" spans="1:5" x14ac:dyDescent="0.3">
      <c r="A1050" t="s">
        <v>447</v>
      </c>
      <c r="B1050">
        <v>2100104607</v>
      </c>
      <c r="C1050" t="s">
        <v>2065</v>
      </c>
      <c r="D1050" t="s">
        <v>2066</v>
      </c>
      <c r="E1050" t="str">
        <f t="shared" si="16"/>
        <v>Mechta2100104607</v>
      </c>
    </row>
    <row r="1051" spans="1:5" x14ac:dyDescent="0.3">
      <c r="A1051" t="s">
        <v>447</v>
      </c>
      <c r="B1051">
        <v>2027443120</v>
      </c>
      <c r="C1051">
        <v>2744312</v>
      </c>
      <c r="D1051" t="s">
        <v>2067</v>
      </c>
      <c r="E1051" t="str">
        <f t="shared" si="16"/>
        <v>Mechta2027443120</v>
      </c>
    </row>
    <row r="1052" spans="1:5" x14ac:dyDescent="0.3">
      <c r="A1052" t="s">
        <v>447</v>
      </c>
      <c r="B1052">
        <v>2100087318</v>
      </c>
      <c r="C1052" t="s">
        <v>1295</v>
      </c>
      <c r="D1052" t="s">
        <v>2068</v>
      </c>
      <c r="E1052" t="str">
        <f t="shared" si="16"/>
        <v>Mechta2100087318</v>
      </c>
    </row>
    <row r="1053" spans="1:5" x14ac:dyDescent="0.3">
      <c r="A1053" t="s">
        <v>447</v>
      </c>
      <c r="B1053">
        <v>2820802112</v>
      </c>
      <c r="C1053" t="s">
        <v>51</v>
      </c>
      <c r="D1053" t="s">
        <v>250</v>
      </c>
      <c r="E1053" t="str">
        <f t="shared" si="16"/>
        <v>Mechta2820802112</v>
      </c>
    </row>
    <row r="1054" spans="1:5" x14ac:dyDescent="0.3">
      <c r="A1054" t="s">
        <v>447</v>
      </c>
      <c r="B1054">
        <v>1830005027</v>
      </c>
      <c r="C1054" t="s">
        <v>935</v>
      </c>
      <c r="D1054" t="s">
        <v>2069</v>
      </c>
      <c r="E1054" t="str">
        <f t="shared" si="16"/>
        <v>Mechta1830005027</v>
      </c>
    </row>
    <row r="1055" spans="1:5" x14ac:dyDescent="0.3">
      <c r="A1055" t="s">
        <v>447</v>
      </c>
      <c r="B1055">
        <v>1830007567</v>
      </c>
      <c r="C1055" t="s">
        <v>1164</v>
      </c>
      <c r="D1055" t="s">
        <v>2070</v>
      </c>
      <c r="E1055" t="str">
        <f t="shared" si="16"/>
        <v>Mechta1830007567</v>
      </c>
    </row>
    <row r="1056" spans="1:5" x14ac:dyDescent="0.3">
      <c r="A1056" t="s">
        <v>447</v>
      </c>
      <c r="B1056">
        <v>1830007960</v>
      </c>
      <c r="C1056" t="s">
        <v>1732</v>
      </c>
      <c r="D1056" t="s">
        <v>2071</v>
      </c>
      <c r="E1056" t="str">
        <f t="shared" si="16"/>
        <v>Mechta1830007960</v>
      </c>
    </row>
    <row r="1057" spans="1:5" x14ac:dyDescent="0.3">
      <c r="A1057" t="s">
        <v>447</v>
      </c>
      <c r="B1057">
        <v>1830006616</v>
      </c>
      <c r="C1057" t="s">
        <v>1150</v>
      </c>
      <c r="D1057" t="s">
        <v>2072</v>
      </c>
      <c r="E1057" t="str">
        <f t="shared" si="16"/>
        <v>Mechta1830006616</v>
      </c>
    </row>
    <row r="1058" spans="1:5" x14ac:dyDescent="0.3">
      <c r="A1058" t="s">
        <v>447</v>
      </c>
      <c r="B1058">
        <v>1830007946</v>
      </c>
      <c r="C1058" t="s">
        <v>1394</v>
      </c>
      <c r="D1058" t="s">
        <v>2073</v>
      </c>
      <c r="E1058" t="str">
        <f t="shared" si="16"/>
        <v>Mechta1830007946</v>
      </c>
    </row>
    <row r="1059" spans="1:5" x14ac:dyDescent="0.3">
      <c r="A1059" t="s">
        <v>447</v>
      </c>
      <c r="B1059">
        <v>1830008496</v>
      </c>
      <c r="C1059" t="s">
        <v>1619</v>
      </c>
      <c r="D1059" t="s">
        <v>2074</v>
      </c>
      <c r="E1059" t="str">
        <f t="shared" si="16"/>
        <v>Mechta1830008496</v>
      </c>
    </row>
    <row r="1060" spans="1:5" x14ac:dyDescent="0.3">
      <c r="A1060" t="s">
        <v>447</v>
      </c>
      <c r="B1060">
        <v>1830008182</v>
      </c>
      <c r="C1060" t="s">
        <v>1396</v>
      </c>
      <c r="D1060" t="s">
        <v>2075</v>
      </c>
      <c r="E1060" t="str">
        <f t="shared" si="16"/>
        <v>Mechta1830008182</v>
      </c>
    </row>
    <row r="1061" spans="1:5" x14ac:dyDescent="0.3">
      <c r="A1061" t="s">
        <v>447</v>
      </c>
      <c r="B1061">
        <v>1830008184</v>
      </c>
      <c r="C1061" t="s">
        <v>1427</v>
      </c>
      <c r="D1061" t="s">
        <v>2076</v>
      </c>
      <c r="E1061" t="str">
        <f t="shared" si="16"/>
        <v>Mechta1830008184</v>
      </c>
    </row>
    <row r="1062" spans="1:5" x14ac:dyDescent="0.3">
      <c r="A1062" t="s">
        <v>447</v>
      </c>
      <c r="B1062">
        <v>1830008061</v>
      </c>
      <c r="C1062" t="s">
        <v>1392</v>
      </c>
      <c r="D1062" t="s">
        <v>2077</v>
      </c>
      <c r="E1062" t="str">
        <f t="shared" si="16"/>
        <v>Mechta1830008061</v>
      </c>
    </row>
    <row r="1063" spans="1:5" x14ac:dyDescent="0.3">
      <c r="A1063" t="s">
        <v>447</v>
      </c>
      <c r="B1063">
        <v>1830008493</v>
      </c>
      <c r="C1063" t="s">
        <v>1621</v>
      </c>
      <c r="D1063" t="s">
        <v>2078</v>
      </c>
      <c r="E1063" t="str">
        <f t="shared" si="16"/>
        <v>Mechta1830008493</v>
      </c>
    </row>
    <row r="1064" spans="1:5" x14ac:dyDescent="0.3">
      <c r="A1064" t="s">
        <v>447</v>
      </c>
      <c r="B1064">
        <v>1830006479</v>
      </c>
      <c r="C1064" t="s">
        <v>1166</v>
      </c>
      <c r="D1064" t="s">
        <v>2079</v>
      </c>
      <c r="E1064" t="str">
        <f t="shared" si="16"/>
        <v>Mechta1830006479</v>
      </c>
    </row>
    <row r="1065" spans="1:5" x14ac:dyDescent="0.3">
      <c r="A1065" t="s">
        <v>447</v>
      </c>
      <c r="B1065">
        <v>1830003217</v>
      </c>
      <c r="C1065" t="s">
        <v>476</v>
      </c>
      <c r="D1065" t="s">
        <v>2080</v>
      </c>
      <c r="E1065" t="str">
        <f t="shared" si="16"/>
        <v>Mechta1830003217</v>
      </c>
    </row>
    <row r="1066" spans="1:5" x14ac:dyDescent="0.3">
      <c r="A1066" t="s">
        <v>447</v>
      </c>
      <c r="B1066">
        <v>1830004932</v>
      </c>
      <c r="C1066" t="s">
        <v>560</v>
      </c>
      <c r="D1066" t="s">
        <v>2081</v>
      </c>
      <c r="E1066" t="str">
        <f t="shared" si="16"/>
        <v>Mechta1830004932</v>
      </c>
    </row>
    <row r="1067" spans="1:5" x14ac:dyDescent="0.3">
      <c r="A1067" t="s">
        <v>447</v>
      </c>
      <c r="B1067">
        <v>1830008583</v>
      </c>
      <c r="C1067" t="s">
        <v>1623</v>
      </c>
      <c r="D1067" t="s">
        <v>2082</v>
      </c>
      <c r="E1067" t="str">
        <f t="shared" si="16"/>
        <v>Mechta1830008583</v>
      </c>
    </row>
    <row r="1068" spans="1:5" x14ac:dyDescent="0.3">
      <c r="A1068" t="s">
        <v>447</v>
      </c>
      <c r="B1068">
        <v>1830008582</v>
      </c>
      <c r="C1068" t="s">
        <v>1700</v>
      </c>
      <c r="D1068" t="s">
        <v>2083</v>
      </c>
      <c r="E1068" t="str">
        <f t="shared" si="16"/>
        <v>Mechta1830008582</v>
      </c>
    </row>
    <row r="1069" spans="1:5" x14ac:dyDescent="0.3">
      <c r="A1069" t="s">
        <v>447</v>
      </c>
      <c r="B1069">
        <v>1830008408</v>
      </c>
      <c r="C1069" t="s">
        <v>2084</v>
      </c>
      <c r="D1069" t="s">
        <v>2085</v>
      </c>
      <c r="E1069" t="str">
        <f t="shared" si="16"/>
        <v>Mechta1830008408</v>
      </c>
    </row>
    <row r="1070" spans="1:5" x14ac:dyDescent="0.3">
      <c r="A1070" t="s">
        <v>447</v>
      </c>
      <c r="B1070">
        <v>1830006013</v>
      </c>
      <c r="C1070" t="s">
        <v>423</v>
      </c>
      <c r="D1070" t="s">
        <v>2086</v>
      </c>
      <c r="E1070" t="str">
        <f t="shared" si="16"/>
        <v>Mechta1830006013</v>
      </c>
    </row>
    <row r="1071" spans="1:5" x14ac:dyDescent="0.3">
      <c r="A1071" t="s">
        <v>447</v>
      </c>
      <c r="B1071">
        <v>1830005958</v>
      </c>
      <c r="C1071" t="s">
        <v>902</v>
      </c>
      <c r="D1071" t="s">
        <v>2087</v>
      </c>
      <c r="E1071" t="str">
        <f t="shared" si="16"/>
        <v>Mechta1830005958</v>
      </c>
    </row>
    <row r="1072" spans="1:5" x14ac:dyDescent="0.3">
      <c r="A1072" t="s">
        <v>447</v>
      </c>
      <c r="B1072">
        <v>1830007515</v>
      </c>
      <c r="C1072" t="s">
        <v>95</v>
      </c>
      <c r="D1072" t="s">
        <v>275</v>
      </c>
      <c r="E1072" t="str">
        <f t="shared" si="16"/>
        <v>Mechta1830007515</v>
      </c>
    </row>
    <row r="1073" spans="1:5" x14ac:dyDescent="0.3">
      <c r="A1073" t="s">
        <v>447</v>
      </c>
      <c r="B1073">
        <v>1830007185</v>
      </c>
      <c r="C1073" t="s">
        <v>2088</v>
      </c>
      <c r="D1073" t="s">
        <v>2089</v>
      </c>
      <c r="E1073" t="str">
        <f t="shared" si="16"/>
        <v>Mechta1830007185</v>
      </c>
    </row>
    <row r="1074" spans="1:5" x14ac:dyDescent="0.3">
      <c r="A1074" t="s">
        <v>447</v>
      </c>
      <c r="B1074">
        <v>2210014973</v>
      </c>
      <c r="C1074" t="s">
        <v>2090</v>
      </c>
      <c r="D1074" t="s">
        <v>2091</v>
      </c>
      <c r="E1074" t="str">
        <f t="shared" si="16"/>
        <v>Mechta2210014973</v>
      </c>
    </row>
    <row r="1075" spans="1:5" x14ac:dyDescent="0.3">
      <c r="A1075" t="s">
        <v>447</v>
      </c>
      <c r="B1075">
        <v>2210019196</v>
      </c>
      <c r="C1075" t="s">
        <v>612</v>
      </c>
      <c r="D1075" t="s">
        <v>2092</v>
      </c>
      <c r="E1075" t="str">
        <f t="shared" si="16"/>
        <v>Mechta2210019196</v>
      </c>
    </row>
    <row r="1076" spans="1:5" x14ac:dyDescent="0.3">
      <c r="A1076" t="s">
        <v>447</v>
      </c>
      <c r="B1076">
        <v>2211401034</v>
      </c>
      <c r="C1076" t="s">
        <v>396</v>
      </c>
      <c r="D1076" t="s">
        <v>2093</v>
      </c>
      <c r="E1076" t="str">
        <f t="shared" si="16"/>
        <v>Mechta2211401034</v>
      </c>
    </row>
    <row r="1077" spans="1:5" x14ac:dyDescent="0.3">
      <c r="A1077" t="s">
        <v>447</v>
      </c>
      <c r="B1077">
        <v>2211401035</v>
      </c>
      <c r="C1077" t="s">
        <v>395</v>
      </c>
      <c r="D1077" t="s">
        <v>2094</v>
      </c>
      <c r="E1077" t="str">
        <f t="shared" si="16"/>
        <v>Mechta2211401035</v>
      </c>
    </row>
    <row r="1078" spans="1:5" x14ac:dyDescent="0.3">
      <c r="A1078" t="s">
        <v>447</v>
      </c>
      <c r="B1078">
        <v>2211400854</v>
      </c>
      <c r="C1078" t="s">
        <v>29</v>
      </c>
      <c r="D1078" t="s">
        <v>235</v>
      </c>
      <c r="E1078" t="str">
        <f t="shared" si="16"/>
        <v>Mechta2211400854</v>
      </c>
    </row>
    <row r="1079" spans="1:5" x14ac:dyDescent="0.3">
      <c r="A1079" t="s">
        <v>447</v>
      </c>
      <c r="B1079">
        <v>2211401014</v>
      </c>
      <c r="C1079" t="s">
        <v>371</v>
      </c>
      <c r="D1079" t="s">
        <v>2095</v>
      </c>
      <c r="E1079" t="str">
        <f t="shared" si="16"/>
        <v>Mechta2211401014</v>
      </c>
    </row>
    <row r="1080" spans="1:5" x14ac:dyDescent="0.3">
      <c r="A1080" t="s">
        <v>447</v>
      </c>
      <c r="B1080">
        <v>2211400844</v>
      </c>
      <c r="C1080" t="s">
        <v>27</v>
      </c>
      <c r="D1080" t="s">
        <v>234</v>
      </c>
      <c r="E1080" t="str">
        <f t="shared" si="16"/>
        <v>Mechta2211400844</v>
      </c>
    </row>
    <row r="1081" spans="1:5" x14ac:dyDescent="0.3">
      <c r="A1081" t="s">
        <v>447</v>
      </c>
      <c r="B1081">
        <v>2211400839</v>
      </c>
      <c r="C1081" t="s">
        <v>26</v>
      </c>
      <c r="D1081" t="s">
        <v>233</v>
      </c>
      <c r="E1081" t="str">
        <f t="shared" si="16"/>
        <v>Mechta2211400839</v>
      </c>
    </row>
    <row r="1082" spans="1:5" x14ac:dyDescent="0.3">
      <c r="A1082" t="s">
        <v>447</v>
      </c>
      <c r="B1082">
        <v>2211400810</v>
      </c>
      <c r="C1082" t="s">
        <v>25</v>
      </c>
      <c r="D1082" t="s">
        <v>232</v>
      </c>
      <c r="E1082" t="str">
        <f t="shared" si="16"/>
        <v>Mechta2211400810</v>
      </c>
    </row>
    <row r="1083" spans="1:5" x14ac:dyDescent="0.3">
      <c r="A1083" t="s">
        <v>447</v>
      </c>
      <c r="B1083">
        <v>2211401062</v>
      </c>
      <c r="C1083" t="s">
        <v>1596</v>
      </c>
      <c r="D1083" t="s">
        <v>2096</v>
      </c>
      <c r="E1083" t="str">
        <f t="shared" si="16"/>
        <v>Mechta2211401062</v>
      </c>
    </row>
    <row r="1084" spans="1:5" x14ac:dyDescent="0.3">
      <c r="A1084" t="s">
        <v>447</v>
      </c>
      <c r="B1084">
        <v>2211400647</v>
      </c>
      <c r="C1084" t="s">
        <v>1385</v>
      </c>
      <c r="D1084" t="s">
        <v>2097</v>
      </c>
      <c r="E1084" t="str">
        <f t="shared" si="16"/>
        <v>Mechta2211400647</v>
      </c>
    </row>
    <row r="1085" spans="1:5" x14ac:dyDescent="0.3">
      <c r="A1085" t="s">
        <v>447</v>
      </c>
      <c r="B1085">
        <v>7211004388</v>
      </c>
      <c r="C1085" t="s">
        <v>1116</v>
      </c>
      <c r="D1085" t="s">
        <v>2098</v>
      </c>
      <c r="E1085" t="str">
        <f t="shared" si="16"/>
        <v>Mechta7211004388</v>
      </c>
    </row>
    <row r="1086" spans="1:5" x14ac:dyDescent="0.3">
      <c r="A1086" t="s">
        <v>447</v>
      </c>
      <c r="B1086">
        <v>2211400875</v>
      </c>
      <c r="C1086" t="s">
        <v>2099</v>
      </c>
      <c r="D1086" t="s">
        <v>2100</v>
      </c>
      <c r="E1086" t="str">
        <f t="shared" si="16"/>
        <v>Mechta2211400875</v>
      </c>
    </row>
    <row r="1087" spans="1:5" x14ac:dyDescent="0.3">
      <c r="A1087" t="s">
        <v>447</v>
      </c>
      <c r="B1087">
        <v>2211400560</v>
      </c>
      <c r="C1087" t="s">
        <v>2101</v>
      </c>
      <c r="D1087" t="s">
        <v>2102</v>
      </c>
      <c r="E1087" t="str">
        <f t="shared" si="16"/>
        <v>Mechta2211400560</v>
      </c>
    </row>
    <row r="1088" spans="1:5" x14ac:dyDescent="0.3">
      <c r="A1088" t="s">
        <v>447</v>
      </c>
      <c r="B1088">
        <v>2211400617</v>
      </c>
      <c r="C1088" t="s">
        <v>2103</v>
      </c>
      <c r="D1088" t="s">
        <v>2104</v>
      </c>
      <c r="E1088" t="str">
        <f t="shared" si="16"/>
        <v>Mechta2211400617</v>
      </c>
    </row>
    <row r="1089" spans="1:5" x14ac:dyDescent="0.3">
      <c r="A1089" t="s">
        <v>447</v>
      </c>
      <c r="B1089">
        <v>2211400703</v>
      </c>
      <c r="C1089" t="s">
        <v>1120</v>
      </c>
      <c r="D1089" t="s">
        <v>2105</v>
      </c>
      <c r="E1089" t="str">
        <f t="shared" si="16"/>
        <v>Mechta2211400703</v>
      </c>
    </row>
    <row r="1090" spans="1:5" x14ac:dyDescent="0.3">
      <c r="A1090" t="s">
        <v>447</v>
      </c>
      <c r="B1090">
        <v>2211400967</v>
      </c>
      <c r="C1090" t="s">
        <v>360</v>
      </c>
      <c r="D1090" t="s">
        <v>2106</v>
      </c>
      <c r="E1090" t="str">
        <f t="shared" si="16"/>
        <v>Mechta2211400967</v>
      </c>
    </row>
    <row r="1091" spans="1:5" x14ac:dyDescent="0.3">
      <c r="A1091" t="s">
        <v>447</v>
      </c>
      <c r="B1091">
        <v>2211400968</v>
      </c>
      <c r="C1091" t="s">
        <v>361</v>
      </c>
      <c r="D1091" t="s">
        <v>2107</v>
      </c>
      <c r="E1091" t="str">
        <f t="shared" ref="E1091:E1154" si="17">A1091&amp;B1091</f>
        <v>Mechta2211400968</v>
      </c>
    </row>
    <row r="1092" spans="1:5" x14ac:dyDescent="0.3">
      <c r="A1092" t="s">
        <v>447</v>
      </c>
      <c r="B1092">
        <v>2211400921</v>
      </c>
      <c r="C1092" t="s">
        <v>33</v>
      </c>
      <c r="D1092" t="s">
        <v>237</v>
      </c>
      <c r="E1092" t="str">
        <f t="shared" si="17"/>
        <v>Mechta2211400921</v>
      </c>
    </row>
    <row r="1093" spans="1:5" x14ac:dyDescent="0.3">
      <c r="A1093" t="s">
        <v>447</v>
      </c>
      <c r="B1093">
        <v>2211401037</v>
      </c>
      <c r="C1093" t="s">
        <v>2108</v>
      </c>
      <c r="D1093" t="s">
        <v>2109</v>
      </c>
      <c r="E1093" t="str">
        <f t="shared" si="17"/>
        <v>Mechta2211401037</v>
      </c>
    </row>
    <row r="1094" spans="1:5" x14ac:dyDescent="0.3">
      <c r="A1094" t="s">
        <v>447</v>
      </c>
      <c r="B1094">
        <v>2211400769</v>
      </c>
      <c r="C1094" t="s">
        <v>1189</v>
      </c>
      <c r="D1094" t="s">
        <v>2110</v>
      </c>
      <c r="E1094" t="str">
        <f t="shared" si="17"/>
        <v>Mechta2211400769</v>
      </c>
    </row>
    <row r="1095" spans="1:5" x14ac:dyDescent="0.3">
      <c r="A1095" t="s">
        <v>447</v>
      </c>
      <c r="B1095">
        <v>2211400961</v>
      </c>
      <c r="C1095" t="s">
        <v>2111</v>
      </c>
      <c r="D1095" t="s">
        <v>2112</v>
      </c>
      <c r="E1095" t="str">
        <f t="shared" si="17"/>
        <v>Mechta2211400961</v>
      </c>
    </row>
    <row r="1096" spans="1:5" x14ac:dyDescent="0.3">
      <c r="A1096" t="s">
        <v>447</v>
      </c>
      <c r="B1096">
        <v>2211401050</v>
      </c>
      <c r="C1096" t="s">
        <v>127</v>
      </c>
      <c r="D1096" t="s">
        <v>2113</v>
      </c>
      <c r="E1096" t="str">
        <f t="shared" si="17"/>
        <v>Mechta2211401050</v>
      </c>
    </row>
    <row r="1097" spans="1:5" x14ac:dyDescent="0.3">
      <c r="A1097" t="s">
        <v>447</v>
      </c>
      <c r="B1097">
        <v>2211401038</v>
      </c>
      <c r="C1097" t="s">
        <v>32</v>
      </c>
      <c r="D1097" t="s">
        <v>236</v>
      </c>
      <c r="E1097" t="str">
        <f t="shared" si="17"/>
        <v>Mechta2211401038</v>
      </c>
    </row>
    <row r="1098" spans="1:5" x14ac:dyDescent="0.3">
      <c r="A1098" t="s">
        <v>447</v>
      </c>
      <c r="B1098">
        <v>2211401039</v>
      </c>
      <c r="C1098" t="s">
        <v>31</v>
      </c>
      <c r="D1098" t="s">
        <v>2114</v>
      </c>
      <c r="E1098" t="str">
        <f t="shared" si="17"/>
        <v>Mechta2211401039</v>
      </c>
    </row>
    <row r="1099" spans="1:5" x14ac:dyDescent="0.3">
      <c r="A1099" t="s">
        <v>447</v>
      </c>
      <c r="B1099">
        <v>2211401092</v>
      </c>
      <c r="C1099" t="s">
        <v>393</v>
      </c>
      <c r="D1099" t="s">
        <v>2115</v>
      </c>
      <c r="E1099" t="str">
        <f t="shared" si="17"/>
        <v>Mechta2211401092</v>
      </c>
    </row>
    <row r="1100" spans="1:5" x14ac:dyDescent="0.3">
      <c r="A1100" t="s">
        <v>447</v>
      </c>
      <c r="B1100">
        <v>2211401094</v>
      </c>
      <c r="C1100" t="s">
        <v>391</v>
      </c>
      <c r="D1100" t="s">
        <v>2116</v>
      </c>
      <c r="E1100" t="str">
        <f t="shared" si="17"/>
        <v>Mechta2211401094</v>
      </c>
    </row>
    <row r="1101" spans="1:5" x14ac:dyDescent="0.3">
      <c r="A1101" t="s">
        <v>447</v>
      </c>
      <c r="B1101">
        <v>7211003955</v>
      </c>
      <c r="C1101" t="s">
        <v>1244</v>
      </c>
      <c r="D1101" t="s">
        <v>2117</v>
      </c>
      <c r="E1101" t="str">
        <f t="shared" si="17"/>
        <v>Mechta7211003955</v>
      </c>
    </row>
    <row r="1102" spans="1:5" x14ac:dyDescent="0.3">
      <c r="A1102" t="s">
        <v>447</v>
      </c>
      <c r="B1102">
        <v>7211002803</v>
      </c>
      <c r="C1102" t="s">
        <v>1141</v>
      </c>
      <c r="D1102" t="s">
        <v>2118</v>
      </c>
      <c r="E1102" t="str">
        <f t="shared" si="17"/>
        <v>Mechta7211002803</v>
      </c>
    </row>
    <row r="1103" spans="1:5" x14ac:dyDescent="0.3">
      <c r="A1103" t="s">
        <v>447</v>
      </c>
      <c r="B1103">
        <v>7211002804</v>
      </c>
      <c r="C1103" t="s">
        <v>1790</v>
      </c>
      <c r="D1103" t="s">
        <v>2119</v>
      </c>
      <c r="E1103" t="str">
        <f t="shared" si="17"/>
        <v>Mechta7211002804</v>
      </c>
    </row>
    <row r="1104" spans="1:5" x14ac:dyDescent="0.3">
      <c r="A1104" t="s">
        <v>447</v>
      </c>
      <c r="B1104">
        <v>7211002821</v>
      </c>
      <c r="C1104" t="s">
        <v>2120</v>
      </c>
      <c r="D1104" t="s">
        <v>2121</v>
      </c>
      <c r="E1104" t="str">
        <f t="shared" si="17"/>
        <v>Mechta7211002821</v>
      </c>
    </row>
    <row r="1105" spans="1:5" x14ac:dyDescent="0.3">
      <c r="A1105" t="s">
        <v>447</v>
      </c>
      <c r="B1105">
        <v>7211004046</v>
      </c>
      <c r="C1105" t="s">
        <v>1335</v>
      </c>
      <c r="D1105" t="s">
        <v>2122</v>
      </c>
      <c r="E1105" t="str">
        <f t="shared" si="17"/>
        <v>Mechta7211004046</v>
      </c>
    </row>
    <row r="1106" spans="1:5" x14ac:dyDescent="0.3">
      <c r="A1106" t="s">
        <v>447</v>
      </c>
      <c r="B1106">
        <v>7211002493</v>
      </c>
      <c r="C1106" t="s">
        <v>2123</v>
      </c>
      <c r="D1106" t="s">
        <v>2124</v>
      </c>
      <c r="E1106" t="str">
        <f t="shared" si="17"/>
        <v>Mechta7211002493</v>
      </c>
    </row>
    <row r="1107" spans="1:5" x14ac:dyDescent="0.3">
      <c r="A1107" t="s">
        <v>447</v>
      </c>
      <c r="B1107">
        <v>7211002492</v>
      </c>
      <c r="C1107" t="s">
        <v>2125</v>
      </c>
      <c r="D1107" t="s">
        <v>2126</v>
      </c>
      <c r="E1107" t="str">
        <f t="shared" si="17"/>
        <v>Mechta7211002492</v>
      </c>
    </row>
    <row r="1108" spans="1:5" x14ac:dyDescent="0.3">
      <c r="A1108" t="s">
        <v>447</v>
      </c>
      <c r="B1108">
        <v>7211003316</v>
      </c>
      <c r="C1108" t="s">
        <v>60</v>
      </c>
      <c r="D1108" t="s">
        <v>256</v>
      </c>
      <c r="E1108" t="str">
        <f t="shared" si="17"/>
        <v>Mechta7211003316</v>
      </c>
    </row>
    <row r="1109" spans="1:5" x14ac:dyDescent="0.3">
      <c r="A1109" t="s">
        <v>447</v>
      </c>
      <c r="B1109">
        <v>7211002825</v>
      </c>
      <c r="C1109" t="s">
        <v>1337</v>
      </c>
      <c r="D1109" t="s">
        <v>2127</v>
      </c>
      <c r="E1109" t="str">
        <f t="shared" si="17"/>
        <v>Mechta7211002825</v>
      </c>
    </row>
    <row r="1110" spans="1:5" x14ac:dyDescent="0.3">
      <c r="A1110" t="s">
        <v>447</v>
      </c>
      <c r="B1110">
        <v>8000036188</v>
      </c>
      <c r="C1110" t="s">
        <v>2128</v>
      </c>
      <c r="D1110" t="s">
        <v>2129</v>
      </c>
      <c r="E1110" t="str">
        <f t="shared" si="17"/>
        <v>Mechta8000036188</v>
      </c>
    </row>
    <row r="1111" spans="1:5" x14ac:dyDescent="0.3">
      <c r="A1111" t="s">
        <v>447</v>
      </c>
      <c r="B1111">
        <v>7211003925</v>
      </c>
      <c r="C1111" t="s">
        <v>59</v>
      </c>
      <c r="D1111" t="s">
        <v>255</v>
      </c>
      <c r="E1111" t="str">
        <f t="shared" si="17"/>
        <v>Mechta7211003925</v>
      </c>
    </row>
    <row r="1112" spans="1:5" x14ac:dyDescent="0.3">
      <c r="A1112" t="s">
        <v>447</v>
      </c>
      <c r="B1112">
        <v>7211003929</v>
      </c>
      <c r="C1112" t="s">
        <v>52</v>
      </c>
      <c r="D1112" t="s">
        <v>251</v>
      </c>
      <c r="E1112" t="str">
        <f t="shared" si="17"/>
        <v>Mechta7211003929</v>
      </c>
    </row>
    <row r="1113" spans="1:5" x14ac:dyDescent="0.3">
      <c r="A1113" t="s">
        <v>447</v>
      </c>
      <c r="B1113">
        <v>7211004244</v>
      </c>
      <c r="C1113" t="s">
        <v>61</v>
      </c>
      <c r="D1113" t="s">
        <v>257</v>
      </c>
      <c r="E1113" t="str">
        <f t="shared" si="17"/>
        <v>Mechta7211004244</v>
      </c>
    </row>
    <row r="1114" spans="1:5" x14ac:dyDescent="0.3">
      <c r="A1114" t="s">
        <v>447</v>
      </c>
      <c r="B1114">
        <v>7211004054</v>
      </c>
      <c r="C1114" t="s">
        <v>58</v>
      </c>
      <c r="D1114" t="s">
        <v>254</v>
      </c>
      <c r="E1114" t="str">
        <f t="shared" si="17"/>
        <v>Mechta7211004054</v>
      </c>
    </row>
    <row r="1115" spans="1:5" x14ac:dyDescent="0.3">
      <c r="A1115" t="s">
        <v>447</v>
      </c>
      <c r="B1115">
        <v>2100118168</v>
      </c>
      <c r="C1115" t="s">
        <v>437</v>
      </c>
      <c r="D1115" t="s">
        <v>2130</v>
      </c>
      <c r="E1115" t="str">
        <f t="shared" si="17"/>
        <v>Mechta2100118168</v>
      </c>
    </row>
    <row r="1116" spans="1:5" x14ac:dyDescent="0.3">
      <c r="A1116" t="s">
        <v>447</v>
      </c>
      <c r="B1116">
        <v>9100045478</v>
      </c>
      <c r="C1116">
        <v>4206924</v>
      </c>
      <c r="D1116" t="s">
        <v>2131</v>
      </c>
      <c r="E1116" t="str">
        <f t="shared" si="17"/>
        <v>Mechta9100045478</v>
      </c>
    </row>
    <row r="1117" spans="1:5" x14ac:dyDescent="0.3">
      <c r="A1117" t="s">
        <v>447</v>
      </c>
      <c r="B1117">
        <v>9100045479</v>
      </c>
      <c r="C1117">
        <v>4206926</v>
      </c>
      <c r="D1117" t="s">
        <v>2132</v>
      </c>
      <c r="E1117" t="str">
        <f t="shared" si="17"/>
        <v>Mechta9100045479</v>
      </c>
    </row>
    <row r="1118" spans="1:5" x14ac:dyDescent="0.3">
      <c r="A1118" t="s">
        <v>447</v>
      </c>
      <c r="B1118">
        <v>9100045480</v>
      </c>
      <c r="C1118">
        <v>4206928</v>
      </c>
      <c r="D1118" t="s">
        <v>2133</v>
      </c>
      <c r="E1118" t="str">
        <f t="shared" si="17"/>
        <v>Mechta9100045480</v>
      </c>
    </row>
    <row r="1119" spans="1:5" x14ac:dyDescent="0.3">
      <c r="A1119" t="s">
        <v>447</v>
      </c>
      <c r="B1119">
        <v>9100047579</v>
      </c>
      <c r="C1119" t="s">
        <v>2134</v>
      </c>
      <c r="D1119" t="s">
        <v>2135</v>
      </c>
      <c r="E1119" t="str">
        <f t="shared" si="17"/>
        <v>Mechta9100047579</v>
      </c>
    </row>
    <row r="1120" spans="1:5" x14ac:dyDescent="0.3">
      <c r="A1120" t="s">
        <v>447</v>
      </c>
      <c r="B1120">
        <v>9100047580</v>
      </c>
      <c r="C1120" t="s">
        <v>1739</v>
      </c>
      <c r="D1120" t="s">
        <v>2136</v>
      </c>
      <c r="E1120" t="str">
        <f t="shared" si="17"/>
        <v>Mechta9100047580</v>
      </c>
    </row>
    <row r="1121" spans="1:5" x14ac:dyDescent="0.3">
      <c r="A1121" t="s">
        <v>447</v>
      </c>
      <c r="B1121">
        <v>9100047581</v>
      </c>
      <c r="C1121" t="s">
        <v>1737</v>
      </c>
      <c r="D1121" t="s">
        <v>2137</v>
      </c>
      <c r="E1121" t="str">
        <f t="shared" si="17"/>
        <v>Mechta9100047581</v>
      </c>
    </row>
    <row r="1122" spans="1:5" x14ac:dyDescent="0.3">
      <c r="A1122" t="s">
        <v>447</v>
      </c>
      <c r="B1122">
        <v>9100023413</v>
      </c>
      <c r="C1122">
        <v>4166928</v>
      </c>
      <c r="D1122" t="s">
        <v>2138</v>
      </c>
      <c r="E1122" t="str">
        <f t="shared" si="17"/>
        <v>Mechta9100023413</v>
      </c>
    </row>
    <row r="1123" spans="1:5" x14ac:dyDescent="0.3">
      <c r="A1123" t="s">
        <v>447</v>
      </c>
      <c r="B1123">
        <v>9100024447</v>
      </c>
      <c r="C1123">
        <v>4170126</v>
      </c>
      <c r="D1123" t="s">
        <v>2139</v>
      </c>
      <c r="E1123" t="str">
        <f t="shared" si="17"/>
        <v>Mechta9100024447</v>
      </c>
    </row>
    <row r="1124" spans="1:5" x14ac:dyDescent="0.3">
      <c r="A1124" t="s">
        <v>447</v>
      </c>
      <c r="B1124">
        <v>9100036465</v>
      </c>
      <c r="C1124">
        <v>4192124</v>
      </c>
      <c r="D1124" t="s">
        <v>2140</v>
      </c>
      <c r="E1124" t="str">
        <f t="shared" si="17"/>
        <v>Mechta9100036465</v>
      </c>
    </row>
    <row r="1125" spans="1:5" x14ac:dyDescent="0.3">
      <c r="A1125" t="s">
        <v>447</v>
      </c>
      <c r="B1125">
        <v>9100036466</v>
      </c>
      <c r="C1125">
        <v>4192126</v>
      </c>
      <c r="D1125" t="s">
        <v>2141</v>
      </c>
      <c r="E1125" t="str">
        <f t="shared" si="17"/>
        <v>Mechta9100036466</v>
      </c>
    </row>
    <row r="1126" spans="1:5" x14ac:dyDescent="0.3">
      <c r="A1126" t="s">
        <v>447</v>
      </c>
      <c r="B1126">
        <v>9100036467</v>
      </c>
      <c r="C1126">
        <v>4192128</v>
      </c>
      <c r="D1126" t="s">
        <v>2142</v>
      </c>
      <c r="E1126" t="str">
        <f t="shared" si="17"/>
        <v>Mechta9100036467</v>
      </c>
    </row>
    <row r="1127" spans="1:5" x14ac:dyDescent="0.3">
      <c r="A1127" t="s">
        <v>447</v>
      </c>
      <c r="B1127">
        <v>9100036468</v>
      </c>
      <c r="C1127">
        <v>4192525</v>
      </c>
      <c r="D1127" t="s">
        <v>2143</v>
      </c>
      <c r="E1127" t="str">
        <f t="shared" si="17"/>
        <v>Mechta9100036468</v>
      </c>
    </row>
    <row r="1128" spans="1:5" x14ac:dyDescent="0.3">
      <c r="A1128" t="s">
        <v>447</v>
      </c>
      <c r="B1128">
        <v>9100036469</v>
      </c>
      <c r="C1128">
        <v>4192628</v>
      </c>
      <c r="D1128" t="s">
        <v>2144</v>
      </c>
      <c r="E1128" t="str">
        <f t="shared" si="17"/>
        <v>Mechta9100036469</v>
      </c>
    </row>
    <row r="1129" spans="1:5" x14ac:dyDescent="0.3">
      <c r="A1129" t="s">
        <v>447</v>
      </c>
      <c r="B1129">
        <v>9100042514</v>
      </c>
      <c r="C1129" t="s">
        <v>2145</v>
      </c>
      <c r="D1129" t="s">
        <v>2146</v>
      </c>
      <c r="E1129" t="str">
        <f t="shared" si="17"/>
        <v>Mechta9100042514</v>
      </c>
    </row>
    <row r="1130" spans="1:5" x14ac:dyDescent="0.3">
      <c r="A1130" t="s">
        <v>447</v>
      </c>
      <c r="B1130">
        <v>9100042515</v>
      </c>
      <c r="C1130">
        <v>4206126</v>
      </c>
      <c r="D1130" t="s">
        <v>2147</v>
      </c>
      <c r="E1130" t="str">
        <f t="shared" si="17"/>
        <v>Mechta9100042515</v>
      </c>
    </row>
    <row r="1131" spans="1:5" x14ac:dyDescent="0.3">
      <c r="A1131" t="s">
        <v>447</v>
      </c>
      <c r="B1131">
        <v>9100042516</v>
      </c>
      <c r="C1131">
        <v>4206128</v>
      </c>
      <c r="D1131" t="s">
        <v>2148</v>
      </c>
      <c r="E1131" t="str">
        <f t="shared" si="17"/>
        <v>Mechta9100042516</v>
      </c>
    </row>
    <row r="1132" spans="1:5" x14ac:dyDescent="0.3">
      <c r="A1132" t="s">
        <v>447</v>
      </c>
      <c r="B1132">
        <v>9100042518</v>
      </c>
      <c r="C1132" t="s">
        <v>2149</v>
      </c>
      <c r="D1132" t="s">
        <v>2150</v>
      </c>
      <c r="E1132" t="str">
        <f t="shared" si="17"/>
        <v>Mechta9100042518</v>
      </c>
    </row>
    <row r="1133" spans="1:5" x14ac:dyDescent="0.3">
      <c r="A1133" t="s">
        <v>447</v>
      </c>
      <c r="B1133">
        <v>9100046087</v>
      </c>
      <c r="C1133">
        <v>4212124</v>
      </c>
      <c r="D1133" t="s">
        <v>2151</v>
      </c>
      <c r="E1133" t="str">
        <f t="shared" si="17"/>
        <v>Mechta9100046087</v>
      </c>
    </row>
    <row r="1134" spans="1:5" x14ac:dyDescent="0.3">
      <c r="A1134" t="s">
        <v>447</v>
      </c>
      <c r="B1134">
        <v>9100046088</v>
      </c>
      <c r="C1134">
        <v>4212126</v>
      </c>
      <c r="D1134" t="s">
        <v>2152</v>
      </c>
      <c r="E1134" t="str">
        <f t="shared" si="17"/>
        <v>Mechta9100046088</v>
      </c>
    </row>
    <row r="1135" spans="1:5" x14ac:dyDescent="0.3">
      <c r="A1135" t="s">
        <v>447</v>
      </c>
      <c r="B1135">
        <v>9100046089</v>
      </c>
      <c r="C1135">
        <v>4212128</v>
      </c>
      <c r="D1135" t="s">
        <v>2153</v>
      </c>
      <c r="E1135" t="str">
        <f t="shared" si="17"/>
        <v>Mechta9100046089</v>
      </c>
    </row>
    <row r="1136" spans="1:5" x14ac:dyDescent="0.3">
      <c r="A1136" t="s">
        <v>447</v>
      </c>
      <c r="B1136">
        <v>9100046091</v>
      </c>
      <c r="C1136">
        <v>4212628</v>
      </c>
      <c r="D1136" t="s">
        <v>2154</v>
      </c>
      <c r="E1136" t="str">
        <f t="shared" si="17"/>
        <v>Mechta9100046091</v>
      </c>
    </row>
    <row r="1137" spans="1:5" x14ac:dyDescent="0.3">
      <c r="A1137" t="s">
        <v>447</v>
      </c>
      <c r="B1137">
        <v>2100118288</v>
      </c>
      <c r="C1137" t="s">
        <v>87</v>
      </c>
      <c r="D1137" t="s">
        <v>268</v>
      </c>
      <c r="E1137" t="str">
        <f t="shared" si="17"/>
        <v>Mechta2100118288</v>
      </c>
    </row>
    <row r="1138" spans="1:5" x14ac:dyDescent="0.3">
      <c r="A1138" t="s">
        <v>447</v>
      </c>
      <c r="B1138">
        <v>2100118289</v>
      </c>
      <c r="C1138" t="s">
        <v>88</v>
      </c>
      <c r="D1138" t="s">
        <v>269</v>
      </c>
      <c r="E1138" t="str">
        <f t="shared" si="17"/>
        <v>Mechta2100118289</v>
      </c>
    </row>
    <row r="1139" spans="1:5" x14ac:dyDescent="0.3">
      <c r="A1139" t="s">
        <v>447</v>
      </c>
      <c r="B1139">
        <v>2100118290</v>
      </c>
      <c r="C1139" t="s">
        <v>89</v>
      </c>
      <c r="D1139" t="s">
        <v>270</v>
      </c>
      <c r="E1139" t="str">
        <f t="shared" si="17"/>
        <v>Mechta2100118290</v>
      </c>
    </row>
    <row r="1140" spans="1:5" x14ac:dyDescent="0.3">
      <c r="A1140" t="s">
        <v>447</v>
      </c>
      <c r="B1140">
        <v>2100118310</v>
      </c>
      <c r="C1140" t="s">
        <v>1201</v>
      </c>
      <c r="D1140" t="s">
        <v>2155</v>
      </c>
      <c r="E1140" t="str">
        <f t="shared" si="17"/>
        <v>Mechta2100118310</v>
      </c>
    </row>
    <row r="1141" spans="1:5" x14ac:dyDescent="0.3">
      <c r="A1141" t="s">
        <v>447</v>
      </c>
      <c r="B1141">
        <v>2100118311</v>
      </c>
      <c r="C1141" t="s">
        <v>1203</v>
      </c>
      <c r="D1141" t="s">
        <v>2156</v>
      </c>
      <c r="E1141" t="str">
        <f t="shared" si="17"/>
        <v>Mechta2100118311</v>
      </c>
    </row>
    <row r="1142" spans="1:5" x14ac:dyDescent="0.3">
      <c r="A1142" t="s">
        <v>447</v>
      </c>
      <c r="B1142">
        <v>2100118312</v>
      </c>
      <c r="C1142" t="s">
        <v>1205</v>
      </c>
      <c r="D1142" t="s">
        <v>2157</v>
      </c>
      <c r="E1142" t="str">
        <f t="shared" si="17"/>
        <v>Mechta2100118312</v>
      </c>
    </row>
    <row r="1143" spans="1:5" x14ac:dyDescent="0.3">
      <c r="A1143" t="s">
        <v>447</v>
      </c>
      <c r="B1143">
        <v>2100094922</v>
      </c>
      <c r="C1143" t="s">
        <v>634</v>
      </c>
      <c r="D1143" t="s">
        <v>2158</v>
      </c>
      <c r="E1143" t="str">
        <f t="shared" si="17"/>
        <v>Mechta2100094922</v>
      </c>
    </row>
    <row r="1144" spans="1:5" x14ac:dyDescent="0.3">
      <c r="A1144" t="s">
        <v>447</v>
      </c>
      <c r="B1144">
        <v>2100094924</v>
      </c>
      <c r="C1144" t="s">
        <v>2159</v>
      </c>
      <c r="D1144" t="s">
        <v>2160</v>
      </c>
      <c r="E1144" t="str">
        <f t="shared" si="17"/>
        <v>Mechta2100094924</v>
      </c>
    </row>
    <row r="1145" spans="1:5" x14ac:dyDescent="0.3">
      <c r="A1145" t="s">
        <v>447</v>
      </c>
      <c r="B1145">
        <v>2100118286</v>
      </c>
      <c r="C1145" t="s">
        <v>90</v>
      </c>
      <c r="D1145" t="s">
        <v>271</v>
      </c>
      <c r="E1145" t="str">
        <f t="shared" si="17"/>
        <v>Mechta2100118286</v>
      </c>
    </row>
    <row r="1146" spans="1:5" x14ac:dyDescent="0.3">
      <c r="A1146" t="s">
        <v>447</v>
      </c>
      <c r="B1146">
        <v>2100118309</v>
      </c>
      <c r="C1146" t="s">
        <v>2161</v>
      </c>
      <c r="D1146" t="s">
        <v>2162</v>
      </c>
      <c r="E1146" t="str">
        <f t="shared" si="17"/>
        <v>Mechta2100118309</v>
      </c>
    </row>
    <row r="1147" spans="1:5" x14ac:dyDescent="0.3">
      <c r="A1147" t="s">
        <v>447</v>
      </c>
      <c r="B1147">
        <v>9100042517</v>
      </c>
      <c r="C1147" t="s">
        <v>2163</v>
      </c>
      <c r="D1147" t="s">
        <v>2164</v>
      </c>
      <c r="E1147" t="str">
        <f t="shared" si="17"/>
        <v>Mechta9100042517</v>
      </c>
    </row>
    <row r="1148" spans="1:5" x14ac:dyDescent="0.3">
      <c r="A1148" t="s">
        <v>447</v>
      </c>
      <c r="B1148">
        <v>9100046090</v>
      </c>
      <c r="C1148">
        <v>4212522</v>
      </c>
      <c r="D1148" t="s">
        <v>2165</v>
      </c>
      <c r="E1148" t="str">
        <f t="shared" si="17"/>
        <v>Mechta9100046090</v>
      </c>
    </row>
    <row r="1149" spans="1:5" x14ac:dyDescent="0.3">
      <c r="A1149" t="s">
        <v>447</v>
      </c>
      <c r="B1149">
        <v>2211400849</v>
      </c>
      <c r="C1149" t="s">
        <v>2166</v>
      </c>
      <c r="D1149" t="s">
        <v>2167</v>
      </c>
      <c r="E1149" t="str">
        <f t="shared" si="17"/>
        <v>Mechta2211400849</v>
      </c>
    </row>
    <row r="1150" spans="1:5" x14ac:dyDescent="0.3">
      <c r="A1150" t="s">
        <v>447</v>
      </c>
      <c r="B1150">
        <v>2211400852</v>
      </c>
      <c r="C1150" t="s">
        <v>2168</v>
      </c>
      <c r="D1150" t="s">
        <v>2169</v>
      </c>
      <c r="E1150" t="str">
        <f t="shared" si="17"/>
        <v>Mechta2211400852</v>
      </c>
    </row>
    <row r="1151" spans="1:5" x14ac:dyDescent="0.3">
      <c r="A1151" t="s">
        <v>447</v>
      </c>
      <c r="B1151">
        <v>2211400482</v>
      </c>
      <c r="C1151" t="s">
        <v>1507</v>
      </c>
      <c r="D1151" t="s">
        <v>2170</v>
      </c>
      <c r="E1151" t="str">
        <f t="shared" si="17"/>
        <v>Mechta2211400482</v>
      </c>
    </row>
    <row r="1152" spans="1:5" x14ac:dyDescent="0.3">
      <c r="A1152" t="s">
        <v>447</v>
      </c>
      <c r="B1152">
        <v>2211400762</v>
      </c>
      <c r="C1152" t="s">
        <v>2171</v>
      </c>
      <c r="D1152" t="s">
        <v>2172</v>
      </c>
      <c r="E1152" t="str">
        <f t="shared" si="17"/>
        <v>Mechta2211400762</v>
      </c>
    </row>
    <row r="1153" spans="1:5" x14ac:dyDescent="0.3">
      <c r="A1153" t="s">
        <v>447</v>
      </c>
      <c r="B1153">
        <v>1500636319</v>
      </c>
      <c r="C1153" t="s">
        <v>505</v>
      </c>
      <c r="D1153" t="s">
        <v>2173</v>
      </c>
      <c r="E1153" t="str">
        <f t="shared" si="17"/>
        <v>Mechta1500636319</v>
      </c>
    </row>
    <row r="1154" spans="1:5" x14ac:dyDescent="0.3">
      <c r="A1154" t="s">
        <v>447</v>
      </c>
      <c r="B1154">
        <v>8010000557</v>
      </c>
      <c r="C1154" t="s">
        <v>2174</v>
      </c>
      <c r="D1154" t="s">
        <v>2175</v>
      </c>
      <c r="E1154" t="str">
        <f t="shared" si="17"/>
        <v>Mechta8010000557</v>
      </c>
    </row>
    <row r="1155" spans="1:5" x14ac:dyDescent="0.3">
      <c r="A1155" t="s">
        <v>447</v>
      </c>
      <c r="B1155">
        <v>8000035826</v>
      </c>
      <c r="C1155" t="s">
        <v>362</v>
      </c>
      <c r="D1155" t="s">
        <v>2176</v>
      </c>
      <c r="E1155" t="str">
        <f t="shared" ref="E1155:E1218" si="18">A1155&amp;B1155</f>
        <v>Mechta8000035826</v>
      </c>
    </row>
    <row r="1156" spans="1:5" x14ac:dyDescent="0.3">
      <c r="A1156" t="s">
        <v>447</v>
      </c>
      <c r="B1156">
        <v>1500636348</v>
      </c>
      <c r="C1156" t="s">
        <v>1761</v>
      </c>
      <c r="D1156" t="s">
        <v>2177</v>
      </c>
      <c r="E1156" t="str">
        <f t="shared" si="18"/>
        <v>Mechta1500636348</v>
      </c>
    </row>
    <row r="1157" spans="1:5" x14ac:dyDescent="0.3">
      <c r="A1157" t="s">
        <v>447</v>
      </c>
      <c r="B1157">
        <v>1510001956</v>
      </c>
      <c r="C1157" t="s">
        <v>2178</v>
      </c>
      <c r="D1157" t="s">
        <v>2179</v>
      </c>
      <c r="E1157" t="str">
        <f t="shared" si="18"/>
        <v>Mechta1510001956</v>
      </c>
    </row>
    <row r="1158" spans="1:5" x14ac:dyDescent="0.3">
      <c r="A1158" t="s">
        <v>447</v>
      </c>
      <c r="B1158">
        <v>7211003245</v>
      </c>
      <c r="C1158" t="s">
        <v>72</v>
      </c>
      <c r="D1158" t="s">
        <v>262</v>
      </c>
      <c r="E1158" t="str">
        <f t="shared" si="18"/>
        <v>Mechta7211003245</v>
      </c>
    </row>
    <row r="1159" spans="1:5" x14ac:dyDescent="0.3">
      <c r="A1159" t="s">
        <v>447</v>
      </c>
      <c r="B1159">
        <v>7211003938</v>
      </c>
      <c r="C1159" t="s">
        <v>73</v>
      </c>
      <c r="D1159" t="s">
        <v>263</v>
      </c>
      <c r="E1159" t="str">
        <f t="shared" si="18"/>
        <v>Mechta7211003938</v>
      </c>
    </row>
    <row r="1160" spans="1:5" x14ac:dyDescent="0.3">
      <c r="A1160" t="s">
        <v>447</v>
      </c>
      <c r="B1160">
        <v>9100036470</v>
      </c>
      <c r="C1160">
        <v>4192224</v>
      </c>
      <c r="D1160" t="s">
        <v>2180</v>
      </c>
      <c r="E1160" t="str">
        <f t="shared" si="18"/>
        <v>Mechta9100036470</v>
      </c>
    </row>
    <row r="1161" spans="1:5" x14ac:dyDescent="0.3">
      <c r="A1161" t="s">
        <v>447</v>
      </c>
      <c r="B1161">
        <v>2100125949</v>
      </c>
      <c r="C1161" t="s">
        <v>2181</v>
      </c>
      <c r="D1161" t="s">
        <v>2182</v>
      </c>
      <c r="E1161" t="str">
        <f t="shared" si="18"/>
        <v>Mechta2100125949</v>
      </c>
    </row>
    <row r="1162" spans="1:5" x14ac:dyDescent="0.3">
      <c r="A1162" t="s">
        <v>447</v>
      </c>
      <c r="B1162">
        <v>1830006536</v>
      </c>
      <c r="C1162" t="s">
        <v>1415</v>
      </c>
      <c r="D1162" t="s">
        <v>2183</v>
      </c>
      <c r="E1162" t="str">
        <f t="shared" si="18"/>
        <v>Mechta1830006536</v>
      </c>
    </row>
    <row r="1163" spans="1:5" x14ac:dyDescent="0.3">
      <c r="A1163" t="s">
        <v>447</v>
      </c>
      <c r="B1163">
        <v>1830007105</v>
      </c>
      <c r="C1163" t="s">
        <v>355</v>
      </c>
      <c r="D1163" t="s">
        <v>2184</v>
      </c>
      <c r="E1163" t="str">
        <f t="shared" si="18"/>
        <v>Mechta1830007105</v>
      </c>
    </row>
    <row r="1164" spans="1:5" x14ac:dyDescent="0.3">
      <c r="A1164" t="s">
        <v>447</v>
      </c>
      <c r="B1164">
        <v>7211004554</v>
      </c>
      <c r="C1164" t="s">
        <v>2185</v>
      </c>
      <c r="D1164" t="s">
        <v>2186</v>
      </c>
      <c r="E1164" t="str">
        <f t="shared" si="18"/>
        <v>Mechta7211004554</v>
      </c>
    </row>
    <row r="1165" spans="1:5" x14ac:dyDescent="0.3">
      <c r="A1165" t="s">
        <v>447</v>
      </c>
      <c r="B1165">
        <v>8010000170</v>
      </c>
      <c r="C1165" t="s">
        <v>2187</v>
      </c>
      <c r="D1165" t="s">
        <v>2188</v>
      </c>
      <c r="E1165" t="str">
        <f t="shared" si="18"/>
        <v>Mechta8010000170</v>
      </c>
    </row>
    <row r="1166" spans="1:5" x14ac:dyDescent="0.3">
      <c r="A1166" t="s">
        <v>447</v>
      </c>
      <c r="B1166">
        <v>7211001357</v>
      </c>
      <c r="C1166" t="s">
        <v>1379</v>
      </c>
      <c r="D1166" t="s">
        <v>2189</v>
      </c>
      <c r="E1166" t="str">
        <f t="shared" si="18"/>
        <v>Mechta7211001357</v>
      </c>
    </row>
    <row r="1167" spans="1:5" x14ac:dyDescent="0.3">
      <c r="A1167" t="s">
        <v>447</v>
      </c>
      <c r="B1167">
        <v>8010000739</v>
      </c>
      <c r="C1167" t="s">
        <v>1104</v>
      </c>
      <c r="D1167" t="s">
        <v>2190</v>
      </c>
      <c r="E1167" t="str">
        <f t="shared" si="18"/>
        <v>Mechta8010000739</v>
      </c>
    </row>
    <row r="1168" spans="1:5" x14ac:dyDescent="0.3">
      <c r="A1168" t="s">
        <v>447</v>
      </c>
      <c r="B1168">
        <v>7211004352</v>
      </c>
      <c r="C1168" t="s">
        <v>1500</v>
      </c>
      <c r="D1168" t="s">
        <v>2191</v>
      </c>
      <c r="E1168" t="str">
        <f t="shared" si="18"/>
        <v>Mechta7211004352</v>
      </c>
    </row>
    <row r="1169" spans="1:5" x14ac:dyDescent="0.3">
      <c r="A1169" t="s">
        <v>447</v>
      </c>
      <c r="B1169">
        <v>7211003267</v>
      </c>
      <c r="C1169" t="s">
        <v>1102</v>
      </c>
      <c r="D1169" t="s">
        <v>2192</v>
      </c>
      <c r="E1169" t="str">
        <f t="shared" si="18"/>
        <v>Mechta7211003267</v>
      </c>
    </row>
    <row r="1170" spans="1:5" x14ac:dyDescent="0.3">
      <c r="A1170" t="s">
        <v>447</v>
      </c>
      <c r="B1170">
        <v>7211004366</v>
      </c>
      <c r="C1170" t="s">
        <v>1381</v>
      </c>
      <c r="D1170" t="s">
        <v>2193</v>
      </c>
      <c r="E1170" t="str">
        <f t="shared" si="18"/>
        <v>Mechta7211004366</v>
      </c>
    </row>
    <row r="1171" spans="1:5" x14ac:dyDescent="0.3">
      <c r="A1171" t="s">
        <v>447</v>
      </c>
      <c r="B1171">
        <v>7211003234</v>
      </c>
      <c r="C1171" t="s">
        <v>925</v>
      </c>
      <c r="D1171" t="s">
        <v>2194</v>
      </c>
      <c r="E1171" t="str">
        <f t="shared" si="18"/>
        <v>Mechta7211003234</v>
      </c>
    </row>
    <row r="1172" spans="1:5" x14ac:dyDescent="0.3">
      <c r="A1172" t="s">
        <v>447</v>
      </c>
      <c r="B1172">
        <v>7211004072</v>
      </c>
      <c r="C1172" t="s">
        <v>1377</v>
      </c>
      <c r="D1172" t="s">
        <v>2195</v>
      </c>
      <c r="E1172" t="str">
        <f t="shared" si="18"/>
        <v>Mechta7211004072</v>
      </c>
    </row>
    <row r="1173" spans="1:5" x14ac:dyDescent="0.3">
      <c r="A1173" t="s">
        <v>447</v>
      </c>
      <c r="B1173">
        <v>7211004612</v>
      </c>
      <c r="C1173" t="s">
        <v>1748</v>
      </c>
      <c r="D1173" t="s">
        <v>2196</v>
      </c>
      <c r="E1173" t="str">
        <f t="shared" si="18"/>
        <v>Mechta7211004612</v>
      </c>
    </row>
    <row r="1174" spans="1:5" x14ac:dyDescent="0.3">
      <c r="A1174" t="s">
        <v>447</v>
      </c>
      <c r="B1174">
        <v>7211002608</v>
      </c>
      <c r="C1174" t="s">
        <v>54</v>
      </c>
      <c r="D1174" t="s">
        <v>252</v>
      </c>
      <c r="E1174" t="str">
        <f t="shared" si="18"/>
        <v>Mechta7211002608</v>
      </c>
    </row>
    <row r="1175" spans="1:5" x14ac:dyDescent="0.3">
      <c r="A1175" t="s">
        <v>447</v>
      </c>
      <c r="B1175">
        <v>7211004259</v>
      </c>
      <c r="C1175" t="s">
        <v>419</v>
      </c>
      <c r="D1175" t="s">
        <v>2197</v>
      </c>
      <c r="E1175" t="str">
        <f t="shared" si="18"/>
        <v>Mechta7211004259</v>
      </c>
    </row>
    <row r="1176" spans="1:5" x14ac:dyDescent="0.3">
      <c r="A1176" t="s">
        <v>447</v>
      </c>
      <c r="B1176">
        <v>7211004030</v>
      </c>
      <c r="C1176" t="s">
        <v>56</v>
      </c>
      <c r="D1176" t="s">
        <v>253</v>
      </c>
      <c r="E1176" t="str">
        <f t="shared" si="18"/>
        <v>Mechta7211004030</v>
      </c>
    </row>
    <row r="1177" spans="1:5" x14ac:dyDescent="0.3">
      <c r="A1177" t="s">
        <v>447</v>
      </c>
      <c r="B1177">
        <v>8000036086</v>
      </c>
      <c r="C1177" t="s">
        <v>2198</v>
      </c>
      <c r="D1177" t="s">
        <v>2199</v>
      </c>
      <c r="E1177" t="str">
        <f t="shared" si="18"/>
        <v>Mechta8000036086</v>
      </c>
    </row>
    <row r="1178" spans="1:5" x14ac:dyDescent="0.3">
      <c r="A1178" t="s">
        <v>447</v>
      </c>
      <c r="B1178">
        <v>7211004555</v>
      </c>
      <c r="C1178" t="s">
        <v>2200</v>
      </c>
      <c r="D1178" t="s">
        <v>2201</v>
      </c>
      <c r="E1178" t="str">
        <f t="shared" si="18"/>
        <v>Mechta7211004555</v>
      </c>
    </row>
    <row r="1179" spans="1:5" x14ac:dyDescent="0.3">
      <c r="A1179" t="s">
        <v>447</v>
      </c>
      <c r="B1179">
        <v>1830007634</v>
      </c>
      <c r="C1179" t="s">
        <v>2202</v>
      </c>
      <c r="D1179" t="s">
        <v>2203</v>
      </c>
      <c r="E1179" t="str">
        <f t="shared" si="18"/>
        <v>Mechta1830007634</v>
      </c>
    </row>
    <row r="1180" spans="1:5" x14ac:dyDescent="0.3">
      <c r="A1180" t="s">
        <v>447</v>
      </c>
      <c r="B1180">
        <v>1830007247</v>
      </c>
      <c r="C1180" t="s">
        <v>2204</v>
      </c>
      <c r="D1180" t="s">
        <v>2205</v>
      </c>
      <c r="E1180" t="str">
        <f t="shared" si="18"/>
        <v>Mechta1830007247</v>
      </c>
    </row>
    <row r="1181" spans="1:5" x14ac:dyDescent="0.3">
      <c r="A1181" t="s">
        <v>447</v>
      </c>
      <c r="B1181">
        <v>1830007003</v>
      </c>
      <c r="C1181" t="s">
        <v>2206</v>
      </c>
      <c r="D1181" t="s">
        <v>2207</v>
      </c>
      <c r="E1181" t="str">
        <f t="shared" si="18"/>
        <v>Mechta1830007003</v>
      </c>
    </row>
    <row r="1182" spans="1:5" x14ac:dyDescent="0.3">
      <c r="A1182" t="s">
        <v>447</v>
      </c>
      <c r="B1182">
        <v>2027447120</v>
      </c>
      <c r="C1182">
        <v>2744712</v>
      </c>
      <c r="D1182" t="s">
        <v>2208</v>
      </c>
      <c r="E1182" t="str">
        <f t="shared" si="18"/>
        <v>Mechta2027447120</v>
      </c>
    </row>
    <row r="1183" spans="1:5" x14ac:dyDescent="0.3">
      <c r="A1183" t="s">
        <v>447</v>
      </c>
      <c r="B1183">
        <v>1500578228</v>
      </c>
      <c r="C1183" t="s">
        <v>519</v>
      </c>
      <c r="D1183" t="s">
        <v>2209</v>
      </c>
      <c r="E1183" t="str">
        <f t="shared" si="18"/>
        <v>Mechta1500578228</v>
      </c>
    </row>
    <row r="1184" spans="1:5" x14ac:dyDescent="0.3">
      <c r="A1184" t="s">
        <v>447</v>
      </c>
      <c r="B1184">
        <v>8000035379</v>
      </c>
      <c r="C1184" t="s">
        <v>2210</v>
      </c>
      <c r="D1184" t="s">
        <v>2211</v>
      </c>
      <c r="E1184" t="str">
        <f t="shared" si="18"/>
        <v>Mechta8000035379</v>
      </c>
    </row>
    <row r="1185" spans="1:5" x14ac:dyDescent="0.3">
      <c r="A1185" t="s">
        <v>447</v>
      </c>
      <c r="B1185">
        <v>1830008212</v>
      </c>
      <c r="C1185" t="s">
        <v>2212</v>
      </c>
      <c r="D1185" t="s">
        <v>2213</v>
      </c>
      <c r="E1185" t="str">
        <f t="shared" si="18"/>
        <v>Mechta1830008212</v>
      </c>
    </row>
    <row r="1186" spans="1:5" x14ac:dyDescent="0.3">
      <c r="A1186" t="s">
        <v>447</v>
      </c>
      <c r="B1186">
        <v>1830007912</v>
      </c>
      <c r="C1186" t="s">
        <v>1772</v>
      </c>
      <c r="D1186" t="s">
        <v>2214</v>
      </c>
      <c r="E1186" t="str">
        <f t="shared" si="18"/>
        <v>Mechta1830007912</v>
      </c>
    </row>
    <row r="1187" spans="1:5" x14ac:dyDescent="0.3">
      <c r="A1187" t="s">
        <v>447</v>
      </c>
      <c r="B1187">
        <v>1830008259</v>
      </c>
      <c r="C1187" t="s">
        <v>1774</v>
      </c>
      <c r="D1187" t="s">
        <v>2215</v>
      </c>
      <c r="E1187" t="str">
        <f t="shared" si="18"/>
        <v>Mechta1830008259</v>
      </c>
    </row>
    <row r="1188" spans="1:5" x14ac:dyDescent="0.3">
      <c r="A1188" t="s">
        <v>447</v>
      </c>
      <c r="B1188">
        <v>1830007976</v>
      </c>
      <c r="C1188" t="s">
        <v>952</v>
      </c>
      <c r="D1188" t="s">
        <v>2216</v>
      </c>
      <c r="E1188" t="str">
        <f t="shared" si="18"/>
        <v>Mechta1830007976</v>
      </c>
    </row>
    <row r="1189" spans="1:5" x14ac:dyDescent="0.3">
      <c r="A1189" t="s">
        <v>447</v>
      </c>
      <c r="B1189">
        <v>1830008260</v>
      </c>
      <c r="C1189" t="s">
        <v>102</v>
      </c>
      <c r="D1189" t="s">
        <v>278</v>
      </c>
      <c r="E1189" t="str">
        <f t="shared" si="18"/>
        <v>Mechta1830008260</v>
      </c>
    </row>
    <row r="1190" spans="1:5" x14ac:dyDescent="0.3">
      <c r="A1190" t="s">
        <v>447</v>
      </c>
      <c r="B1190">
        <v>1830007967</v>
      </c>
      <c r="C1190" t="s">
        <v>642</v>
      </c>
      <c r="D1190" t="s">
        <v>2217</v>
      </c>
      <c r="E1190" t="str">
        <f t="shared" si="18"/>
        <v>Mechta1830007967</v>
      </c>
    </row>
    <row r="1191" spans="1:5" x14ac:dyDescent="0.3">
      <c r="A1191" t="s">
        <v>447</v>
      </c>
      <c r="B1191">
        <v>1830007919</v>
      </c>
      <c r="C1191" t="s">
        <v>422</v>
      </c>
      <c r="D1191" t="s">
        <v>2218</v>
      </c>
      <c r="E1191" t="str">
        <f t="shared" si="18"/>
        <v>Mechta1830007919</v>
      </c>
    </row>
    <row r="1192" spans="1:5" x14ac:dyDescent="0.3">
      <c r="A1192" t="s">
        <v>447</v>
      </c>
      <c r="B1192">
        <v>1830004998</v>
      </c>
      <c r="C1192" t="s">
        <v>1022</v>
      </c>
      <c r="D1192" t="s">
        <v>2219</v>
      </c>
      <c r="E1192" t="str">
        <f t="shared" si="18"/>
        <v>Mechta1830004998</v>
      </c>
    </row>
    <row r="1193" spans="1:5" x14ac:dyDescent="0.3">
      <c r="A1193" t="s">
        <v>447</v>
      </c>
      <c r="B1193">
        <v>1830005000</v>
      </c>
      <c r="C1193" t="s">
        <v>1268</v>
      </c>
      <c r="D1193" t="s">
        <v>2220</v>
      </c>
      <c r="E1193" t="str">
        <f t="shared" si="18"/>
        <v>Mechta1830005000</v>
      </c>
    </row>
    <row r="1194" spans="1:5" x14ac:dyDescent="0.3">
      <c r="A1194" t="s">
        <v>447</v>
      </c>
      <c r="B1194">
        <v>1830008226</v>
      </c>
      <c r="C1194" t="s">
        <v>546</v>
      </c>
      <c r="D1194" t="s">
        <v>2221</v>
      </c>
      <c r="E1194" t="str">
        <f t="shared" si="18"/>
        <v>Mechta1830008226</v>
      </c>
    </row>
    <row r="1195" spans="1:5" x14ac:dyDescent="0.3">
      <c r="A1195" t="s">
        <v>447</v>
      </c>
      <c r="B1195">
        <v>1830006306</v>
      </c>
      <c r="C1195" t="s">
        <v>2222</v>
      </c>
      <c r="D1195" t="s">
        <v>2223</v>
      </c>
      <c r="E1195" t="str">
        <f t="shared" si="18"/>
        <v>Mechta1830006306</v>
      </c>
    </row>
    <row r="1196" spans="1:5" x14ac:dyDescent="0.3">
      <c r="A1196" t="s">
        <v>447</v>
      </c>
      <c r="B1196">
        <v>1830008164</v>
      </c>
      <c r="C1196" t="s">
        <v>1533</v>
      </c>
      <c r="D1196" t="s">
        <v>2224</v>
      </c>
      <c r="E1196" t="str">
        <f t="shared" si="18"/>
        <v>Mechta1830008164</v>
      </c>
    </row>
    <row r="1197" spans="1:5" x14ac:dyDescent="0.3">
      <c r="A1197" t="s">
        <v>447</v>
      </c>
      <c r="B1197">
        <v>1830006703</v>
      </c>
      <c r="C1197" t="s">
        <v>2225</v>
      </c>
      <c r="D1197" t="s">
        <v>2226</v>
      </c>
      <c r="E1197" t="str">
        <f t="shared" si="18"/>
        <v>Mechta1830006703</v>
      </c>
    </row>
    <row r="1198" spans="1:5" x14ac:dyDescent="0.3">
      <c r="A1198" t="s">
        <v>447</v>
      </c>
      <c r="B1198">
        <v>1830007131</v>
      </c>
      <c r="C1198" t="s">
        <v>2227</v>
      </c>
      <c r="D1198" t="s">
        <v>2228</v>
      </c>
      <c r="E1198" t="str">
        <f t="shared" si="18"/>
        <v>Mechta1830007131</v>
      </c>
    </row>
    <row r="1199" spans="1:5" x14ac:dyDescent="0.3">
      <c r="A1199" t="s">
        <v>447</v>
      </c>
      <c r="B1199">
        <v>1830007972</v>
      </c>
      <c r="C1199" t="s">
        <v>1020</v>
      </c>
      <c r="D1199" t="s">
        <v>2229</v>
      </c>
      <c r="E1199" t="str">
        <f t="shared" si="18"/>
        <v>Mechta1830007972</v>
      </c>
    </row>
    <row r="1200" spans="1:5" x14ac:dyDescent="0.3">
      <c r="A1200" t="s">
        <v>447</v>
      </c>
      <c r="B1200">
        <v>1830008214</v>
      </c>
      <c r="C1200" t="s">
        <v>1557</v>
      </c>
      <c r="D1200" t="s">
        <v>2230</v>
      </c>
      <c r="E1200" t="str">
        <f t="shared" si="18"/>
        <v>Mechta1830008214</v>
      </c>
    </row>
    <row r="1201" spans="1:5" x14ac:dyDescent="0.3">
      <c r="A1201" t="s">
        <v>447</v>
      </c>
      <c r="B1201">
        <v>1830007796</v>
      </c>
      <c r="C1201" t="s">
        <v>1726</v>
      </c>
      <c r="D1201" t="s">
        <v>2231</v>
      </c>
      <c r="E1201" t="str">
        <f t="shared" si="18"/>
        <v>Mechta1830007796</v>
      </c>
    </row>
    <row r="1202" spans="1:5" x14ac:dyDescent="0.3">
      <c r="A1202" t="s">
        <v>447</v>
      </c>
      <c r="B1202">
        <v>1830008334</v>
      </c>
      <c r="C1202" t="s">
        <v>1698</v>
      </c>
      <c r="D1202" t="s">
        <v>2232</v>
      </c>
      <c r="E1202" t="str">
        <f t="shared" si="18"/>
        <v>Mechta1830008334</v>
      </c>
    </row>
    <row r="1203" spans="1:5" x14ac:dyDescent="0.3">
      <c r="A1203" t="s">
        <v>447</v>
      </c>
      <c r="B1203">
        <v>1830008333</v>
      </c>
      <c r="C1203" t="s">
        <v>2233</v>
      </c>
      <c r="D1203" t="s">
        <v>2234</v>
      </c>
      <c r="E1203" t="str">
        <f t="shared" si="18"/>
        <v>Mechta1830008333</v>
      </c>
    </row>
    <row r="1204" spans="1:5" x14ac:dyDescent="0.3">
      <c r="A1204" t="s">
        <v>447</v>
      </c>
      <c r="B1204">
        <v>1830008173</v>
      </c>
      <c r="C1204" t="s">
        <v>1696</v>
      </c>
      <c r="D1204" t="s">
        <v>2235</v>
      </c>
      <c r="E1204" t="str">
        <f t="shared" si="18"/>
        <v>Mechta1830008173</v>
      </c>
    </row>
    <row r="1205" spans="1:5" x14ac:dyDescent="0.3">
      <c r="A1205" t="s">
        <v>447</v>
      </c>
      <c r="B1205">
        <v>2100087321</v>
      </c>
      <c r="C1205" t="s">
        <v>1291</v>
      </c>
      <c r="D1205" t="s">
        <v>2236</v>
      </c>
      <c r="E1205" t="str">
        <f t="shared" si="18"/>
        <v>Mechta2100087321</v>
      </c>
    </row>
    <row r="1206" spans="1:5" x14ac:dyDescent="0.3">
      <c r="A1206" t="s">
        <v>447</v>
      </c>
      <c r="B1206">
        <v>2100104610</v>
      </c>
      <c r="C1206" t="s">
        <v>2237</v>
      </c>
      <c r="D1206" t="s">
        <v>2238</v>
      </c>
      <c r="E1206" t="str">
        <f t="shared" si="18"/>
        <v>Mechta2100104610</v>
      </c>
    </row>
    <row r="1207" spans="1:5" x14ac:dyDescent="0.3">
      <c r="A1207" t="s">
        <v>447</v>
      </c>
      <c r="B1207">
        <v>1110020257</v>
      </c>
      <c r="C1207" t="s">
        <v>455</v>
      </c>
      <c r="D1207" t="s">
        <v>2239</v>
      </c>
      <c r="E1207" t="str">
        <f t="shared" si="18"/>
        <v>Mechta1110020257</v>
      </c>
    </row>
    <row r="1208" spans="1:5" x14ac:dyDescent="0.3">
      <c r="A1208" t="s">
        <v>447</v>
      </c>
      <c r="B1208">
        <v>1110031221</v>
      </c>
      <c r="C1208" t="s">
        <v>929</v>
      </c>
      <c r="D1208" t="s">
        <v>2240</v>
      </c>
      <c r="E1208" t="str">
        <f t="shared" si="18"/>
        <v>Mechta1110031221</v>
      </c>
    </row>
    <row r="1209" spans="1:5" x14ac:dyDescent="0.3">
      <c r="A1209" t="s">
        <v>447</v>
      </c>
      <c r="B1209">
        <v>1110030468</v>
      </c>
      <c r="C1209" t="s">
        <v>843</v>
      </c>
      <c r="D1209" t="s">
        <v>2241</v>
      </c>
      <c r="E1209" t="str">
        <f t="shared" si="18"/>
        <v>Mechta1110030468</v>
      </c>
    </row>
    <row r="1210" spans="1:5" x14ac:dyDescent="0.3">
      <c r="A1210" t="s">
        <v>447</v>
      </c>
      <c r="B1210">
        <v>1830006307</v>
      </c>
      <c r="C1210" t="s">
        <v>2242</v>
      </c>
      <c r="D1210" t="s">
        <v>2243</v>
      </c>
      <c r="E1210" t="str">
        <f t="shared" si="18"/>
        <v>Mechta1830006307</v>
      </c>
    </row>
    <row r="1211" spans="1:5" x14ac:dyDescent="0.3">
      <c r="A1211" t="s">
        <v>447</v>
      </c>
      <c r="B1211">
        <v>1830006329</v>
      </c>
      <c r="C1211" t="s">
        <v>678</v>
      </c>
      <c r="D1211" t="s">
        <v>2244</v>
      </c>
      <c r="E1211" t="str">
        <f t="shared" si="18"/>
        <v>Mechta1830006329</v>
      </c>
    </row>
    <row r="1212" spans="1:5" x14ac:dyDescent="0.3">
      <c r="A1212" t="s">
        <v>447</v>
      </c>
      <c r="B1212">
        <v>1830006582</v>
      </c>
      <c r="C1212" t="s">
        <v>1084</v>
      </c>
      <c r="D1212" t="s">
        <v>2245</v>
      </c>
      <c r="E1212" t="str">
        <f t="shared" si="18"/>
        <v>Mechta1830006582</v>
      </c>
    </row>
    <row r="1213" spans="1:5" x14ac:dyDescent="0.3">
      <c r="A1213" t="s">
        <v>447</v>
      </c>
      <c r="B1213">
        <v>1830007075</v>
      </c>
      <c r="C1213" t="s">
        <v>878</v>
      </c>
      <c r="D1213" t="s">
        <v>2246</v>
      </c>
      <c r="E1213" t="str">
        <f t="shared" si="18"/>
        <v>Mechta1830007075</v>
      </c>
    </row>
    <row r="1214" spans="1:5" x14ac:dyDescent="0.3">
      <c r="A1214" t="s">
        <v>447</v>
      </c>
      <c r="B1214">
        <v>2820254800</v>
      </c>
      <c r="C1214" t="s">
        <v>2247</v>
      </c>
      <c r="D1214" t="s">
        <v>2248</v>
      </c>
      <c r="E1214" t="str">
        <f t="shared" si="18"/>
        <v>Mechta2820254800</v>
      </c>
    </row>
    <row r="1215" spans="1:5" x14ac:dyDescent="0.3">
      <c r="A1215" t="s">
        <v>447</v>
      </c>
      <c r="B1215">
        <v>2820267510</v>
      </c>
      <c r="C1215" t="s">
        <v>2249</v>
      </c>
      <c r="D1215" t="s">
        <v>2250</v>
      </c>
      <c r="E1215" t="str">
        <f t="shared" si="18"/>
        <v>Mechta2820267510</v>
      </c>
    </row>
    <row r="1216" spans="1:5" x14ac:dyDescent="0.3">
      <c r="A1216" t="s">
        <v>447</v>
      </c>
      <c r="B1216">
        <v>2820268400</v>
      </c>
      <c r="C1216" t="s">
        <v>2251</v>
      </c>
      <c r="D1216" t="s">
        <v>2252</v>
      </c>
      <c r="E1216" t="str">
        <f t="shared" si="18"/>
        <v>Mechta2820268400</v>
      </c>
    </row>
    <row r="1217" spans="1:5" x14ac:dyDescent="0.3">
      <c r="A1217" t="s">
        <v>447</v>
      </c>
      <c r="B1217">
        <v>1830008193</v>
      </c>
      <c r="C1217" t="s">
        <v>1361</v>
      </c>
      <c r="D1217" t="s">
        <v>2253</v>
      </c>
      <c r="E1217" t="str">
        <f t="shared" si="18"/>
        <v>Mechta1830008193</v>
      </c>
    </row>
    <row r="1218" spans="1:5" x14ac:dyDescent="0.3">
      <c r="A1218" t="s">
        <v>447</v>
      </c>
      <c r="B1218">
        <v>1830008191</v>
      </c>
      <c r="C1218" t="s">
        <v>1353</v>
      </c>
      <c r="D1218" t="s">
        <v>2254</v>
      </c>
      <c r="E1218" t="str">
        <f t="shared" si="18"/>
        <v>Mechta1830008191</v>
      </c>
    </row>
    <row r="1219" spans="1:5" x14ac:dyDescent="0.3">
      <c r="A1219" t="s">
        <v>447</v>
      </c>
      <c r="B1219">
        <v>1830008475</v>
      </c>
      <c r="C1219" t="s">
        <v>2255</v>
      </c>
      <c r="D1219" t="s">
        <v>2256</v>
      </c>
      <c r="E1219" t="str">
        <f t="shared" ref="E1219:E1282" si="19">A1219&amp;B1219</f>
        <v>Mechta1830008475</v>
      </c>
    </row>
    <row r="1220" spans="1:5" x14ac:dyDescent="0.3">
      <c r="A1220" t="s">
        <v>447</v>
      </c>
      <c r="B1220">
        <v>1830008195</v>
      </c>
      <c r="C1220" t="s">
        <v>1351</v>
      </c>
      <c r="D1220" t="s">
        <v>2257</v>
      </c>
      <c r="E1220" t="str">
        <f t="shared" si="19"/>
        <v>Mechta1830008195</v>
      </c>
    </row>
    <row r="1221" spans="1:5" x14ac:dyDescent="0.3">
      <c r="A1221" t="s">
        <v>447</v>
      </c>
      <c r="B1221">
        <v>1830008199</v>
      </c>
      <c r="C1221" t="s">
        <v>1347</v>
      </c>
      <c r="D1221" t="s">
        <v>2258</v>
      </c>
      <c r="E1221" t="str">
        <f t="shared" si="19"/>
        <v>Mechta1830008199</v>
      </c>
    </row>
    <row r="1222" spans="1:5" x14ac:dyDescent="0.3">
      <c r="A1222" t="s">
        <v>447</v>
      </c>
      <c r="B1222">
        <v>1830008200</v>
      </c>
      <c r="C1222" t="s">
        <v>1349</v>
      </c>
      <c r="D1222" t="s">
        <v>2259</v>
      </c>
      <c r="E1222" t="str">
        <f t="shared" si="19"/>
        <v>Mechta1830008200</v>
      </c>
    </row>
    <row r="1223" spans="1:5" x14ac:dyDescent="0.3">
      <c r="A1223" t="s">
        <v>447</v>
      </c>
      <c r="B1223">
        <v>1830006855</v>
      </c>
      <c r="C1223" t="s">
        <v>2260</v>
      </c>
      <c r="D1223" t="s">
        <v>2261</v>
      </c>
      <c r="E1223" t="str">
        <f t="shared" si="19"/>
        <v>Mechta1830006855</v>
      </c>
    </row>
    <row r="1224" spans="1:5" x14ac:dyDescent="0.3">
      <c r="A1224" t="s">
        <v>447</v>
      </c>
      <c r="B1224">
        <v>1830006258</v>
      </c>
      <c r="C1224" t="s">
        <v>2262</v>
      </c>
      <c r="D1224" t="s">
        <v>2263</v>
      </c>
      <c r="E1224" t="str">
        <f t="shared" si="19"/>
        <v>Mechta1830006258</v>
      </c>
    </row>
    <row r="1225" spans="1:5" x14ac:dyDescent="0.3">
      <c r="A1225" t="s">
        <v>447</v>
      </c>
      <c r="B1225">
        <v>1830006436</v>
      </c>
      <c r="C1225" t="s">
        <v>2264</v>
      </c>
      <c r="D1225" t="s">
        <v>2265</v>
      </c>
      <c r="E1225" t="str">
        <f t="shared" si="19"/>
        <v>Mechta1830006436</v>
      </c>
    </row>
    <row r="1226" spans="1:5" x14ac:dyDescent="0.3">
      <c r="A1226" t="s">
        <v>447</v>
      </c>
      <c r="B1226">
        <v>1830006257</v>
      </c>
      <c r="C1226" t="s">
        <v>2266</v>
      </c>
      <c r="D1226" t="s">
        <v>2267</v>
      </c>
      <c r="E1226" t="str">
        <f t="shared" si="19"/>
        <v>Mechta1830006257</v>
      </c>
    </row>
    <row r="1227" spans="1:5" x14ac:dyDescent="0.3">
      <c r="A1227" t="s">
        <v>447</v>
      </c>
      <c r="B1227">
        <v>1830006311</v>
      </c>
      <c r="C1227" t="s">
        <v>2268</v>
      </c>
      <c r="D1227" t="s">
        <v>2269</v>
      </c>
      <c r="E1227" t="str">
        <f t="shared" si="19"/>
        <v>Mechta1830006311</v>
      </c>
    </row>
    <row r="1228" spans="1:5" x14ac:dyDescent="0.3">
      <c r="A1228" t="s">
        <v>447</v>
      </c>
      <c r="B1228">
        <v>1830007590</v>
      </c>
      <c r="C1228" t="s">
        <v>2270</v>
      </c>
      <c r="D1228" t="s">
        <v>2271</v>
      </c>
      <c r="E1228" t="str">
        <f t="shared" si="19"/>
        <v>Mechta1830007590</v>
      </c>
    </row>
    <row r="1229" spans="1:5" x14ac:dyDescent="0.3">
      <c r="A1229" t="s">
        <v>447</v>
      </c>
      <c r="B1229">
        <v>1830007642</v>
      </c>
      <c r="C1229" t="s">
        <v>1155</v>
      </c>
      <c r="D1229" t="s">
        <v>2272</v>
      </c>
      <c r="E1229" t="str">
        <f t="shared" si="19"/>
        <v>Mechta1830007642</v>
      </c>
    </row>
    <row r="1230" spans="1:5" x14ac:dyDescent="0.3">
      <c r="A1230" t="s">
        <v>447</v>
      </c>
      <c r="B1230">
        <v>1830008172</v>
      </c>
      <c r="C1230" t="s">
        <v>1272</v>
      </c>
      <c r="D1230" t="s">
        <v>2273</v>
      </c>
      <c r="E1230" t="str">
        <f t="shared" si="19"/>
        <v>Mechta1830008172</v>
      </c>
    </row>
    <row r="1231" spans="1:5" x14ac:dyDescent="0.3">
      <c r="A1231" t="s">
        <v>447</v>
      </c>
      <c r="B1231">
        <v>1830007569</v>
      </c>
      <c r="C1231" t="s">
        <v>1612</v>
      </c>
      <c r="D1231" t="s">
        <v>2274</v>
      </c>
      <c r="E1231" t="str">
        <f t="shared" si="19"/>
        <v>Mechta1830007569</v>
      </c>
    </row>
    <row r="1232" spans="1:5" x14ac:dyDescent="0.3">
      <c r="A1232" t="s">
        <v>447</v>
      </c>
      <c r="B1232">
        <v>1830008076</v>
      </c>
      <c r="C1232" t="s">
        <v>1681</v>
      </c>
      <c r="D1232" t="s">
        <v>2275</v>
      </c>
      <c r="E1232" t="str">
        <f t="shared" si="19"/>
        <v>Mechta1830008076</v>
      </c>
    </row>
    <row r="1233" spans="1:5" x14ac:dyDescent="0.3">
      <c r="A1233" t="s">
        <v>447</v>
      </c>
      <c r="B1233">
        <v>1830007584</v>
      </c>
      <c r="C1233" t="s">
        <v>1029</v>
      </c>
      <c r="D1233" t="s">
        <v>2276</v>
      </c>
      <c r="E1233" t="str">
        <f t="shared" si="19"/>
        <v>Mechta1830007584</v>
      </c>
    </row>
    <row r="1234" spans="1:5" x14ac:dyDescent="0.3">
      <c r="A1234" t="s">
        <v>447</v>
      </c>
      <c r="B1234">
        <v>1830008461</v>
      </c>
      <c r="C1234" t="s">
        <v>424</v>
      </c>
      <c r="D1234" t="s">
        <v>2277</v>
      </c>
      <c r="E1234" t="str">
        <f t="shared" si="19"/>
        <v>Mechta1830008461</v>
      </c>
    </row>
    <row r="1235" spans="1:5" x14ac:dyDescent="0.3">
      <c r="A1235" t="s">
        <v>447</v>
      </c>
      <c r="B1235">
        <v>1830008239</v>
      </c>
      <c r="C1235" t="s">
        <v>408</v>
      </c>
      <c r="D1235" t="s">
        <v>2278</v>
      </c>
      <c r="E1235" t="str">
        <f t="shared" si="19"/>
        <v>Mechta1830008239</v>
      </c>
    </row>
    <row r="1236" spans="1:5" x14ac:dyDescent="0.3">
      <c r="A1236" t="s">
        <v>447</v>
      </c>
      <c r="B1236">
        <v>1830007810</v>
      </c>
      <c r="C1236" t="s">
        <v>1162</v>
      </c>
      <c r="D1236" t="s">
        <v>2279</v>
      </c>
      <c r="E1236" t="str">
        <f t="shared" si="19"/>
        <v>Mechta1830007810</v>
      </c>
    </row>
    <row r="1237" spans="1:5" x14ac:dyDescent="0.3">
      <c r="A1237" t="s">
        <v>447</v>
      </c>
      <c r="B1237">
        <v>1830007715</v>
      </c>
      <c r="C1237" t="s">
        <v>409</v>
      </c>
      <c r="D1237" t="s">
        <v>2280</v>
      </c>
      <c r="E1237" t="str">
        <f t="shared" si="19"/>
        <v>Mechta1830007715</v>
      </c>
    </row>
    <row r="1238" spans="1:5" x14ac:dyDescent="0.3">
      <c r="A1238" t="s">
        <v>447</v>
      </c>
      <c r="B1238">
        <v>1830007809</v>
      </c>
      <c r="C1238" t="s">
        <v>410</v>
      </c>
      <c r="D1238" t="s">
        <v>2281</v>
      </c>
      <c r="E1238" t="str">
        <f t="shared" si="19"/>
        <v>Mechta1830007809</v>
      </c>
    </row>
    <row r="1239" spans="1:5" x14ac:dyDescent="0.3">
      <c r="A1239" t="s">
        <v>447</v>
      </c>
      <c r="B1239">
        <v>1830008018</v>
      </c>
      <c r="C1239" t="s">
        <v>2282</v>
      </c>
      <c r="D1239" t="s">
        <v>2283</v>
      </c>
      <c r="E1239" t="str">
        <f t="shared" si="19"/>
        <v>Mechta1830008018</v>
      </c>
    </row>
    <row r="1240" spans="1:5" x14ac:dyDescent="0.3">
      <c r="A1240" t="s">
        <v>447</v>
      </c>
      <c r="B1240">
        <v>1830006128</v>
      </c>
      <c r="C1240" t="s">
        <v>2284</v>
      </c>
      <c r="D1240" t="s">
        <v>2285</v>
      </c>
      <c r="E1240" t="str">
        <f t="shared" si="19"/>
        <v>Mechta1830006128</v>
      </c>
    </row>
    <row r="1241" spans="1:5" x14ac:dyDescent="0.3">
      <c r="A1241" t="s">
        <v>447</v>
      </c>
      <c r="B1241">
        <v>1830007142</v>
      </c>
      <c r="C1241" t="s">
        <v>2286</v>
      </c>
      <c r="D1241" t="s">
        <v>2287</v>
      </c>
      <c r="E1241" t="str">
        <f t="shared" si="19"/>
        <v>Mechta1830007142</v>
      </c>
    </row>
    <row r="1242" spans="1:5" x14ac:dyDescent="0.3">
      <c r="A1242" t="s">
        <v>447</v>
      </c>
      <c r="B1242">
        <v>1830007146</v>
      </c>
      <c r="C1242" t="s">
        <v>5</v>
      </c>
      <c r="D1242" t="s">
        <v>222</v>
      </c>
      <c r="E1242" t="str">
        <f t="shared" si="19"/>
        <v>Mechta1830007146</v>
      </c>
    </row>
    <row r="1243" spans="1:5" x14ac:dyDescent="0.3">
      <c r="A1243" t="s">
        <v>447</v>
      </c>
      <c r="B1243">
        <v>2100125950</v>
      </c>
      <c r="C1243" t="s">
        <v>420</v>
      </c>
      <c r="D1243" t="s">
        <v>2288</v>
      </c>
      <c r="E1243" t="str">
        <f t="shared" si="19"/>
        <v>Mechta2100125950</v>
      </c>
    </row>
    <row r="1244" spans="1:5" x14ac:dyDescent="0.3">
      <c r="A1244" t="s">
        <v>447</v>
      </c>
      <c r="B1244">
        <v>1830006555</v>
      </c>
      <c r="C1244" t="s">
        <v>694</v>
      </c>
      <c r="D1244" t="s">
        <v>2289</v>
      </c>
      <c r="E1244" t="str">
        <f t="shared" si="19"/>
        <v>Mechta1830006555</v>
      </c>
    </row>
    <row r="1245" spans="1:5" x14ac:dyDescent="0.3">
      <c r="A1245" t="s">
        <v>447</v>
      </c>
      <c r="B1245">
        <v>1830008468</v>
      </c>
      <c r="C1245" t="s">
        <v>1645</v>
      </c>
      <c r="D1245" t="s">
        <v>2290</v>
      </c>
      <c r="E1245" t="str">
        <f t="shared" si="19"/>
        <v>Mechta1830008468</v>
      </c>
    </row>
    <row r="1246" spans="1:5" x14ac:dyDescent="0.3">
      <c r="A1246" t="s">
        <v>447</v>
      </c>
      <c r="B1246">
        <v>1830007649</v>
      </c>
      <c r="C1246" t="s">
        <v>1765</v>
      </c>
      <c r="D1246" t="s">
        <v>2291</v>
      </c>
      <c r="E1246" t="str">
        <f t="shared" si="19"/>
        <v>Mechta1830007649</v>
      </c>
    </row>
    <row r="1247" spans="1:5" x14ac:dyDescent="0.3">
      <c r="A1247" t="s">
        <v>447</v>
      </c>
      <c r="B1247">
        <v>1830003726</v>
      </c>
      <c r="C1247" t="s">
        <v>2292</v>
      </c>
      <c r="D1247" t="s">
        <v>2293</v>
      </c>
      <c r="E1247" t="str">
        <f t="shared" si="19"/>
        <v>Mechta1830003726</v>
      </c>
    </row>
    <row r="1248" spans="1:5" x14ac:dyDescent="0.3">
      <c r="A1248" t="s">
        <v>447</v>
      </c>
      <c r="B1248">
        <v>1830005706</v>
      </c>
      <c r="C1248" t="s">
        <v>1005</v>
      </c>
      <c r="D1248" t="s">
        <v>2294</v>
      </c>
      <c r="E1248" t="str">
        <f t="shared" si="19"/>
        <v>Mechta1830005706</v>
      </c>
    </row>
    <row r="1249" spans="1:5" x14ac:dyDescent="0.3">
      <c r="A1249" t="s">
        <v>447</v>
      </c>
      <c r="B1249">
        <v>1830006254</v>
      </c>
      <c r="C1249" t="s">
        <v>931</v>
      </c>
      <c r="D1249" t="s">
        <v>2295</v>
      </c>
      <c r="E1249" t="str">
        <f t="shared" si="19"/>
        <v>Mechta1830006254</v>
      </c>
    </row>
    <row r="1250" spans="1:5" x14ac:dyDescent="0.3">
      <c r="A1250" t="s">
        <v>447</v>
      </c>
      <c r="B1250">
        <v>1830008470</v>
      </c>
      <c r="C1250" t="s">
        <v>1637</v>
      </c>
      <c r="D1250" t="s">
        <v>2296</v>
      </c>
      <c r="E1250" t="str">
        <f t="shared" si="19"/>
        <v>Mechta1830008470</v>
      </c>
    </row>
    <row r="1251" spans="1:5" x14ac:dyDescent="0.3">
      <c r="A1251" t="s">
        <v>447</v>
      </c>
      <c r="B1251">
        <v>1830008458</v>
      </c>
      <c r="C1251" t="s">
        <v>1643</v>
      </c>
      <c r="D1251" t="s">
        <v>2297</v>
      </c>
      <c r="E1251" t="str">
        <f t="shared" si="19"/>
        <v>Mechta1830008458</v>
      </c>
    </row>
    <row r="1252" spans="1:5" x14ac:dyDescent="0.3">
      <c r="A1252" t="s">
        <v>447</v>
      </c>
      <c r="B1252">
        <v>1830007697</v>
      </c>
      <c r="C1252" t="s">
        <v>1174</v>
      </c>
      <c r="D1252" t="s">
        <v>2298</v>
      </c>
      <c r="E1252" t="str">
        <f t="shared" si="19"/>
        <v>Mechta1830007697</v>
      </c>
    </row>
    <row r="1253" spans="1:5" x14ac:dyDescent="0.3">
      <c r="A1253" t="s">
        <v>447</v>
      </c>
      <c r="B1253">
        <v>1830008506</v>
      </c>
      <c r="C1253" t="s">
        <v>1639</v>
      </c>
      <c r="D1253" t="s">
        <v>2299</v>
      </c>
      <c r="E1253" t="str">
        <f t="shared" si="19"/>
        <v>Mechta1830008506</v>
      </c>
    </row>
    <row r="1254" spans="1:5" x14ac:dyDescent="0.3">
      <c r="A1254" t="s">
        <v>447</v>
      </c>
      <c r="B1254">
        <v>1830007698</v>
      </c>
      <c r="C1254" t="s">
        <v>1172</v>
      </c>
      <c r="D1254" t="s">
        <v>2300</v>
      </c>
      <c r="E1254" t="str">
        <f t="shared" si="19"/>
        <v>Mechta1830007698</v>
      </c>
    </row>
    <row r="1255" spans="1:5" x14ac:dyDescent="0.3">
      <c r="A1255" t="s">
        <v>447</v>
      </c>
      <c r="B1255">
        <v>1830008437</v>
      </c>
      <c r="C1255" t="s">
        <v>1584</v>
      </c>
      <c r="D1255" t="s">
        <v>2301</v>
      </c>
      <c r="E1255" t="str">
        <f t="shared" si="19"/>
        <v>Mechta1830008437</v>
      </c>
    </row>
    <row r="1256" spans="1:5" x14ac:dyDescent="0.3">
      <c r="A1256" t="s">
        <v>447</v>
      </c>
      <c r="B1256">
        <v>1830007565</v>
      </c>
      <c r="C1256" t="s">
        <v>1170</v>
      </c>
      <c r="D1256" t="s">
        <v>2302</v>
      </c>
      <c r="E1256" t="str">
        <f t="shared" si="19"/>
        <v>Mechta1830007565</v>
      </c>
    </row>
    <row r="1257" spans="1:5" x14ac:dyDescent="0.3">
      <c r="A1257" t="s">
        <v>447</v>
      </c>
      <c r="B1257">
        <v>1830006016</v>
      </c>
      <c r="C1257" t="s">
        <v>706</v>
      </c>
      <c r="D1257" t="s">
        <v>2303</v>
      </c>
      <c r="E1257" t="str">
        <f t="shared" si="19"/>
        <v>Mechta1830006016</v>
      </c>
    </row>
    <row r="1258" spans="1:5" x14ac:dyDescent="0.3">
      <c r="A1258" t="s">
        <v>447</v>
      </c>
      <c r="B1258">
        <v>1830005749</v>
      </c>
      <c r="C1258" t="s">
        <v>696</v>
      </c>
      <c r="D1258" t="s">
        <v>2304</v>
      </c>
      <c r="E1258" t="str">
        <f t="shared" si="19"/>
        <v>Mechta1830005749</v>
      </c>
    </row>
    <row r="1259" spans="1:5" x14ac:dyDescent="0.3">
      <c r="A1259" t="s">
        <v>447</v>
      </c>
      <c r="B1259">
        <v>1830007125</v>
      </c>
      <c r="C1259" t="s">
        <v>1555</v>
      </c>
      <c r="D1259" t="s">
        <v>2305</v>
      </c>
      <c r="E1259" t="str">
        <f t="shared" si="19"/>
        <v>Mechta1830007125</v>
      </c>
    </row>
    <row r="1260" spans="1:5" x14ac:dyDescent="0.3">
      <c r="A1260" t="s">
        <v>447</v>
      </c>
      <c r="B1260">
        <v>1830003901</v>
      </c>
      <c r="C1260" t="s">
        <v>480</v>
      </c>
      <c r="D1260" t="s">
        <v>2306</v>
      </c>
      <c r="E1260" t="str">
        <f t="shared" si="19"/>
        <v>Mechta1830003901</v>
      </c>
    </row>
    <row r="1261" spans="1:5" x14ac:dyDescent="0.3">
      <c r="A1261" t="s">
        <v>447</v>
      </c>
      <c r="B1261">
        <v>1830005488</v>
      </c>
      <c r="C1261" t="s">
        <v>886</v>
      </c>
      <c r="D1261" t="s">
        <v>2307</v>
      </c>
      <c r="E1261" t="str">
        <f t="shared" si="19"/>
        <v>Mechta1830005488</v>
      </c>
    </row>
    <row r="1262" spans="1:5" x14ac:dyDescent="0.3">
      <c r="A1262" t="s">
        <v>447</v>
      </c>
      <c r="B1262">
        <v>1830008554</v>
      </c>
      <c r="C1262" t="s">
        <v>1635</v>
      </c>
      <c r="D1262" t="s">
        <v>2308</v>
      </c>
      <c r="E1262" t="str">
        <f t="shared" si="19"/>
        <v>Mechta1830008554</v>
      </c>
    </row>
    <row r="1263" spans="1:5" x14ac:dyDescent="0.3">
      <c r="A1263" t="s">
        <v>447</v>
      </c>
      <c r="B1263">
        <v>1830008556</v>
      </c>
      <c r="C1263" t="s">
        <v>1633</v>
      </c>
      <c r="D1263" t="s">
        <v>2309</v>
      </c>
      <c r="E1263" t="str">
        <f t="shared" si="19"/>
        <v>Mechta1830008556</v>
      </c>
    </row>
    <row r="1264" spans="1:5" x14ac:dyDescent="0.3">
      <c r="A1264" t="s">
        <v>447</v>
      </c>
      <c r="B1264">
        <v>1830008557</v>
      </c>
      <c r="C1264" t="s">
        <v>1631</v>
      </c>
      <c r="D1264" t="s">
        <v>2310</v>
      </c>
      <c r="E1264" t="str">
        <f t="shared" si="19"/>
        <v>Mechta1830008557</v>
      </c>
    </row>
    <row r="1265" spans="1:5" x14ac:dyDescent="0.3">
      <c r="A1265" t="s">
        <v>447</v>
      </c>
      <c r="B1265">
        <v>1830007626</v>
      </c>
      <c r="C1265" t="s">
        <v>94</v>
      </c>
      <c r="D1265" t="s">
        <v>274</v>
      </c>
      <c r="E1265" t="str">
        <f t="shared" si="19"/>
        <v>Mechta1830007626</v>
      </c>
    </row>
    <row r="1266" spans="1:5" x14ac:dyDescent="0.3">
      <c r="A1266" t="s">
        <v>447</v>
      </c>
      <c r="B1266">
        <v>1830003934</v>
      </c>
      <c r="C1266" t="s">
        <v>921</v>
      </c>
      <c r="D1266" t="s">
        <v>2311</v>
      </c>
      <c r="E1266" t="str">
        <f t="shared" si="19"/>
        <v>Mechta1830003934</v>
      </c>
    </row>
    <row r="1267" spans="1:5" x14ac:dyDescent="0.3">
      <c r="A1267" t="s">
        <v>447</v>
      </c>
      <c r="B1267">
        <v>1830005290</v>
      </c>
      <c r="C1267" t="s">
        <v>509</v>
      </c>
      <c r="D1267" t="s">
        <v>2312</v>
      </c>
      <c r="E1267" t="str">
        <f t="shared" si="19"/>
        <v>Mechta1830005290</v>
      </c>
    </row>
    <row r="1268" spans="1:5" x14ac:dyDescent="0.3">
      <c r="A1268" t="s">
        <v>447</v>
      </c>
      <c r="B1268">
        <v>1830005220</v>
      </c>
      <c r="C1268" t="s">
        <v>511</v>
      </c>
      <c r="D1268" t="s">
        <v>2313</v>
      </c>
      <c r="E1268" t="str">
        <f t="shared" si="19"/>
        <v>Mechta1830005220</v>
      </c>
    </row>
    <row r="1269" spans="1:5" x14ac:dyDescent="0.3">
      <c r="A1269" t="s">
        <v>447</v>
      </c>
      <c r="B1269">
        <v>1830006272</v>
      </c>
      <c r="C1269" t="s">
        <v>1363</v>
      </c>
      <c r="D1269" t="s">
        <v>2314</v>
      </c>
      <c r="E1269" t="str">
        <f t="shared" si="19"/>
        <v>Mechta1830006272</v>
      </c>
    </row>
    <row r="1270" spans="1:5" x14ac:dyDescent="0.3">
      <c r="A1270" t="s">
        <v>447</v>
      </c>
      <c r="B1270">
        <v>1830006274</v>
      </c>
      <c r="C1270" t="s">
        <v>923</v>
      </c>
      <c r="D1270" t="s">
        <v>2315</v>
      </c>
      <c r="E1270" t="str">
        <f t="shared" si="19"/>
        <v>Mechta1830006274</v>
      </c>
    </row>
    <row r="1271" spans="1:5" x14ac:dyDescent="0.3">
      <c r="A1271" t="s">
        <v>447</v>
      </c>
      <c r="B1271">
        <v>1830008503</v>
      </c>
      <c r="C1271" t="s">
        <v>1647</v>
      </c>
      <c r="D1271" t="s">
        <v>2316</v>
      </c>
      <c r="E1271" t="str">
        <f t="shared" si="19"/>
        <v>Mechta1830008503</v>
      </c>
    </row>
    <row r="1272" spans="1:5" x14ac:dyDescent="0.3">
      <c r="A1272" t="s">
        <v>447</v>
      </c>
      <c r="B1272">
        <v>1830006273</v>
      </c>
      <c r="C1272" t="s">
        <v>704</v>
      </c>
      <c r="D1272" t="s">
        <v>2317</v>
      </c>
      <c r="E1272" t="str">
        <f t="shared" si="19"/>
        <v>Mechta1830006273</v>
      </c>
    </row>
    <row r="1273" spans="1:5" x14ac:dyDescent="0.3">
      <c r="A1273" t="s">
        <v>447</v>
      </c>
      <c r="B1273">
        <v>1830007299</v>
      </c>
      <c r="C1273" t="s">
        <v>96</v>
      </c>
      <c r="D1273" t="s">
        <v>276</v>
      </c>
      <c r="E1273" t="str">
        <f t="shared" si="19"/>
        <v>Mechta1830007299</v>
      </c>
    </row>
    <row r="1274" spans="1:5" x14ac:dyDescent="0.3">
      <c r="A1274" t="s">
        <v>447</v>
      </c>
      <c r="B1274">
        <v>2210014988</v>
      </c>
      <c r="C1274" t="s">
        <v>602</v>
      </c>
      <c r="D1274" t="s">
        <v>2318</v>
      </c>
      <c r="E1274" t="str">
        <f t="shared" si="19"/>
        <v>Mechta2210014988</v>
      </c>
    </row>
    <row r="1275" spans="1:5" x14ac:dyDescent="0.3">
      <c r="A1275" t="s">
        <v>447</v>
      </c>
      <c r="B1275">
        <v>2210019385</v>
      </c>
      <c r="C1275" t="s">
        <v>610</v>
      </c>
      <c r="D1275" t="s">
        <v>2319</v>
      </c>
      <c r="E1275" t="str">
        <f t="shared" si="19"/>
        <v>Mechta2210019385</v>
      </c>
    </row>
    <row r="1276" spans="1:5" x14ac:dyDescent="0.3">
      <c r="A1276" t="s">
        <v>447</v>
      </c>
      <c r="B1276">
        <v>1600005409</v>
      </c>
      <c r="C1276" t="s">
        <v>2320</v>
      </c>
      <c r="D1276" t="s">
        <v>2321</v>
      </c>
      <c r="E1276" t="str">
        <f t="shared" si="19"/>
        <v>Mechta1600005409</v>
      </c>
    </row>
    <row r="1277" spans="1:5" x14ac:dyDescent="0.3">
      <c r="A1277" t="s">
        <v>447</v>
      </c>
      <c r="B1277">
        <v>2211400344</v>
      </c>
      <c r="C1277" t="s">
        <v>1511</v>
      </c>
      <c r="D1277" t="s">
        <v>2322</v>
      </c>
      <c r="E1277" t="str">
        <f t="shared" si="19"/>
        <v>Mechta2211400344</v>
      </c>
    </row>
    <row r="1278" spans="1:5" x14ac:dyDescent="0.3">
      <c r="A1278" t="s">
        <v>447</v>
      </c>
      <c r="B1278">
        <v>2211400056</v>
      </c>
      <c r="C1278" t="s">
        <v>837</v>
      </c>
      <c r="D1278" t="s">
        <v>2323</v>
      </c>
      <c r="E1278" t="str">
        <f t="shared" si="19"/>
        <v>Mechta2211400056</v>
      </c>
    </row>
    <row r="1279" spans="1:5" x14ac:dyDescent="0.3">
      <c r="A1279" t="s">
        <v>447</v>
      </c>
      <c r="B1279">
        <v>2211400744</v>
      </c>
      <c r="C1279" t="s">
        <v>2324</v>
      </c>
      <c r="D1279" t="s">
        <v>2325</v>
      </c>
      <c r="E1279" t="str">
        <f t="shared" si="19"/>
        <v>Mechta2211400744</v>
      </c>
    </row>
    <row r="1280" spans="1:5" x14ac:dyDescent="0.3">
      <c r="A1280" t="s">
        <v>447</v>
      </c>
      <c r="B1280">
        <v>1600004831</v>
      </c>
      <c r="C1280" t="s">
        <v>604</v>
      </c>
      <c r="D1280" t="s">
        <v>2326</v>
      </c>
      <c r="E1280" t="str">
        <f t="shared" si="19"/>
        <v>Mechta1600004831</v>
      </c>
    </row>
    <row r="1281" spans="1:5" x14ac:dyDescent="0.3">
      <c r="A1281" t="s">
        <v>447</v>
      </c>
      <c r="B1281">
        <v>2211400350</v>
      </c>
      <c r="C1281" t="s">
        <v>2327</v>
      </c>
      <c r="D1281" t="s">
        <v>2328</v>
      </c>
      <c r="E1281" t="str">
        <f t="shared" si="19"/>
        <v>Mechta2211400350</v>
      </c>
    </row>
    <row r="1282" spans="1:5" x14ac:dyDescent="0.3">
      <c r="A1282" t="s">
        <v>447</v>
      </c>
      <c r="B1282">
        <v>2211400743</v>
      </c>
      <c r="C1282" t="s">
        <v>2329</v>
      </c>
      <c r="D1282" t="s">
        <v>2330</v>
      </c>
      <c r="E1282" t="str">
        <f t="shared" si="19"/>
        <v>Mechta2211400743</v>
      </c>
    </row>
    <row r="1283" spans="1:5" x14ac:dyDescent="0.3">
      <c r="A1283" t="s">
        <v>447</v>
      </c>
      <c r="B1283">
        <v>2211400928</v>
      </c>
      <c r="C1283" t="s">
        <v>1781</v>
      </c>
      <c r="D1283" t="s">
        <v>2331</v>
      </c>
      <c r="E1283" t="str">
        <f t="shared" ref="E1283:E1346" si="20">A1283&amp;B1283</f>
        <v>Mechta2211400928</v>
      </c>
    </row>
    <row r="1284" spans="1:5" x14ac:dyDescent="0.3">
      <c r="A1284" t="s">
        <v>447</v>
      </c>
      <c r="B1284">
        <v>1600005408</v>
      </c>
      <c r="C1284" t="s">
        <v>1509</v>
      </c>
      <c r="D1284" t="s">
        <v>2332</v>
      </c>
      <c r="E1284" t="str">
        <f t="shared" si="20"/>
        <v>Mechta1600005408</v>
      </c>
    </row>
    <row r="1285" spans="1:5" x14ac:dyDescent="0.3">
      <c r="A1285" t="s">
        <v>447</v>
      </c>
      <c r="B1285">
        <v>1600005144</v>
      </c>
      <c r="C1285" t="s">
        <v>1603</v>
      </c>
      <c r="D1285" t="s">
        <v>2333</v>
      </c>
      <c r="E1285" t="str">
        <f t="shared" si="20"/>
        <v>Mechta1600005144</v>
      </c>
    </row>
    <row r="1286" spans="1:5" x14ac:dyDescent="0.3">
      <c r="A1286" t="s">
        <v>447</v>
      </c>
      <c r="B1286">
        <v>2100098996</v>
      </c>
      <c r="C1286" t="s">
        <v>656</v>
      </c>
      <c r="D1286" t="s">
        <v>2334</v>
      </c>
      <c r="E1286" t="str">
        <f t="shared" si="20"/>
        <v>Mechta2100098996</v>
      </c>
    </row>
    <row r="1287" spans="1:5" x14ac:dyDescent="0.3">
      <c r="A1287" t="s">
        <v>447</v>
      </c>
      <c r="B1287">
        <v>7211002271</v>
      </c>
      <c r="C1287" t="s">
        <v>556</v>
      </c>
      <c r="D1287" t="s">
        <v>2335</v>
      </c>
      <c r="E1287" t="str">
        <f t="shared" si="20"/>
        <v>Mechta7211002271</v>
      </c>
    </row>
    <row r="1288" spans="1:5" x14ac:dyDescent="0.3">
      <c r="A1288" t="s">
        <v>447</v>
      </c>
      <c r="B1288">
        <v>2100093085</v>
      </c>
      <c r="C1288" t="s">
        <v>576</v>
      </c>
      <c r="D1288" t="s">
        <v>2336</v>
      </c>
      <c r="E1288" t="str">
        <f t="shared" si="20"/>
        <v>Mechta2100093085</v>
      </c>
    </row>
    <row r="1289" spans="1:5" x14ac:dyDescent="0.3">
      <c r="A1289" t="s">
        <v>447</v>
      </c>
      <c r="B1289">
        <v>2100093086</v>
      </c>
      <c r="C1289" t="s">
        <v>1579</v>
      </c>
      <c r="D1289" t="s">
        <v>2337</v>
      </c>
      <c r="E1289" t="str">
        <f t="shared" si="20"/>
        <v>Mechta2100093086</v>
      </c>
    </row>
    <row r="1290" spans="1:5" x14ac:dyDescent="0.3">
      <c r="A1290" t="s">
        <v>447</v>
      </c>
      <c r="B1290">
        <v>1600005119</v>
      </c>
      <c r="C1290" t="s">
        <v>2338</v>
      </c>
      <c r="D1290" t="s">
        <v>2339</v>
      </c>
      <c r="E1290" t="str">
        <f t="shared" si="20"/>
        <v>Mechta1600005119</v>
      </c>
    </row>
    <row r="1291" spans="1:5" x14ac:dyDescent="0.3">
      <c r="A1291" t="s">
        <v>447</v>
      </c>
      <c r="B1291">
        <v>1600005120</v>
      </c>
      <c r="C1291" t="s">
        <v>2340</v>
      </c>
      <c r="D1291" t="s">
        <v>2341</v>
      </c>
      <c r="E1291" t="str">
        <f t="shared" si="20"/>
        <v>Mechta1600005120</v>
      </c>
    </row>
    <row r="1292" spans="1:5" x14ac:dyDescent="0.3">
      <c r="A1292" t="s">
        <v>447</v>
      </c>
      <c r="B1292">
        <v>1600005372</v>
      </c>
      <c r="C1292" t="s">
        <v>2342</v>
      </c>
      <c r="D1292" t="s">
        <v>2343</v>
      </c>
      <c r="E1292" t="str">
        <f t="shared" si="20"/>
        <v>Mechta1600005372</v>
      </c>
    </row>
    <row r="1293" spans="1:5" x14ac:dyDescent="0.3">
      <c r="A1293" t="s">
        <v>447</v>
      </c>
      <c r="B1293">
        <v>2027445120</v>
      </c>
      <c r="C1293">
        <v>2744512</v>
      </c>
      <c r="D1293" t="s">
        <v>2344</v>
      </c>
      <c r="E1293" t="str">
        <f t="shared" si="20"/>
        <v>Mechta2027445120</v>
      </c>
    </row>
    <row r="1294" spans="1:5" x14ac:dyDescent="0.3">
      <c r="A1294" t="s">
        <v>447</v>
      </c>
      <c r="B1294">
        <v>2211400752</v>
      </c>
      <c r="C1294" t="s">
        <v>2345</v>
      </c>
      <c r="D1294" t="s">
        <v>2346</v>
      </c>
      <c r="E1294" t="str">
        <f t="shared" si="20"/>
        <v>Mechta2211400752</v>
      </c>
    </row>
    <row r="1295" spans="1:5" x14ac:dyDescent="0.3">
      <c r="A1295" t="s">
        <v>447</v>
      </c>
      <c r="B1295">
        <v>2211400878</v>
      </c>
      <c r="C1295" t="s">
        <v>2347</v>
      </c>
      <c r="D1295" t="s">
        <v>2348</v>
      </c>
      <c r="E1295" t="str">
        <f t="shared" si="20"/>
        <v>Mechta2211400878</v>
      </c>
    </row>
    <row r="1296" spans="1:5" x14ac:dyDescent="0.3">
      <c r="A1296" t="s">
        <v>447</v>
      </c>
      <c r="B1296">
        <v>1500635821</v>
      </c>
      <c r="C1296" t="s">
        <v>1373</v>
      </c>
      <c r="D1296" t="s">
        <v>2349</v>
      </c>
      <c r="E1296" t="str">
        <f t="shared" si="20"/>
        <v>Mechta1500635821</v>
      </c>
    </row>
    <row r="1297" spans="1:5" x14ac:dyDescent="0.3">
      <c r="A1297" t="s">
        <v>447</v>
      </c>
      <c r="B1297">
        <v>2100084562</v>
      </c>
      <c r="C1297" t="s">
        <v>2350</v>
      </c>
      <c r="D1297" t="s">
        <v>2351</v>
      </c>
      <c r="E1297" t="str">
        <f t="shared" si="20"/>
        <v>Mechta2100084562</v>
      </c>
    </row>
    <row r="1298" spans="1:5" x14ac:dyDescent="0.3">
      <c r="A1298" t="s">
        <v>447</v>
      </c>
      <c r="B1298">
        <v>8000035667</v>
      </c>
      <c r="C1298" t="s">
        <v>2352</v>
      </c>
      <c r="D1298" t="s">
        <v>2353</v>
      </c>
      <c r="E1298" t="str">
        <f t="shared" si="20"/>
        <v>Mechta8000035667</v>
      </c>
    </row>
    <row r="1299" spans="1:5" x14ac:dyDescent="0.3">
      <c r="A1299" t="s">
        <v>447</v>
      </c>
      <c r="B1299">
        <v>8000035923</v>
      </c>
      <c r="C1299" t="s">
        <v>1146</v>
      </c>
      <c r="D1299" t="s">
        <v>2354</v>
      </c>
      <c r="E1299" t="str">
        <f t="shared" si="20"/>
        <v>Mechta8000035923</v>
      </c>
    </row>
    <row r="1300" spans="1:5" x14ac:dyDescent="0.3">
      <c r="A1300" t="s">
        <v>447</v>
      </c>
      <c r="B1300">
        <v>1500578361</v>
      </c>
      <c r="C1300" t="s">
        <v>2355</v>
      </c>
      <c r="D1300" t="s">
        <v>2356</v>
      </c>
      <c r="E1300" t="str">
        <f t="shared" si="20"/>
        <v>Mechta1500578361</v>
      </c>
    </row>
    <row r="1301" spans="1:5" x14ac:dyDescent="0.3">
      <c r="A1301" t="s">
        <v>447</v>
      </c>
      <c r="B1301">
        <v>1510001750</v>
      </c>
      <c r="C1301" t="s">
        <v>1148</v>
      </c>
      <c r="D1301" t="s">
        <v>2357</v>
      </c>
      <c r="E1301" t="str">
        <f t="shared" si="20"/>
        <v>Mechta1510001750</v>
      </c>
    </row>
    <row r="1302" spans="1:5" x14ac:dyDescent="0.3">
      <c r="A1302" t="s">
        <v>447</v>
      </c>
      <c r="B1302">
        <v>7211000766</v>
      </c>
      <c r="C1302" t="s">
        <v>2358</v>
      </c>
      <c r="D1302" t="s">
        <v>2359</v>
      </c>
      <c r="E1302" t="str">
        <f t="shared" si="20"/>
        <v>Mechta7211000766</v>
      </c>
    </row>
    <row r="1303" spans="1:5" x14ac:dyDescent="0.3">
      <c r="A1303" t="s">
        <v>447</v>
      </c>
      <c r="B1303">
        <v>7211001948</v>
      </c>
      <c r="C1303" t="s">
        <v>2360</v>
      </c>
      <c r="D1303" t="s">
        <v>2361</v>
      </c>
      <c r="E1303" t="str">
        <f t="shared" si="20"/>
        <v>Mechta7211001948</v>
      </c>
    </row>
    <row r="1304" spans="1:5" x14ac:dyDescent="0.3">
      <c r="A1304" t="s">
        <v>447</v>
      </c>
      <c r="B1304">
        <v>7211000621</v>
      </c>
      <c r="C1304" t="s">
        <v>2362</v>
      </c>
      <c r="D1304" t="s">
        <v>2363</v>
      </c>
      <c r="E1304" t="str">
        <f t="shared" si="20"/>
        <v>Mechta7211000621</v>
      </c>
    </row>
    <row r="1305" spans="1:5" x14ac:dyDescent="0.3">
      <c r="A1305" t="s">
        <v>447</v>
      </c>
      <c r="B1305">
        <v>7211001107</v>
      </c>
      <c r="C1305" t="s">
        <v>2364</v>
      </c>
      <c r="D1305" t="s">
        <v>2365</v>
      </c>
      <c r="E1305" t="str">
        <f t="shared" si="20"/>
        <v>Mechta7211001107</v>
      </c>
    </row>
    <row r="1306" spans="1:5" x14ac:dyDescent="0.3">
      <c r="A1306" t="s">
        <v>447</v>
      </c>
      <c r="B1306">
        <v>7211001108</v>
      </c>
      <c r="C1306" t="s">
        <v>488</v>
      </c>
      <c r="D1306" t="s">
        <v>2366</v>
      </c>
      <c r="E1306" t="str">
        <f t="shared" si="20"/>
        <v>Mechta7211001108</v>
      </c>
    </row>
    <row r="1307" spans="1:5" x14ac:dyDescent="0.3">
      <c r="A1307" t="s">
        <v>447</v>
      </c>
      <c r="B1307">
        <v>1510001898</v>
      </c>
      <c r="C1307" t="s">
        <v>1240</v>
      </c>
      <c r="D1307" t="s">
        <v>2367</v>
      </c>
      <c r="E1307" t="str">
        <f t="shared" si="20"/>
        <v>Mechta1510001898</v>
      </c>
    </row>
    <row r="1308" spans="1:5" x14ac:dyDescent="0.3">
      <c r="A1308" t="s">
        <v>447</v>
      </c>
      <c r="B1308">
        <v>7211004581</v>
      </c>
      <c r="C1308" t="s">
        <v>1586</v>
      </c>
      <c r="D1308" t="s">
        <v>2368</v>
      </c>
      <c r="E1308" t="str">
        <f t="shared" si="20"/>
        <v>Mechta7211004581</v>
      </c>
    </row>
    <row r="1309" spans="1:5" x14ac:dyDescent="0.3">
      <c r="A1309" t="s">
        <v>447</v>
      </c>
      <c r="B1309">
        <v>7211001458</v>
      </c>
      <c r="C1309" t="s">
        <v>2369</v>
      </c>
      <c r="D1309" t="s">
        <v>2370</v>
      </c>
      <c r="E1309" t="str">
        <f t="shared" si="20"/>
        <v>Mechta7211001458</v>
      </c>
    </row>
    <row r="1310" spans="1:5" x14ac:dyDescent="0.3">
      <c r="A1310" t="s">
        <v>447</v>
      </c>
      <c r="B1310">
        <v>7211002374</v>
      </c>
      <c r="C1310" t="s">
        <v>813</v>
      </c>
      <c r="D1310" t="s">
        <v>2371</v>
      </c>
      <c r="E1310" t="str">
        <f t="shared" si="20"/>
        <v>Mechta7211002374</v>
      </c>
    </row>
    <row r="1311" spans="1:5" x14ac:dyDescent="0.3">
      <c r="A1311" t="s">
        <v>447</v>
      </c>
      <c r="B1311">
        <v>7211002851</v>
      </c>
      <c r="C1311" t="s">
        <v>954</v>
      </c>
      <c r="D1311" t="s">
        <v>2372</v>
      </c>
      <c r="E1311" t="str">
        <f t="shared" si="20"/>
        <v>Mechta7211002851</v>
      </c>
    </row>
    <row r="1312" spans="1:5" x14ac:dyDescent="0.3">
      <c r="A1312" t="s">
        <v>447</v>
      </c>
      <c r="B1312">
        <v>7211004655</v>
      </c>
      <c r="C1312" t="s">
        <v>2373</v>
      </c>
      <c r="D1312" t="s">
        <v>2374</v>
      </c>
      <c r="E1312" t="str">
        <f t="shared" si="20"/>
        <v>Mechta7211004655</v>
      </c>
    </row>
    <row r="1313" spans="1:5" x14ac:dyDescent="0.3">
      <c r="A1313" t="s">
        <v>447</v>
      </c>
      <c r="B1313">
        <v>7211004773</v>
      </c>
      <c r="C1313" t="s">
        <v>1677</v>
      </c>
      <c r="D1313" t="s">
        <v>2375</v>
      </c>
      <c r="E1313" t="str">
        <f t="shared" si="20"/>
        <v>Mechta7211004773</v>
      </c>
    </row>
    <row r="1314" spans="1:5" x14ac:dyDescent="0.3">
      <c r="A1314" t="s">
        <v>447</v>
      </c>
      <c r="B1314">
        <v>1510002143</v>
      </c>
      <c r="C1314" t="s">
        <v>1600</v>
      </c>
      <c r="D1314" t="s">
        <v>2376</v>
      </c>
      <c r="E1314" t="str">
        <f t="shared" si="20"/>
        <v>Mechta1510002143</v>
      </c>
    </row>
    <row r="1315" spans="1:5" x14ac:dyDescent="0.3">
      <c r="A1315" t="s">
        <v>447</v>
      </c>
      <c r="B1315">
        <v>8000036072</v>
      </c>
      <c r="C1315" t="s">
        <v>815</v>
      </c>
      <c r="D1315" t="s">
        <v>2377</v>
      </c>
      <c r="E1315" t="str">
        <f t="shared" si="20"/>
        <v>Mechta8000036072</v>
      </c>
    </row>
    <row r="1316" spans="1:5" x14ac:dyDescent="0.3">
      <c r="A1316" t="s">
        <v>447</v>
      </c>
      <c r="B1316">
        <v>8010000022</v>
      </c>
      <c r="C1316" t="s">
        <v>125</v>
      </c>
      <c r="D1316" t="s">
        <v>265</v>
      </c>
      <c r="E1316" t="str">
        <f t="shared" si="20"/>
        <v>Mechta8010000022</v>
      </c>
    </row>
    <row r="1317" spans="1:5" x14ac:dyDescent="0.3">
      <c r="A1317" t="s">
        <v>447</v>
      </c>
      <c r="B1317">
        <v>1510001881</v>
      </c>
      <c r="C1317" t="s">
        <v>1330</v>
      </c>
      <c r="D1317" t="s">
        <v>2378</v>
      </c>
      <c r="E1317" t="str">
        <f t="shared" si="20"/>
        <v>Mechta1510001881</v>
      </c>
    </row>
    <row r="1318" spans="1:5" x14ac:dyDescent="0.3">
      <c r="A1318" t="s">
        <v>447</v>
      </c>
      <c r="B1318">
        <v>7211001544</v>
      </c>
      <c r="C1318" t="s">
        <v>2379</v>
      </c>
      <c r="D1318" t="s">
        <v>2380</v>
      </c>
      <c r="E1318" t="str">
        <f t="shared" si="20"/>
        <v>Mechta7211001544</v>
      </c>
    </row>
    <row r="1319" spans="1:5" x14ac:dyDescent="0.3">
      <c r="A1319" t="s">
        <v>447</v>
      </c>
      <c r="B1319">
        <v>7211001545</v>
      </c>
      <c r="C1319" t="s">
        <v>2381</v>
      </c>
      <c r="D1319" t="s">
        <v>2382</v>
      </c>
      <c r="E1319" t="str">
        <f t="shared" si="20"/>
        <v>Mechta7211001545</v>
      </c>
    </row>
    <row r="1320" spans="1:5" x14ac:dyDescent="0.3">
      <c r="A1320" t="s">
        <v>447</v>
      </c>
      <c r="B1320">
        <v>7211002180</v>
      </c>
      <c r="C1320" t="s">
        <v>568</v>
      </c>
      <c r="D1320" t="s">
        <v>2383</v>
      </c>
      <c r="E1320" t="str">
        <f t="shared" si="20"/>
        <v>Mechta7211002180</v>
      </c>
    </row>
    <row r="1321" spans="1:5" x14ac:dyDescent="0.3">
      <c r="A1321" t="s">
        <v>447</v>
      </c>
      <c r="B1321">
        <v>7211002130</v>
      </c>
      <c r="C1321" t="s">
        <v>2384</v>
      </c>
      <c r="D1321" t="s">
        <v>2385</v>
      </c>
      <c r="E1321" t="str">
        <f t="shared" si="20"/>
        <v>Mechta7211002130</v>
      </c>
    </row>
    <row r="1322" spans="1:5" x14ac:dyDescent="0.3">
      <c r="A1322" t="s">
        <v>447</v>
      </c>
      <c r="B1322">
        <v>7211002539</v>
      </c>
      <c r="C1322" t="s">
        <v>2386</v>
      </c>
      <c r="D1322" t="s">
        <v>2387</v>
      </c>
      <c r="E1322" t="str">
        <f t="shared" si="20"/>
        <v>Mechta7211002539</v>
      </c>
    </row>
    <row r="1323" spans="1:5" x14ac:dyDescent="0.3">
      <c r="A1323" t="s">
        <v>447</v>
      </c>
      <c r="B1323">
        <v>7211002463</v>
      </c>
      <c r="C1323" t="s">
        <v>2388</v>
      </c>
      <c r="D1323" t="s">
        <v>2389</v>
      </c>
      <c r="E1323" t="str">
        <f t="shared" si="20"/>
        <v>Mechta7211002463</v>
      </c>
    </row>
    <row r="1324" spans="1:5" x14ac:dyDescent="0.3">
      <c r="A1324" t="s">
        <v>447</v>
      </c>
      <c r="B1324">
        <v>7211002465</v>
      </c>
      <c r="C1324" t="s">
        <v>564</v>
      </c>
      <c r="D1324" t="s">
        <v>2390</v>
      </c>
      <c r="E1324" t="str">
        <f t="shared" si="20"/>
        <v>Mechta7211002465</v>
      </c>
    </row>
    <row r="1325" spans="1:5" x14ac:dyDescent="0.3">
      <c r="A1325" t="s">
        <v>447</v>
      </c>
      <c r="B1325">
        <v>7211001078</v>
      </c>
      <c r="C1325" t="s">
        <v>566</v>
      </c>
      <c r="D1325" t="s">
        <v>2391</v>
      </c>
      <c r="E1325" t="str">
        <f t="shared" si="20"/>
        <v>Mechta7211001078</v>
      </c>
    </row>
    <row r="1326" spans="1:5" x14ac:dyDescent="0.3">
      <c r="A1326" t="s">
        <v>447</v>
      </c>
      <c r="B1326">
        <v>7211000396</v>
      </c>
      <c r="C1326" t="s">
        <v>2392</v>
      </c>
      <c r="D1326" t="s">
        <v>2393</v>
      </c>
      <c r="E1326" t="str">
        <f t="shared" si="20"/>
        <v>Mechta7211000396</v>
      </c>
    </row>
    <row r="1327" spans="1:5" x14ac:dyDescent="0.3">
      <c r="A1327" t="s">
        <v>447</v>
      </c>
      <c r="B1327">
        <v>8010000465</v>
      </c>
      <c r="C1327" t="s">
        <v>894</v>
      </c>
      <c r="D1327" t="s">
        <v>2394</v>
      </c>
      <c r="E1327" t="str">
        <f t="shared" si="20"/>
        <v>Mechta8010000465</v>
      </c>
    </row>
    <row r="1328" spans="1:5" x14ac:dyDescent="0.3">
      <c r="A1328" t="s">
        <v>447</v>
      </c>
      <c r="B1328">
        <v>7211001263</v>
      </c>
      <c r="C1328" t="s">
        <v>503</v>
      </c>
      <c r="D1328" t="s">
        <v>2395</v>
      </c>
      <c r="E1328" t="str">
        <f t="shared" si="20"/>
        <v>Mechta7211001263</v>
      </c>
    </row>
    <row r="1329" spans="1:5" x14ac:dyDescent="0.3">
      <c r="A1329" t="s">
        <v>447</v>
      </c>
      <c r="B1329">
        <v>7211001987</v>
      </c>
      <c r="C1329" t="s">
        <v>2396</v>
      </c>
      <c r="D1329" t="s">
        <v>2397</v>
      </c>
      <c r="E1329" t="str">
        <f t="shared" si="20"/>
        <v>Mechta7211001987</v>
      </c>
    </row>
    <row r="1330" spans="1:5" x14ac:dyDescent="0.3">
      <c r="A1330" t="s">
        <v>447</v>
      </c>
      <c r="B1330">
        <v>7211004315</v>
      </c>
      <c r="C1330" t="s">
        <v>82</v>
      </c>
      <c r="D1330" t="s">
        <v>2398</v>
      </c>
      <c r="E1330" t="str">
        <f t="shared" si="20"/>
        <v>Mechta7211004315</v>
      </c>
    </row>
    <row r="1331" spans="1:5" x14ac:dyDescent="0.3">
      <c r="A1331" t="s">
        <v>447</v>
      </c>
      <c r="B1331">
        <v>7211003827</v>
      </c>
      <c r="C1331" t="s">
        <v>81</v>
      </c>
      <c r="D1331" t="s">
        <v>2399</v>
      </c>
      <c r="E1331" t="str">
        <f t="shared" si="20"/>
        <v>Mechta7211003827</v>
      </c>
    </row>
    <row r="1332" spans="1:5" x14ac:dyDescent="0.3">
      <c r="A1332" t="s">
        <v>447</v>
      </c>
      <c r="B1332">
        <v>9100024448</v>
      </c>
      <c r="C1332">
        <v>4170128</v>
      </c>
      <c r="D1332" t="s">
        <v>2400</v>
      </c>
      <c r="E1332" t="str">
        <f t="shared" si="20"/>
        <v>Mechta9100024448</v>
      </c>
    </row>
    <row r="1333" spans="1:5" x14ac:dyDescent="0.3">
      <c r="A1333" t="s">
        <v>448</v>
      </c>
      <c r="B1333">
        <v>2027443120</v>
      </c>
      <c r="C1333">
        <v>2744312</v>
      </c>
      <c r="D1333" t="s">
        <v>2401</v>
      </c>
      <c r="E1333" t="str">
        <f t="shared" si="20"/>
        <v>Evrika2027443120</v>
      </c>
    </row>
    <row r="1334" spans="1:5" x14ac:dyDescent="0.3">
      <c r="A1334" t="s">
        <v>448</v>
      </c>
      <c r="B1334">
        <v>2027445120</v>
      </c>
      <c r="C1334">
        <v>2744512</v>
      </c>
      <c r="D1334" t="s">
        <v>2402</v>
      </c>
      <c r="E1334" t="str">
        <f t="shared" si="20"/>
        <v>Evrika2027445120</v>
      </c>
    </row>
    <row r="1335" spans="1:5" x14ac:dyDescent="0.3">
      <c r="A1335" t="s">
        <v>448</v>
      </c>
      <c r="B1335">
        <v>2027447120</v>
      </c>
      <c r="C1335">
        <v>2744712</v>
      </c>
      <c r="D1335" t="s">
        <v>2403</v>
      </c>
      <c r="E1335" t="str">
        <f t="shared" si="20"/>
        <v>Evrika2027447120</v>
      </c>
    </row>
    <row r="1336" spans="1:5" x14ac:dyDescent="0.3">
      <c r="A1336" t="s">
        <v>448</v>
      </c>
      <c r="B1336">
        <v>2027453120</v>
      </c>
      <c r="C1336">
        <v>2745312</v>
      </c>
      <c r="D1336" t="s">
        <v>2404</v>
      </c>
      <c r="E1336" t="str">
        <f t="shared" si="20"/>
        <v>Evrika2027453120</v>
      </c>
    </row>
    <row r="1337" spans="1:5" x14ac:dyDescent="0.3">
      <c r="A1337" t="s">
        <v>448</v>
      </c>
      <c r="B1337">
        <v>9100004180</v>
      </c>
      <c r="C1337">
        <v>4090118</v>
      </c>
      <c r="D1337">
        <v>4090118</v>
      </c>
      <c r="E1337" t="str">
        <f t="shared" si="20"/>
        <v>Evrika9100004180</v>
      </c>
    </row>
    <row r="1338" spans="1:5" x14ac:dyDescent="0.3">
      <c r="A1338" t="s">
        <v>448</v>
      </c>
      <c r="B1338">
        <v>9100004179</v>
      </c>
      <c r="C1338">
        <v>4090122</v>
      </c>
      <c r="D1338">
        <v>4090122</v>
      </c>
      <c r="E1338" t="str">
        <f t="shared" si="20"/>
        <v>Evrika9100004179</v>
      </c>
    </row>
    <row r="1339" spans="1:5" x14ac:dyDescent="0.3">
      <c r="A1339" t="s">
        <v>448</v>
      </c>
      <c r="B1339">
        <v>9100004192</v>
      </c>
      <c r="C1339">
        <v>4090124</v>
      </c>
      <c r="D1339">
        <v>4090124</v>
      </c>
      <c r="E1339" t="str">
        <f t="shared" si="20"/>
        <v>Evrika9100004192</v>
      </c>
    </row>
    <row r="1340" spans="1:5" x14ac:dyDescent="0.3">
      <c r="A1340" t="s">
        <v>448</v>
      </c>
      <c r="B1340">
        <v>9100004193</v>
      </c>
      <c r="C1340">
        <v>4090126</v>
      </c>
      <c r="D1340">
        <v>4090126</v>
      </c>
      <c r="E1340" t="str">
        <f t="shared" si="20"/>
        <v>Evrika9100004193</v>
      </c>
    </row>
    <row r="1341" spans="1:5" x14ac:dyDescent="0.3">
      <c r="A1341" t="s">
        <v>448</v>
      </c>
      <c r="B1341">
        <v>9100004194</v>
      </c>
      <c r="C1341">
        <v>4090128</v>
      </c>
      <c r="D1341">
        <v>4090128</v>
      </c>
      <c r="E1341" t="str">
        <f t="shared" si="20"/>
        <v>Evrika9100004194</v>
      </c>
    </row>
    <row r="1342" spans="1:5" x14ac:dyDescent="0.3">
      <c r="A1342" t="s">
        <v>448</v>
      </c>
      <c r="B1342">
        <v>9100004195</v>
      </c>
      <c r="C1342">
        <v>4090130</v>
      </c>
      <c r="D1342">
        <v>4090130</v>
      </c>
      <c r="E1342" t="str">
        <f t="shared" si="20"/>
        <v>Evrika9100004195</v>
      </c>
    </row>
    <row r="1343" spans="1:5" x14ac:dyDescent="0.3">
      <c r="A1343" t="s">
        <v>448</v>
      </c>
      <c r="B1343">
        <v>9100015891</v>
      </c>
      <c r="C1343">
        <v>4131820</v>
      </c>
      <c r="D1343">
        <v>4131820</v>
      </c>
      <c r="E1343" t="str">
        <f t="shared" si="20"/>
        <v>Evrika9100015891</v>
      </c>
    </row>
    <row r="1344" spans="1:5" x14ac:dyDescent="0.3">
      <c r="A1344" t="s">
        <v>448</v>
      </c>
      <c r="B1344">
        <v>9100024446</v>
      </c>
      <c r="C1344">
        <v>4170124</v>
      </c>
      <c r="D1344">
        <v>4170124</v>
      </c>
      <c r="E1344" t="str">
        <f t="shared" si="20"/>
        <v>Evrika9100024446</v>
      </c>
    </row>
    <row r="1345" spans="1:5" x14ac:dyDescent="0.3">
      <c r="A1345" t="s">
        <v>448</v>
      </c>
      <c r="B1345">
        <v>9100024448</v>
      </c>
      <c r="C1345">
        <v>4170128</v>
      </c>
      <c r="D1345">
        <v>4170128</v>
      </c>
      <c r="E1345" t="str">
        <f t="shared" si="20"/>
        <v>Evrika9100024448</v>
      </c>
    </row>
    <row r="1346" spans="1:5" x14ac:dyDescent="0.3">
      <c r="A1346" t="s">
        <v>448</v>
      </c>
      <c r="B1346">
        <v>9100024450</v>
      </c>
      <c r="C1346">
        <v>4170224</v>
      </c>
      <c r="D1346">
        <v>4170224</v>
      </c>
      <c r="E1346" t="str">
        <f t="shared" si="20"/>
        <v>Evrika9100024450</v>
      </c>
    </row>
    <row r="1347" spans="1:5" x14ac:dyDescent="0.3">
      <c r="A1347" t="s">
        <v>448</v>
      </c>
      <c r="B1347">
        <v>9100024451</v>
      </c>
      <c r="C1347">
        <v>4170924</v>
      </c>
      <c r="D1347">
        <v>4170924</v>
      </c>
      <c r="E1347" t="str">
        <f t="shared" ref="E1347:E1410" si="21">A1347&amp;B1347</f>
        <v>Evrika9100024451</v>
      </c>
    </row>
    <row r="1348" spans="1:5" x14ac:dyDescent="0.3">
      <c r="A1348" t="s">
        <v>448</v>
      </c>
      <c r="B1348">
        <v>9100027885</v>
      </c>
      <c r="C1348">
        <v>4182126</v>
      </c>
      <c r="D1348">
        <v>4182126</v>
      </c>
      <c r="E1348" t="str">
        <f t="shared" si="21"/>
        <v>Evrika9100027885</v>
      </c>
    </row>
    <row r="1349" spans="1:5" x14ac:dyDescent="0.3">
      <c r="A1349" t="s">
        <v>448</v>
      </c>
      <c r="B1349">
        <v>9100027886</v>
      </c>
      <c r="C1349">
        <v>4182128</v>
      </c>
      <c r="D1349">
        <v>4182128</v>
      </c>
      <c r="E1349" t="str">
        <f t="shared" si="21"/>
        <v>Evrika9100027886</v>
      </c>
    </row>
    <row r="1350" spans="1:5" x14ac:dyDescent="0.3">
      <c r="A1350" t="s">
        <v>448</v>
      </c>
      <c r="B1350">
        <v>9100027889</v>
      </c>
      <c r="C1350">
        <v>4182224</v>
      </c>
      <c r="D1350">
        <v>4182224</v>
      </c>
      <c r="E1350" t="str">
        <f t="shared" si="21"/>
        <v>Evrika9100027889</v>
      </c>
    </row>
    <row r="1351" spans="1:5" x14ac:dyDescent="0.3">
      <c r="A1351" t="s">
        <v>448</v>
      </c>
      <c r="B1351">
        <v>9100027890</v>
      </c>
      <c r="C1351">
        <v>4182418</v>
      </c>
      <c r="D1351">
        <v>4182418</v>
      </c>
      <c r="E1351" t="str">
        <f t="shared" si="21"/>
        <v>Evrika9100027890</v>
      </c>
    </row>
    <row r="1352" spans="1:5" x14ac:dyDescent="0.3">
      <c r="A1352" t="s">
        <v>448</v>
      </c>
      <c r="B1352">
        <v>9100027887</v>
      </c>
      <c r="C1352">
        <v>4182522</v>
      </c>
      <c r="D1352">
        <v>4182522</v>
      </c>
      <c r="E1352" t="str">
        <f t="shared" si="21"/>
        <v>Evrika9100027887</v>
      </c>
    </row>
    <row r="1353" spans="1:5" x14ac:dyDescent="0.3">
      <c r="A1353" t="s">
        <v>448</v>
      </c>
      <c r="B1353">
        <v>9100027888</v>
      </c>
      <c r="C1353">
        <v>4182628</v>
      </c>
      <c r="D1353">
        <v>4182628</v>
      </c>
      <c r="E1353" t="str">
        <f t="shared" si="21"/>
        <v>Evrika9100027888</v>
      </c>
    </row>
    <row r="1354" spans="1:5" x14ac:dyDescent="0.3">
      <c r="A1354" t="s">
        <v>448</v>
      </c>
      <c r="B1354">
        <v>9100027894</v>
      </c>
      <c r="C1354">
        <v>4182926</v>
      </c>
      <c r="D1354">
        <v>4182926</v>
      </c>
      <c r="E1354" t="str">
        <f t="shared" si="21"/>
        <v>Evrika9100027894</v>
      </c>
    </row>
    <row r="1355" spans="1:5" x14ac:dyDescent="0.3">
      <c r="A1355" t="s">
        <v>448</v>
      </c>
      <c r="B1355">
        <v>9100027895</v>
      </c>
      <c r="C1355">
        <v>4182928</v>
      </c>
      <c r="D1355">
        <v>4182928</v>
      </c>
      <c r="E1355" t="str">
        <f t="shared" si="21"/>
        <v>Evrika9100027895</v>
      </c>
    </row>
    <row r="1356" spans="1:5" x14ac:dyDescent="0.3">
      <c r="A1356" t="s">
        <v>448</v>
      </c>
      <c r="B1356">
        <v>9100036459</v>
      </c>
      <c r="C1356">
        <v>4191124</v>
      </c>
      <c r="D1356">
        <v>4191124</v>
      </c>
      <c r="E1356" t="str">
        <f t="shared" si="21"/>
        <v>Evrika9100036459</v>
      </c>
    </row>
    <row r="1357" spans="1:5" x14ac:dyDescent="0.3">
      <c r="A1357" t="s">
        <v>448</v>
      </c>
      <c r="B1357">
        <v>9100036465</v>
      </c>
      <c r="C1357">
        <v>4192124</v>
      </c>
      <c r="D1357">
        <v>4192124</v>
      </c>
      <c r="E1357" t="str">
        <f t="shared" si="21"/>
        <v>Evrika9100036465</v>
      </c>
    </row>
    <row r="1358" spans="1:5" x14ac:dyDescent="0.3">
      <c r="A1358" t="s">
        <v>448</v>
      </c>
      <c r="B1358">
        <v>9100036466</v>
      </c>
      <c r="C1358">
        <v>4192126</v>
      </c>
      <c r="D1358">
        <v>4192126</v>
      </c>
      <c r="E1358" t="str">
        <f t="shared" si="21"/>
        <v>Evrika9100036466</v>
      </c>
    </row>
    <row r="1359" spans="1:5" x14ac:dyDescent="0.3">
      <c r="A1359" t="s">
        <v>448</v>
      </c>
      <c r="B1359">
        <v>9100036467</v>
      </c>
      <c r="C1359">
        <v>4192128</v>
      </c>
      <c r="D1359">
        <v>4192128</v>
      </c>
      <c r="E1359" t="str">
        <f t="shared" si="21"/>
        <v>Evrika9100036467</v>
      </c>
    </row>
    <row r="1360" spans="1:5" x14ac:dyDescent="0.3">
      <c r="A1360" t="s">
        <v>448</v>
      </c>
      <c r="B1360">
        <v>9100036470</v>
      </c>
      <c r="C1360">
        <v>4192224</v>
      </c>
      <c r="D1360">
        <v>4192224</v>
      </c>
      <c r="E1360" t="str">
        <f t="shared" si="21"/>
        <v>Evrika9100036470</v>
      </c>
    </row>
    <row r="1361" spans="1:5" x14ac:dyDescent="0.3">
      <c r="A1361" t="s">
        <v>448</v>
      </c>
      <c r="B1361">
        <v>9100036468</v>
      </c>
      <c r="C1361">
        <v>4192525</v>
      </c>
      <c r="D1361">
        <v>4192525</v>
      </c>
      <c r="E1361" t="str">
        <f t="shared" si="21"/>
        <v>Evrika9100036468</v>
      </c>
    </row>
    <row r="1362" spans="1:5" x14ac:dyDescent="0.3">
      <c r="A1362" t="s">
        <v>448</v>
      </c>
      <c r="B1362">
        <v>9100036469</v>
      </c>
      <c r="C1362">
        <v>4192628</v>
      </c>
      <c r="D1362">
        <v>4192628</v>
      </c>
      <c r="E1362" t="str">
        <f t="shared" si="21"/>
        <v>Evrika9100036469</v>
      </c>
    </row>
    <row r="1363" spans="1:5" x14ac:dyDescent="0.3">
      <c r="A1363" t="s">
        <v>448</v>
      </c>
      <c r="B1363">
        <v>9100042514</v>
      </c>
      <c r="C1363">
        <v>4206124</v>
      </c>
      <c r="D1363">
        <v>4206124</v>
      </c>
      <c r="E1363" t="str">
        <f t="shared" si="21"/>
        <v>Evrika9100042514</v>
      </c>
    </row>
    <row r="1364" spans="1:5" x14ac:dyDescent="0.3">
      <c r="A1364" t="s">
        <v>448</v>
      </c>
      <c r="B1364">
        <v>9100042514</v>
      </c>
      <c r="C1364" t="s">
        <v>2145</v>
      </c>
      <c r="D1364">
        <v>4206126</v>
      </c>
      <c r="E1364" t="str">
        <f t="shared" si="21"/>
        <v>Evrika9100042514</v>
      </c>
    </row>
    <row r="1365" spans="1:5" x14ac:dyDescent="0.3">
      <c r="A1365" t="s">
        <v>448</v>
      </c>
      <c r="B1365">
        <v>9100042516</v>
      </c>
      <c r="C1365" t="s">
        <v>2405</v>
      </c>
      <c r="D1365">
        <v>4206128</v>
      </c>
      <c r="E1365" t="str">
        <f t="shared" si="21"/>
        <v>Evrika9100042516</v>
      </c>
    </row>
    <row r="1366" spans="1:5" x14ac:dyDescent="0.3">
      <c r="A1366" t="s">
        <v>448</v>
      </c>
      <c r="B1366">
        <v>9100042517</v>
      </c>
      <c r="C1366">
        <v>4206522</v>
      </c>
      <c r="D1366">
        <v>4206522</v>
      </c>
      <c r="E1366" t="str">
        <f t="shared" si="21"/>
        <v>Evrika9100042517</v>
      </c>
    </row>
    <row r="1367" spans="1:5" x14ac:dyDescent="0.3">
      <c r="A1367" t="s">
        <v>448</v>
      </c>
      <c r="B1367">
        <v>9100045478</v>
      </c>
      <c r="C1367">
        <v>4206924</v>
      </c>
      <c r="D1367">
        <v>4206924</v>
      </c>
      <c r="E1367" t="str">
        <f t="shared" si="21"/>
        <v>Evrika9100045478</v>
      </c>
    </row>
    <row r="1368" spans="1:5" x14ac:dyDescent="0.3">
      <c r="A1368" t="s">
        <v>448</v>
      </c>
      <c r="B1368">
        <v>9100045479</v>
      </c>
      <c r="C1368">
        <v>4206926</v>
      </c>
      <c r="D1368">
        <v>4206926</v>
      </c>
      <c r="E1368" t="str">
        <f t="shared" si="21"/>
        <v>Evrika9100045479</v>
      </c>
    </row>
    <row r="1369" spans="1:5" x14ac:dyDescent="0.3">
      <c r="A1369" t="s">
        <v>448</v>
      </c>
      <c r="B1369">
        <v>9100045480</v>
      </c>
      <c r="C1369">
        <v>4206928</v>
      </c>
      <c r="D1369">
        <v>4206928</v>
      </c>
      <c r="E1369" t="str">
        <f t="shared" si="21"/>
        <v>Evrika9100045480</v>
      </c>
    </row>
    <row r="1370" spans="1:5" x14ac:dyDescent="0.3">
      <c r="A1370" t="s">
        <v>448</v>
      </c>
      <c r="B1370">
        <v>9100046095</v>
      </c>
      <c r="C1370">
        <v>4211126</v>
      </c>
      <c r="D1370">
        <v>4211126</v>
      </c>
      <c r="E1370" t="str">
        <f t="shared" si="21"/>
        <v>Evrika9100046095</v>
      </c>
    </row>
    <row r="1371" spans="1:5" x14ac:dyDescent="0.3">
      <c r="A1371" t="s">
        <v>448</v>
      </c>
      <c r="B1371">
        <v>9100046096</v>
      </c>
      <c r="C1371">
        <v>4211128</v>
      </c>
      <c r="D1371">
        <v>4211128</v>
      </c>
      <c r="E1371" t="str">
        <f t="shared" si="21"/>
        <v>Evrika9100046096</v>
      </c>
    </row>
    <row r="1372" spans="1:5" x14ac:dyDescent="0.3">
      <c r="A1372" t="s">
        <v>448</v>
      </c>
      <c r="B1372">
        <v>9100046099</v>
      </c>
      <c r="C1372">
        <v>4211224</v>
      </c>
      <c r="D1372">
        <v>4211224</v>
      </c>
      <c r="E1372" t="str">
        <f t="shared" si="21"/>
        <v>Evrika9100046099</v>
      </c>
    </row>
    <row r="1373" spans="1:5" x14ac:dyDescent="0.3">
      <c r="A1373" t="s">
        <v>448</v>
      </c>
      <c r="B1373">
        <v>9100046097</v>
      </c>
      <c r="C1373">
        <v>4211522</v>
      </c>
      <c r="D1373">
        <v>4211522</v>
      </c>
      <c r="E1373" t="str">
        <f t="shared" si="21"/>
        <v>Evrika9100046097</v>
      </c>
    </row>
    <row r="1374" spans="1:5" x14ac:dyDescent="0.3">
      <c r="A1374" t="s">
        <v>448</v>
      </c>
      <c r="B1374">
        <v>9100046102</v>
      </c>
      <c r="C1374">
        <v>4211928</v>
      </c>
      <c r="D1374">
        <v>4211928</v>
      </c>
      <c r="E1374" t="str">
        <f t="shared" si="21"/>
        <v>Evrika9100046102</v>
      </c>
    </row>
    <row r="1375" spans="1:5" x14ac:dyDescent="0.3">
      <c r="A1375" t="s">
        <v>448</v>
      </c>
      <c r="B1375">
        <v>9100046087</v>
      </c>
      <c r="C1375">
        <v>4212124</v>
      </c>
      <c r="D1375">
        <v>4212124</v>
      </c>
      <c r="E1375" t="str">
        <f t="shared" si="21"/>
        <v>Evrika9100046087</v>
      </c>
    </row>
    <row r="1376" spans="1:5" x14ac:dyDescent="0.3">
      <c r="A1376" t="s">
        <v>448</v>
      </c>
      <c r="B1376">
        <v>9100046088</v>
      </c>
      <c r="C1376">
        <v>4212126</v>
      </c>
      <c r="D1376">
        <v>4212126</v>
      </c>
      <c r="E1376" t="str">
        <f t="shared" si="21"/>
        <v>Evrika9100046088</v>
      </c>
    </row>
    <row r="1377" spans="1:5" x14ac:dyDescent="0.3">
      <c r="A1377" t="s">
        <v>448</v>
      </c>
      <c r="B1377">
        <v>9100046089</v>
      </c>
      <c r="C1377">
        <v>4212128</v>
      </c>
      <c r="D1377">
        <v>4212128</v>
      </c>
      <c r="E1377" t="str">
        <f t="shared" si="21"/>
        <v>Evrika9100046089</v>
      </c>
    </row>
    <row r="1378" spans="1:5" x14ac:dyDescent="0.3">
      <c r="A1378" t="s">
        <v>448</v>
      </c>
      <c r="B1378">
        <v>9100046090</v>
      </c>
      <c r="C1378">
        <v>4212522</v>
      </c>
      <c r="D1378">
        <v>4212522</v>
      </c>
      <c r="E1378" t="str">
        <f t="shared" si="21"/>
        <v>Evrika9100046090</v>
      </c>
    </row>
    <row r="1379" spans="1:5" x14ac:dyDescent="0.3">
      <c r="A1379" t="s">
        <v>448</v>
      </c>
      <c r="B1379">
        <v>9100046091</v>
      </c>
      <c r="C1379">
        <v>4212628</v>
      </c>
      <c r="D1379">
        <v>4212628</v>
      </c>
      <c r="E1379" t="str">
        <f t="shared" si="21"/>
        <v>Evrika9100046091</v>
      </c>
    </row>
    <row r="1380" spans="1:5" x14ac:dyDescent="0.3">
      <c r="A1380" t="s">
        <v>448</v>
      </c>
      <c r="B1380">
        <v>9100048045</v>
      </c>
      <c r="C1380">
        <v>4216126</v>
      </c>
      <c r="D1380">
        <v>4216126</v>
      </c>
      <c r="E1380" t="str">
        <f t="shared" si="21"/>
        <v>Evrika9100048045</v>
      </c>
    </row>
    <row r="1381" spans="1:5" x14ac:dyDescent="0.3">
      <c r="A1381" t="s">
        <v>448</v>
      </c>
      <c r="B1381">
        <v>9100048046</v>
      </c>
      <c r="C1381">
        <v>4216128</v>
      </c>
      <c r="D1381">
        <v>4216128</v>
      </c>
      <c r="E1381" t="str">
        <f t="shared" si="21"/>
        <v>Evrika9100048046</v>
      </c>
    </row>
    <row r="1382" spans="1:5" x14ac:dyDescent="0.3">
      <c r="A1382" t="s">
        <v>448</v>
      </c>
      <c r="B1382">
        <v>9100048049</v>
      </c>
      <c r="C1382">
        <v>4216224</v>
      </c>
      <c r="D1382">
        <v>4216224</v>
      </c>
      <c r="E1382" t="str">
        <f t="shared" si="21"/>
        <v>Evrika9100048049</v>
      </c>
    </row>
    <row r="1383" spans="1:5" x14ac:dyDescent="0.3">
      <c r="A1383" t="s">
        <v>448</v>
      </c>
      <c r="B1383">
        <v>9100048047</v>
      </c>
      <c r="C1383">
        <v>4216522</v>
      </c>
      <c r="D1383">
        <v>4216522</v>
      </c>
      <c r="E1383" t="str">
        <f t="shared" si="21"/>
        <v>Evrika9100048047</v>
      </c>
    </row>
    <row r="1384" spans="1:5" x14ac:dyDescent="0.3">
      <c r="A1384" t="s">
        <v>448</v>
      </c>
      <c r="B1384">
        <v>9100048048</v>
      </c>
      <c r="C1384">
        <v>4216628</v>
      </c>
      <c r="D1384">
        <v>4216628</v>
      </c>
      <c r="E1384" t="str">
        <f t="shared" si="21"/>
        <v>Evrika9100048048</v>
      </c>
    </row>
    <row r="1385" spans="1:5" x14ac:dyDescent="0.3">
      <c r="A1385" t="s">
        <v>448</v>
      </c>
      <c r="B1385">
        <v>9100048056</v>
      </c>
      <c r="C1385">
        <v>4216926</v>
      </c>
      <c r="D1385">
        <v>4216926</v>
      </c>
      <c r="E1385" t="str">
        <f t="shared" si="21"/>
        <v>Evrika9100048056</v>
      </c>
    </row>
    <row r="1386" spans="1:5" x14ac:dyDescent="0.3">
      <c r="A1386" t="s">
        <v>448</v>
      </c>
      <c r="B1386">
        <v>9100048057</v>
      </c>
      <c r="C1386">
        <v>4216928</v>
      </c>
      <c r="D1386">
        <v>4216928</v>
      </c>
      <c r="E1386" t="str">
        <f t="shared" si="21"/>
        <v>Evrika9100048057</v>
      </c>
    </row>
    <row r="1387" spans="1:5" x14ac:dyDescent="0.3">
      <c r="A1387" t="s">
        <v>448</v>
      </c>
      <c r="B1387">
        <v>2100102542</v>
      </c>
      <c r="C1387" t="s">
        <v>507</v>
      </c>
      <c r="D1387" t="s">
        <v>507</v>
      </c>
      <c r="E1387" t="str">
        <f t="shared" si="21"/>
        <v>Evrika2100102542</v>
      </c>
    </row>
    <row r="1388" spans="1:5" x14ac:dyDescent="0.3">
      <c r="A1388" t="s">
        <v>448</v>
      </c>
      <c r="B1388">
        <v>2100098973</v>
      </c>
      <c r="C1388" t="s">
        <v>2406</v>
      </c>
      <c r="D1388" t="s">
        <v>2406</v>
      </c>
      <c r="E1388" t="str">
        <f t="shared" si="21"/>
        <v>Evrika2100098973</v>
      </c>
    </row>
    <row r="1389" spans="1:5" x14ac:dyDescent="0.3">
      <c r="A1389" t="s">
        <v>448</v>
      </c>
      <c r="B1389">
        <v>2100098972</v>
      </c>
      <c r="C1389" t="s">
        <v>983</v>
      </c>
      <c r="D1389" t="s">
        <v>983</v>
      </c>
      <c r="E1389" t="str">
        <f t="shared" si="21"/>
        <v>Evrika2100098972</v>
      </c>
    </row>
    <row r="1390" spans="1:5" x14ac:dyDescent="0.3">
      <c r="A1390" t="s">
        <v>448</v>
      </c>
      <c r="B1390">
        <v>1830007851</v>
      </c>
      <c r="C1390" t="s">
        <v>1195</v>
      </c>
      <c r="D1390" t="s">
        <v>1195</v>
      </c>
      <c r="E1390" t="str">
        <f t="shared" si="21"/>
        <v>Evrika1830007851</v>
      </c>
    </row>
    <row r="1391" spans="1:5" x14ac:dyDescent="0.3">
      <c r="A1391" t="s">
        <v>448</v>
      </c>
      <c r="B1391">
        <v>1830007830</v>
      </c>
      <c r="C1391" t="s">
        <v>698</v>
      </c>
      <c r="D1391" t="s">
        <v>698</v>
      </c>
      <c r="E1391" t="str">
        <f t="shared" si="21"/>
        <v>Evrika1830007830</v>
      </c>
    </row>
    <row r="1392" spans="1:5" x14ac:dyDescent="0.3">
      <c r="A1392" t="s">
        <v>448</v>
      </c>
      <c r="B1392">
        <v>7211001107</v>
      </c>
      <c r="C1392" t="s">
        <v>2364</v>
      </c>
      <c r="D1392" t="s">
        <v>2364</v>
      </c>
      <c r="E1392" t="str">
        <f t="shared" si="21"/>
        <v>Evrika7211001107</v>
      </c>
    </row>
    <row r="1393" spans="1:5" x14ac:dyDescent="0.3">
      <c r="A1393" t="s">
        <v>448</v>
      </c>
      <c r="B1393">
        <v>7211001108</v>
      </c>
      <c r="C1393" t="s">
        <v>488</v>
      </c>
      <c r="D1393" t="s">
        <v>488</v>
      </c>
      <c r="E1393" t="str">
        <f t="shared" si="21"/>
        <v>Evrika7211001108</v>
      </c>
    </row>
    <row r="1394" spans="1:5" x14ac:dyDescent="0.3">
      <c r="A1394" t="s">
        <v>448</v>
      </c>
      <c r="B1394">
        <v>2100111795</v>
      </c>
      <c r="C1394" t="s">
        <v>1605</v>
      </c>
      <c r="D1394" t="s">
        <v>1605</v>
      </c>
      <c r="E1394" t="str">
        <f t="shared" si="21"/>
        <v>Evrika2100111795</v>
      </c>
    </row>
    <row r="1395" spans="1:5" x14ac:dyDescent="0.3">
      <c r="A1395" t="s">
        <v>448</v>
      </c>
      <c r="B1395">
        <v>7211003503</v>
      </c>
      <c r="C1395" t="s">
        <v>2407</v>
      </c>
      <c r="D1395" t="s">
        <v>2407</v>
      </c>
      <c r="E1395" t="str">
        <f t="shared" si="21"/>
        <v>Evrika7211003503</v>
      </c>
    </row>
    <row r="1396" spans="1:5" x14ac:dyDescent="0.3">
      <c r="A1396" t="s">
        <v>448</v>
      </c>
      <c r="B1396">
        <v>7211000766</v>
      </c>
      <c r="C1396" t="s">
        <v>2358</v>
      </c>
      <c r="D1396" t="s">
        <v>2358</v>
      </c>
      <c r="E1396" t="str">
        <f t="shared" si="21"/>
        <v>Evrika7211000766</v>
      </c>
    </row>
    <row r="1397" spans="1:5" x14ac:dyDescent="0.3">
      <c r="A1397" t="s">
        <v>448</v>
      </c>
      <c r="B1397">
        <v>7211001948</v>
      </c>
      <c r="C1397" t="s">
        <v>2360</v>
      </c>
      <c r="D1397" t="s">
        <v>2360</v>
      </c>
      <c r="E1397" t="str">
        <f t="shared" si="21"/>
        <v>Evrika7211001948</v>
      </c>
    </row>
    <row r="1398" spans="1:5" x14ac:dyDescent="0.3">
      <c r="A1398" t="s">
        <v>448</v>
      </c>
      <c r="B1398">
        <v>2100088989</v>
      </c>
      <c r="C1398" t="s">
        <v>531</v>
      </c>
      <c r="D1398" t="s">
        <v>531</v>
      </c>
      <c r="E1398" t="str">
        <f t="shared" si="21"/>
        <v>Evrika2100088989</v>
      </c>
    </row>
    <row r="1399" spans="1:5" x14ac:dyDescent="0.3">
      <c r="A1399" t="s">
        <v>448</v>
      </c>
      <c r="B1399">
        <v>2100088990</v>
      </c>
      <c r="C1399" t="s">
        <v>788</v>
      </c>
      <c r="D1399" t="s">
        <v>788</v>
      </c>
      <c r="E1399" t="str">
        <f t="shared" si="21"/>
        <v>Evrika2100088990</v>
      </c>
    </row>
    <row r="1400" spans="1:5" x14ac:dyDescent="0.3">
      <c r="A1400" t="s">
        <v>448</v>
      </c>
      <c r="B1400">
        <v>2100088991</v>
      </c>
      <c r="C1400" t="s">
        <v>533</v>
      </c>
      <c r="D1400" t="s">
        <v>533</v>
      </c>
      <c r="E1400" t="str">
        <f t="shared" si="21"/>
        <v>Evrika2100088991</v>
      </c>
    </row>
    <row r="1401" spans="1:5" x14ac:dyDescent="0.3">
      <c r="A1401" t="s">
        <v>448</v>
      </c>
      <c r="B1401">
        <v>2100088993</v>
      </c>
      <c r="C1401" t="s">
        <v>539</v>
      </c>
      <c r="D1401" t="s">
        <v>539</v>
      </c>
      <c r="E1401" t="str">
        <f t="shared" si="21"/>
        <v>Evrika2100088993</v>
      </c>
    </row>
    <row r="1402" spans="1:5" x14ac:dyDescent="0.3">
      <c r="A1402" t="s">
        <v>448</v>
      </c>
      <c r="B1402">
        <v>2100101938</v>
      </c>
      <c r="C1402" t="s">
        <v>2408</v>
      </c>
      <c r="D1402" t="s">
        <v>2408</v>
      </c>
      <c r="E1402" t="str">
        <f t="shared" si="21"/>
        <v>Evrika2100101938</v>
      </c>
    </row>
    <row r="1403" spans="1:5" x14ac:dyDescent="0.3">
      <c r="A1403" t="s">
        <v>448</v>
      </c>
      <c r="B1403">
        <v>2100101931</v>
      </c>
      <c r="C1403" t="s">
        <v>2409</v>
      </c>
      <c r="D1403" t="s">
        <v>2409</v>
      </c>
      <c r="E1403" t="str">
        <f t="shared" si="21"/>
        <v>Evrika2100101931</v>
      </c>
    </row>
    <row r="1404" spans="1:5" x14ac:dyDescent="0.3">
      <c r="A1404" t="s">
        <v>448</v>
      </c>
      <c r="B1404">
        <v>2100090226</v>
      </c>
      <c r="C1404" t="s">
        <v>2410</v>
      </c>
      <c r="D1404" t="s">
        <v>2410</v>
      </c>
      <c r="E1404" t="str">
        <f t="shared" si="21"/>
        <v>Evrika2100090226</v>
      </c>
    </row>
    <row r="1405" spans="1:5" x14ac:dyDescent="0.3">
      <c r="A1405" t="s">
        <v>448</v>
      </c>
      <c r="B1405">
        <v>2100090228</v>
      </c>
      <c r="C1405" t="s">
        <v>800</v>
      </c>
      <c r="D1405" t="s">
        <v>800</v>
      </c>
      <c r="E1405" t="str">
        <f t="shared" si="21"/>
        <v>Evrika2100090228</v>
      </c>
    </row>
    <row r="1406" spans="1:5" x14ac:dyDescent="0.3">
      <c r="A1406" t="s">
        <v>448</v>
      </c>
      <c r="B1406">
        <v>2100090229</v>
      </c>
      <c r="C1406" t="s">
        <v>2411</v>
      </c>
      <c r="D1406" t="s">
        <v>2411</v>
      </c>
      <c r="E1406" t="str">
        <f t="shared" si="21"/>
        <v>Evrika2100090229</v>
      </c>
    </row>
    <row r="1407" spans="1:5" x14ac:dyDescent="0.3">
      <c r="A1407" t="s">
        <v>448</v>
      </c>
      <c r="B1407">
        <v>2100090224</v>
      </c>
      <c r="C1407" t="s">
        <v>2412</v>
      </c>
      <c r="D1407" t="s">
        <v>2412</v>
      </c>
      <c r="E1407" t="str">
        <f t="shared" si="21"/>
        <v>Evrika2100090224</v>
      </c>
    </row>
    <row r="1408" spans="1:5" x14ac:dyDescent="0.3">
      <c r="A1408" t="s">
        <v>448</v>
      </c>
      <c r="B1408">
        <v>2100076153</v>
      </c>
      <c r="C1408" t="s">
        <v>2413</v>
      </c>
      <c r="D1408" t="s">
        <v>2413</v>
      </c>
      <c r="E1408" t="str">
        <f t="shared" si="21"/>
        <v>Evrika2100076153</v>
      </c>
    </row>
    <row r="1409" spans="1:5" x14ac:dyDescent="0.3">
      <c r="A1409" t="s">
        <v>448</v>
      </c>
      <c r="B1409">
        <v>2100093085</v>
      </c>
      <c r="C1409" t="s">
        <v>576</v>
      </c>
      <c r="D1409" t="s">
        <v>576</v>
      </c>
      <c r="E1409" t="str">
        <f t="shared" si="21"/>
        <v>Evrika2100093085</v>
      </c>
    </row>
    <row r="1410" spans="1:5" x14ac:dyDescent="0.3">
      <c r="A1410" t="s">
        <v>448</v>
      </c>
      <c r="B1410">
        <v>2100093086</v>
      </c>
      <c r="C1410" t="s">
        <v>1579</v>
      </c>
      <c r="D1410" t="s">
        <v>1579</v>
      </c>
      <c r="E1410" t="str">
        <f t="shared" si="21"/>
        <v>Evrika2100093086</v>
      </c>
    </row>
    <row r="1411" spans="1:5" x14ac:dyDescent="0.3">
      <c r="A1411" t="s">
        <v>448</v>
      </c>
      <c r="B1411">
        <v>7211004466</v>
      </c>
      <c r="C1411" t="s">
        <v>2414</v>
      </c>
      <c r="D1411" t="s">
        <v>2414</v>
      </c>
      <c r="E1411" t="str">
        <f t="shared" ref="E1411:E1474" si="22">A1411&amp;B1411</f>
        <v>Evrika7211004466</v>
      </c>
    </row>
    <row r="1412" spans="1:5" x14ac:dyDescent="0.3">
      <c r="A1412" t="s">
        <v>448</v>
      </c>
      <c r="B1412">
        <v>7211003968</v>
      </c>
      <c r="C1412" t="s">
        <v>47</v>
      </c>
      <c r="D1412" t="s">
        <v>47</v>
      </c>
      <c r="E1412" t="str">
        <f t="shared" si="22"/>
        <v>Evrika7211003968</v>
      </c>
    </row>
    <row r="1413" spans="1:5" x14ac:dyDescent="0.3">
      <c r="A1413" t="s">
        <v>448</v>
      </c>
      <c r="B1413">
        <v>7211003977</v>
      </c>
      <c r="C1413" t="s">
        <v>46</v>
      </c>
      <c r="D1413" t="s">
        <v>46</v>
      </c>
      <c r="E1413" t="str">
        <f t="shared" si="22"/>
        <v>Evrika7211003977</v>
      </c>
    </row>
    <row r="1414" spans="1:5" x14ac:dyDescent="0.3">
      <c r="A1414" t="s">
        <v>448</v>
      </c>
      <c r="B1414">
        <v>7211001597</v>
      </c>
      <c r="C1414" t="s">
        <v>1957</v>
      </c>
      <c r="D1414" t="s">
        <v>1957</v>
      </c>
      <c r="E1414" t="str">
        <f t="shared" si="22"/>
        <v>Evrika7211001597</v>
      </c>
    </row>
    <row r="1415" spans="1:5" x14ac:dyDescent="0.3">
      <c r="A1415" t="s">
        <v>448</v>
      </c>
      <c r="B1415">
        <v>1830006540</v>
      </c>
      <c r="C1415" t="s">
        <v>890</v>
      </c>
      <c r="D1415" t="s">
        <v>890</v>
      </c>
      <c r="E1415" t="str">
        <f t="shared" si="22"/>
        <v>Evrika1830006540</v>
      </c>
    </row>
    <row r="1416" spans="1:5" x14ac:dyDescent="0.3">
      <c r="A1416" t="s">
        <v>448</v>
      </c>
      <c r="B1416">
        <v>1830008504</v>
      </c>
      <c r="C1416" t="s">
        <v>1667</v>
      </c>
      <c r="D1416" t="s">
        <v>1667</v>
      </c>
      <c r="E1416" t="str">
        <f t="shared" si="22"/>
        <v>Evrika1830008504</v>
      </c>
    </row>
    <row r="1417" spans="1:5" x14ac:dyDescent="0.3">
      <c r="A1417" t="s">
        <v>448</v>
      </c>
      <c r="B1417">
        <v>1830006532</v>
      </c>
      <c r="C1417" t="s">
        <v>888</v>
      </c>
      <c r="D1417" t="s">
        <v>888</v>
      </c>
      <c r="E1417" t="str">
        <f t="shared" si="22"/>
        <v>Evrika1830006532</v>
      </c>
    </row>
    <row r="1418" spans="1:5" x14ac:dyDescent="0.3">
      <c r="A1418" t="s">
        <v>448</v>
      </c>
      <c r="B1418">
        <v>1830008508</v>
      </c>
      <c r="C1418" t="s">
        <v>1669</v>
      </c>
      <c r="D1418" t="s">
        <v>1669</v>
      </c>
      <c r="E1418" t="str">
        <f t="shared" si="22"/>
        <v>Evrika1830008508</v>
      </c>
    </row>
    <row r="1419" spans="1:5" x14ac:dyDescent="0.3">
      <c r="A1419" t="s">
        <v>448</v>
      </c>
      <c r="B1419">
        <v>1830007557</v>
      </c>
      <c r="C1419" t="s">
        <v>1413</v>
      </c>
      <c r="D1419" t="s">
        <v>1413</v>
      </c>
      <c r="E1419" t="str">
        <f t="shared" si="22"/>
        <v>Evrika1830007557</v>
      </c>
    </row>
    <row r="1420" spans="1:5" x14ac:dyDescent="0.3">
      <c r="A1420" t="s">
        <v>448</v>
      </c>
      <c r="B1420">
        <v>1830005197</v>
      </c>
      <c r="C1420" t="s">
        <v>529</v>
      </c>
      <c r="D1420" t="s">
        <v>529</v>
      </c>
      <c r="E1420" t="str">
        <f t="shared" si="22"/>
        <v>Evrika1830005197</v>
      </c>
    </row>
    <row r="1421" spans="1:5" x14ac:dyDescent="0.3">
      <c r="A1421" t="s">
        <v>448</v>
      </c>
      <c r="B1421">
        <v>1830008187</v>
      </c>
      <c r="C1421" t="s">
        <v>1409</v>
      </c>
      <c r="D1421" t="s">
        <v>1409</v>
      </c>
      <c r="E1421" t="str">
        <f t="shared" si="22"/>
        <v>Evrika1830008187</v>
      </c>
    </row>
    <row r="1422" spans="1:5" x14ac:dyDescent="0.3">
      <c r="A1422" t="s">
        <v>448</v>
      </c>
      <c r="B1422">
        <v>1830007933</v>
      </c>
      <c r="C1422" t="s">
        <v>98</v>
      </c>
      <c r="D1422" t="s">
        <v>98</v>
      </c>
      <c r="E1422" t="str">
        <f t="shared" si="22"/>
        <v>Evrika1830007933</v>
      </c>
    </row>
    <row r="1423" spans="1:5" x14ac:dyDescent="0.3">
      <c r="A1423" t="s">
        <v>448</v>
      </c>
      <c r="B1423">
        <v>1830006536</v>
      </c>
      <c r="C1423" t="s">
        <v>1415</v>
      </c>
      <c r="D1423" t="s">
        <v>1415</v>
      </c>
      <c r="E1423" t="str">
        <f t="shared" si="22"/>
        <v>Evrika1830006536</v>
      </c>
    </row>
    <row r="1424" spans="1:5" x14ac:dyDescent="0.3">
      <c r="A1424" t="s">
        <v>448</v>
      </c>
      <c r="B1424">
        <v>1830007105</v>
      </c>
      <c r="C1424" t="s">
        <v>355</v>
      </c>
      <c r="D1424" t="s">
        <v>355</v>
      </c>
      <c r="E1424" t="str">
        <f t="shared" si="22"/>
        <v>Evrika1830007105</v>
      </c>
    </row>
    <row r="1425" spans="1:5" x14ac:dyDescent="0.3">
      <c r="A1425" t="s">
        <v>448</v>
      </c>
      <c r="B1425">
        <v>1830005847</v>
      </c>
      <c r="C1425" t="s">
        <v>909</v>
      </c>
      <c r="D1425" t="s">
        <v>909</v>
      </c>
      <c r="E1425" t="str">
        <f t="shared" si="22"/>
        <v>Evrika1830005847</v>
      </c>
    </row>
    <row r="1426" spans="1:5" x14ac:dyDescent="0.3">
      <c r="A1426" t="s">
        <v>448</v>
      </c>
      <c r="B1426">
        <v>1830006133</v>
      </c>
      <c r="C1426" t="s">
        <v>2415</v>
      </c>
      <c r="D1426" t="s">
        <v>2415</v>
      </c>
      <c r="E1426" t="str">
        <f t="shared" si="22"/>
        <v>Evrika1830006133</v>
      </c>
    </row>
    <row r="1427" spans="1:5" x14ac:dyDescent="0.3">
      <c r="A1427" t="s">
        <v>448</v>
      </c>
      <c r="B1427">
        <v>1830006274</v>
      </c>
      <c r="C1427" t="s">
        <v>923</v>
      </c>
      <c r="D1427" t="s">
        <v>923</v>
      </c>
      <c r="E1427" t="str">
        <f t="shared" si="22"/>
        <v>Evrika1830006274</v>
      </c>
    </row>
    <row r="1428" spans="1:5" x14ac:dyDescent="0.3">
      <c r="A1428" t="s">
        <v>448</v>
      </c>
      <c r="B1428">
        <v>1830008521</v>
      </c>
      <c r="C1428" t="s">
        <v>1651</v>
      </c>
      <c r="D1428" t="s">
        <v>1651</v>
      </c>
      <c r="E1428" t="str">
        <f t="shared" si="22"/>
        <v>Evrika1830008521</v>
      </c>
    </row>
    <row r="1429" spans="1:5" x14ac:dyDescent="0.3">
      <c r="A1429" t="s">
        <v>448</v>
      </c>
      <c r="B1429">
        <v>1830006273</v>
      </c>
      <c r="C1429" t="s">
        <v>704</v>
      </c>
      <c r="D1429" t="s">
        <v>704</v>
      </c>
      <c r="E1429" t="str">
        <f t="shared" si="22"/>
        <v>Evrika1830006273</v>
      </c>
    </row>
    <row r="1430" spans="1:5" x14ac:dyDescent="0.3">
      <c r="A1430" t="s">
        <v>448</v>
      </c>
      <c r="B1430">
        <v>1830007299</v>
      </c>
      <c r="C1430" t="s">
        <v>96</v>
      </c>
      <c r="D1430" t="s">
        <v>96</v>
      </c>
      <c r="E1430" t="str">
        <f t="shared" si="22"/>
        <v>Evrika1830007299</v>
      </c>
    </row>
    <row r="1431" spans="1:5" x14ac:dyDescent="0.3">
      <c r="A1431" t="s">
        <v>448</v>
      </c>
      <c r="B1431">
        <v>7211003998</v>
      </c>
      <c r="C1431" t="s">
        <v>2416</v>
      </c>
      <c r="D1431" t="s">
        <v>2416</v>
      </c>
      <c r="E1431" t="str">
        <f t="shared" si="22"/>
        <v>Evrika7211003998</v>
      </c>
    </row>
    <row r="1432" spans="1:5" x14ac:dyDescent="0.3">
      <c r="A1432" t="s">
        <v>448</v>
      </c>
      <c r="B1432">
        <v>1830005679</v>
      </c>
      <c r="C1432" t="s">
        <v>1894</v>
      </c>
      <c r="D1432" t="s">
        <v>2417</v>
      </c>
      <c r="E1432" t="str">
        <f t="shared" si="22"/>
        <v>Evrika1830005679</v>
      </c>
    </row>
    <row r="1433" spans="1:5" x14ac:dyDescent="0.3">
      <c r="A1433" t="s">
        <v>448</v>
      </c>
      <c r="B1433">
        <v>1830006695</v>
      </c>
      <c r="C1433" t="s">
        <v>1896</v>
      </c>
      <c r="D1433" t="s">
        <v>1896</v>
      </c>
      <c r="E1433" t="str">
        <f t="shared" si="22"/>
        <v>Evrika1830006695</v>
      </c>
    </row>
    <row r="1434" spans="1:5" x14ac:dyDescent="0.3">
      <c r="A1434" t="s">
        <v>448</v>
      </c>
      <c r="B1434">
        <v>1830007040</v>
      </c>
      <c r="C1434" t="s">
        <v>1069</v>
      </c>
      <c r="D1434" t="s">
        <v>1069</v>
      </c>
      <c r="E1434" t="str">
        <f t="shared" si="22"/>
        <v>Evrika1830007040</v>
      </c>
    </row>
    <row r="1435" spans="1:5" x14ac:dyDescent="0.3">
      <c r="A1435" t="s">
        <v>448</v>
      </c>
      <c r="B1435">
        <v>1830008469</v>
      </c>
      <c r="C1435" t="s">
        <v>2418</v>
      </c>
      <c r="D1435" t="s">
        <v>2418</v>
      </c>
      <c r="E1435" t="str">
        <f t="shared" si="22"/>
        <v>Evrika1830008469</v>
      </c>
    </row>
    <row r="1436" spans="1:5" x14ac:dyDescent="0.3">
      <c r="A1436" t="s">
        <v>448</v>
      </c>
      <c r="B1436">
        <v>1830005706</v>
      </c>
      <c r="C1436" t="s">
        <v>1005</v>
      </c>
      <c r="D1436" t="s">
        <v>1005</v>
      </c>
      <c r="E1436" t="str">
        <f t="shared" si="22"/>
        <v>Evrika1830005706</v>
      </c>
    </row>
    <row r="1437" spans="1:5" x14ac:dyDescent="0.3">
      <c r="A1437" t="s">
        <v>448</v>
      </c>
      <c r="B1437">
        <v>1830008458</v>
      </c>
      <c r="C1437" t="s">
        <v>1643</v>
      </c>
      <c r="D1437" t="s">
        <v>1643</v>
      </c>
      <c r="E1437" t="str">
        <f t="shared" si="22"/>
        <v>Evrika1830008458</v>
      </c>
    </row>
    <row r="1438" spans="1:5" x14ac:dyDescent="0.3">
      <c r="A1438" t="s">
        <v>448</v>
      </c>
      <c r="B1438">
        <v>1830007734</v>
      </c>
      <c r="C1438" t="s">
        <v>2419</v>
      </c>
      <c r="D1438" t="s">
        <v>2419</v>
      </c>
      <c r="E1438" t="str">
        <f t="shared" si="22"/>
        <v>Evrika1830007734</v>
      </c>
    </row>
    <row r="1439" spans="1:5" x14ac:dyDescent="0.3">
      <c r="A1439" t="s">
        <v>448</v>
      </c>
      <c r="B1439">
        <v>1830007697</v>
      </c>
      <c r="C1439" t="s">
        <v>1174</v>
      </c>
      <c r="D1439" t="s">
        <v>1174</v>
      </c>
      <c r="E1439" t="str">
        <f t="shared" si="22"/>
        <v>Evrika1830007697</v>
      </c>
    </row>
    <row r="1440" spans="1:5" x14ac:dyDescent="0.3">
      <c r="A1440" t="s">
        <v>448</v>
      </c>
      <c r="B1440">
        <v>1830008506</v>
      </c>
      <c r="C1440" t="s">
        <v>1639</v>
      </c>
      <c r="D1440" t="s">
        <v>1639</v>
      </c>
      <c r="E1440" t="str">
        <f t="shared" si="22"/>
        <v>Evrika1830008506</v>
      </c>
    </row>
    <row r="1441" spans="1:5" x14ac:dyDescent="0.3">
      <c r="A1441" t="s">
        <v>448</v>
      </c>
      <c r="B1441">
        <v>1830007804</v>
      </c>
      <c r="C1441" t="s">
        <v>1419</v>
      </c>
      <c r="D1441" t="s">
        <v>1419</v>
      </c>
      <c r="E1441" t="str">
        <f t="shared" si="22"/>
        <v>Evrika1830007804</v>
      </c>
    </row>
    <row r="1442" spans="1:5" x14ac:dyDescent="0.3">
      <c r="A1442" t="s">
        <v>448</v>
      </c>
      <c r="B1442">
        <v>1830007565</v>
      </c>
      <c r="C1442" t="s">
        <v>1170</v>
      </c>
      <c r="D1442" t="s">
        <v>1170</v>
      </c>
      <c r="E1442" t="str">
        <f t="shared" si="22"/>
        <v>Evrika1830007565</v>
      </c>
    </row>
    <row r="1443" spans="1:5" x14ac:dyDescent="0.3">
      <c r="A1443" t="s">
        <v>448</v>
      </c>
      <c r="B1443">
        <v>1830005749</v>
      </c>
      <c r="C1443" t="s">
        <v>696</v>
      </c>
      <c r="D1443" t="s">
        <v>696</v>
      </c>
      <c r="E1443" t="str">
        <f t="shared" si="22"/>
        <v>Evrika1830005749</v>
      </c>
    </row>
    <row r="1444" spans="1:5" x14ac:dyDescent="0.3">
      <c r="A1444" t="s">
        <v>448</v>
      </c>
      <c r="B1444">
        <v>1830005488</v>
      </c>
      <c r="C1444" t="s">
        <v>886</v>
      </c>
      <c r="D1444" t="s">
        <v>886</v>
      </c>
      <c r="E1444" t="str">
        <f t="shared" si="22"/>
        <v>Evrika1830005488</v>
      </c>
    </row>
    <row r="1445" spans="1:5" x14ac:dyDescent="0.3">
      <c r="A1445" t="s">
        <v>448</v>
      </c>
      <c r="B1445">
        <v>1830005420</v>
      </c>
      <c r="C1445" t="s">
        <v>1011</v>
      </c>
      <c r="D1445" t="s">
        <v>1011</v>
      </c>
      <c r="E1445" t="str">
        <f t="shared" si="22"/>
        <v>Evrika1830005420</v>
      </c>
    </row>
    <row r="1446" spans="1:5" x14ac:dyDescent="0.3">
      <c r="A1446" t="s">
        <v>448</v>
      </c>
      <c r="B1446">
        <v>1830008554</v>
      </c>
      <c r="C1446" t="s">
        <v>1635</v>
      </c>
      <c r="D1446" t="s">
        <v>1635</v>
      </c>
      <c r="E1446" t="str">
        <f t="shared" si="22"/>
        <v>Evrika1830008554</v>
      </c>
    </row>
    <row r="1447" spans="1:5" x14ac:dyDescent="0.3">
      <c r="A1447" t="s">
        <v>448</v>
      </c>
      <c r="B1447">
        <v>1830008557</v>
      </c>
      <c r="C1447" t="s">
        <v>1631</v>
      </c>
      <c r="D1447" t="s">
        <v>1631</v>
      </c>
      <c r="E1447" t="str">
        <f t="shared" si="22"/>
        <v>Evrika1830008557</v>
      </c>
    </row>
    <row r="1448" spans="1:5" x14ac:dyDescent="0.3">
      <c r="A1448" t="s">
        <v>448</v>
      </c>
      <c r="B1448">
        <v>1830008144</v>
      </c>
      <c r="C1448" t="s">
        <v>97</v>
      </c>
      <c r="D1448" t="s">
        <v>97</v>
      </c>
      <c r="E1448" t="str">
        <f t="shared" si="22"/>
        <v>Evrika1830008144</v>
      </c>
    </row>
    <row r="1449" spans="1:5" x14ac:dyDescent="0.3">
      <c r="A1449" t="s">
        <v>448</v>
      </c>
      <c r="B1449">
        <v>1830006723</v>
      </c>
      <c r="C1449" t="s">
        <v>911</v>
      </c>
      <c r="D1449" t="s">
        <v>911</v>
      </c>
      <c r="E1449" t="str">
        <f t="shared" si="22"/>
        <v>Evrika1830006723</v>
      </c>
    </row>
    <row r="1450" spans="1:5" x14ac:dyDescent="0.3">
      <c r="A1450" t="s">
        <v>448</v>
      </c>
      <c r="B1450">
        <v>1830007626</v>
      </c>
      <c r="C1450" t="s">
        <v>94</v>
      </c>
      <c r="D1450" t="s">
        <v>94</v>
      </c>
      <c r="E1450" t="str">
        <f t="shared" si="22"/>
        <v>Evrika1830007626</v>
      </c>
    </row>
    <row r="1451" spans="1:5" x14ac:dyDescent="0.3">
      <c r="A1451" t="s">
        <v>448</v>
      </c>
      <c r="B1451">
        <v>7211003399</v>
      </c>
      <c r="C1451" t="s">
        <v>50</v>
      </c>
      <c r="D1451" t="s">
        <v>50</v>
      </c>
      <c r="E1451" t="str">
        <f t="shared" si="22"/>
        <v>Evrika7211003399</v>
      </c>
    </row>
    <row r="1452" spans="1:5" x14ac:dyDescent="0.3">
      <c r="A1452" t="s">
        <v>448</v>
      </c>
      <c r="B1452">
        <v>7211004348</v>
      </c>
      <c r="C1452" t="s">
        <v>1960</v>
      </c>
      <c r="D1452" t="s">
        <v>1960</v>
      </c>
      <c r="E1452" t="str">
        <f t="shared" si="22"/>
        <v>Evrika7211004348</v>
      </c>
    </row>
    <row r="1453" spans="1:5" x14ac:dyDescent="0.3">
      <c r="A1453" t="s">
        <v>448</v>
      </c>
      <c r="B1453">
        <v>1110020257</v>
      </c>
      <c r="C1453" t="s">
        <v>455</v>
      </c>
      <c r="D1453" t="s">
        <v>455</v>
      </c>
      <c r="E1453" t="str">
        <f t="shared" si="22"/>
        <v>Evrika1110020257</v>
      </c>
    </row>
    <row r="1454" spans="1:5" x14ac:dyDescent="0.3">
      <c r="A1454" t="s">
        <v>448</v>
      </c>
      <c r="B1454">
        <v>7211003955</v>
      </c>
      <c r="C1454" t="s">
        <v>1244</v>
      </c>
      <c r="D1454" t="s">
        <v>1244</v>
      </c>
      <c r="E1454" t="str">
        <f t="shared" si="22"/>
        <v>Evrika7211003955</v>
      </c>
    </row>
    <row r="1455" spans="1:5" x14ac:dyDescent="0.3">
      <c r="A1455" t="s">
        <v>448</v>
      </c>
      <c r="B1455">
        <v>7211002803</v>
      </c>
      <c r="C1455" t="s">
        <v>1141</v>
      </c>
      <c r="D1455" t="s">
        <v>1141</v>
      </c>
      <c r="E1455" t="str">
        <f t="shared" si="22"/>
        <v>Evrika7211002803</v>
      </c>
    </row>
    <row r="1456" spans="1:5" x14ac:dyDescent="0.3">
      <c r="A1456" t="s">
        <v>448</v>
      </c>
      <c r="B1456">
        <v>7211004046</v>
      </c>
      <c r="C1456" t="s">
        <v>1335</v>
      </c>
      <c r="D1456" t="s">
        <v>1335</v>
      </c>
      <c r="E1456" t="str">
        <f t="shared" si="22"/>
        <v>Evrika7211004046</v>
      </c>
    </row>
    <row r="1457" spans="1:5" x14ac:dyDescent="0.3">
      <c r="A1457" t="s">
        <v>448</v>
      </c>
      <c r="B1457">
        <v>7211002492</v>
      </c>
      <c r="C1457" t="s">
        <v>2125</v>
      </c>
      <c r="D1457" t="s">
        <v>2125</v>
      </c>
      <c r="E1457" t="str">
        <f t="shared" si="22"/>
        <v>Evrika7211002492</v>
      </c>
    </row>
    <row r="1458" spans="1:5" x14ac:dyDescent="0.3">
      <c r="A1458" t="s">
        <v>448</v>
      </c>
      <c r="B1458">
        <v>7211002491</v>
      </c>
      <c r="C1458" t="s">
        <v>600</v>
      </c>
      <c r="D1458" t="s">
        <v>600</v>
      </c>
      <c r="E1458" t="str">
        <f t="shared" si="22"/>
        <v>Evrika7211002491</v>
      </c>
    </row>
    <row r="1459" spans="1:5" x14ac:dyDescent="0.3">
      <c r="A1459" t="s">
        <v>448</v>
      </c>
      <c r="B1459">
        <v>7211003316</v>
      </c>
      <c r="C1459" t="s">
        <v>60</v>
      </c>
      <c r="D1459" t="s">
        <v>60</v>
      </c>
      <c r="E1459" t="str">
        <f t="shared" si="22"/>
        <v>Evrika7211003316</v>
      </c>
    </row>
    <row r="1460" spans="1:5" x14ac:dyDescent="0.3">
      <c r="A1460" t="s">
        <v>448</v>
      </c>
      <c r="B1460">
        <v>7211002825</v>
      </c>
      <c r="C1460" t="s">
        <v>1337</v>
      </c>
      <c r="D1460" t="s">
        <v>1337</v>
      </c>
      <c r="E1460" t="str">
        <f t="shared" si="22"/>
        <v>Evrika7211002825</v>
      </c>
    </row>
    <row r="1461" spans="1:5" x14ac:dyDescent="0.3">
      <c r="A1461" t="s">
        <v>448</v>
      </c>
      <c r="B1461">
        <v>7211003925</v>
      </c>
      <c r="C1461" t="s">
        <v>59</v>
      </c>
      <c r="D1461" t="s">
        <v>59</v>
      </c>
      <c r="E1461" t="str">
        <f t="shared" si="22"/>
        <v>Evrika7211003925</v>
      </c>
    </row>
    <row r="1462" spans="1:5" x14ac:dyDescent="0.3">
      <c r="A1462" t="s">
        <v>448</v>
      </c>
      <c r="B1462">
        <v>7211004274</v>
      </c>
      <c r="C1462" t="s">
        <v>53</v>
      </c>
      <c r="D1462" t="s">
        <v>53</v>
      </c>
      <c r="E1462" t="str">
        <f t="shared" si="22"/>
        <v>Evrika7211004274</v>
      </c>
    </row>
    <row r="1463" spans="1:5" x14ac:dyDescent="0.3">
      <c r="A1463" t="s">
        <v>448</v>
      </c>
      <c r="B1463">
        <v>7211004054</v>
      </c>
      <c r="C1463" t="s">
        <v>58</v>
      </c>
      <c r="D1463" t="s">
        <v>58</v>
      </c>
      <c r="E1463" t="str">
        <f t="shared" si="22"/>
        <v>Evrika7211004054</v>
      </c>
    </row>
    <row r="1464" spans="1:5" x14ac:dyDescent="0.3">
      <c r="A1464" t="s">
        <v>448</v>
      </c>
      <c r="B1464">
        <v>1830007750</v>
      </c>
      <c r="C1464" t="s">
        <v>1090</v>
      </c>
      <c r="D1464" t="s">
        <v>1090</v>
      </c>
      <c r="E1464" t="str">
        <f t="shared" si="22"/>
        <v>Evrika1830007750</v>
      </c>
    </row>
    <row r="1465" spans="1:5" x14ac:dyDescent="0.3">
      <c r="A1465" t="s">
        <v>448</v>
      </c>
      <c r="B1465">
        <v>1830008419</v>
      </c>
      <c r="C1465" t="s">
        <v>2420</v>
      </c>
      <c r="D1465" t="s">
        <v>2420</v>
      </c>
      <c r="E1465" t="str">
        <f t="shared" si="22"/>
        <v>Evrika1830008419</v>
      </c>
    </row>
    <row r="1466" spans="1:5" x14ac:dyDescent="0.3">
      <c r="A1466" t="s">
        <v>448</v>
      </c>
      <c r="B1466">
        <v>1830007268</v>
      </c>
      <c r="C1466" t="s">
        <v>2421</v>
      </c>
      <c r="D1466" t="s">
        <v>2421</v>
      </c>
      <c r="E1466" t="str">
        <f t="shared" si="22"/>
        <v>Evrika1830007268</v>
      </c>
    </row>
    <row r="1467" spans="1:5" x14ac:dyDescent="0.3">
      <c r="A1467" t="s">
        <v>448</v>
      </c>
      <c r="B1467">
        <v>1110030468</v>
      </c>
      <c r="C1467" t="s">
        <v>843</v>
      </c>
      <c r="D1467" t="s">
        <v>843</v>
      </c>
      <c r="E1467" t="str">
        <f t="shared" si="22"/>
        <v>Evrika1110030468</v>
      </c>
    </row>
    <row r="1468" spans="1:5" x14ac:dyDescent="0.3">
      <c r="A1468" t="s">
        <v>448</v>
      </c>
      <c r="B1468">
        <v>1110031158</v>
      </c>
      <c r="C1468" t="s">
        <v>1094</v>
      </c>
      <c r="D1468" t="s">
        <v>1094</v>
      </c>
      <c r="E1468" t="str">
        <f t="shared" si="22"/>
        <v>Evrika1110031158</v>
      </c>
    </row>
    <row r="1469" spans="1:5" x14ac:dyDescent="0.3">
      <c r="A1469" t="s">
        <v>448</v>
      </c>
      <c r="B1469">
        <v>1110031673</v>
      </c>
      <c r="C1469" t="s">
        <v>2422</v>
      </c>
      <c r="D1469" t="s">
        <v>2422</v>
      </c>
      <c r="E1469" t="str">
        <f t="shared" si="22"/>
        <v>Evrika1110031673</v>
      </c>
    </row>
    <row r="1470" spans="1:5" x14ac:dyDescent="0.3">
      <c r="A1470" t="s">
        <v>448</v>
      </c>
      <c r="B1470">
        <v>2100116548</v>
      </c>
      <c r="C1470" t="s">
        <v>2423</v>
      </c>
      <c r="D1470" t="s">
        <v>2423</v>
      </c>
      <c r="E1470" t="str">
        <f t="shared" si="22"/>
        <v>Evrika2100116548</v>
      </c>
    </row>
    <row r="1471" spans="1:5" x14ac:dyDescent="0.3">
      <c r="A1471" t="s">
        <v>448</v>
      </c>
      <c r="B1471">
        <v>2100116546</v>
      </c>
      <c r="C1471" t="s">
        <v>2424</v>
      </c>
      <c r="D1471" t="s">
        <v>2424</v>
      </c>
      <c r="E1471" t="str">
        <f t="shared" si="22"/>
        <v>Evrika2100116546</v>
      </c>
    </row>
    <row r="1472" spans="1:5" x14ac:dyDescent="0.3">
      <c r="A1472" t="s">
        <v>448</v>
      </c>
      <c r="B1472">
        <v>2100112845</v>
      </c>
      <c r="C1472" t="s">
        <v>2425</v>
      </c>
      <c r="D1472" t="s">
        <v>2425</v>
      </c>
      <c r="E1472" t="str">
        <f t="shared" si="22"/>
        <v>Evrika2100112845</v>
      </c>
    </row>
    <row r="1473" spans="1:5" x14ac:dyDescent="0.3">
      <c r="A1473" t="s">
        <v>448</v>
      </c>
      <c r="B1473">
        <v>2100112843</v>
      </c>
      <c r="C1473" t="s">
        <v>2426</v>
      </c>
      <c r="D1473" t="s">
        <v>2426</v>
      </c>
      <c r="E1473" t="str">
        <f t="shared" si="22"/>
        <v>Evrika2100112843</v>
      </c>
    </row>
    <row r="1474" spans="1:5" x14ac:dyDescent="0.3">
      <c r="A1474" t="s">
        <v>448</v>
      </c>
      <c r="B1474">
        <v>2100118828</v>
      </c>
      <c r="C1474" t="s">
        <v>1567</v>
      </c>
      <c r="D1474" t="s">
        <v>1567</v>
      </c>
      <c r="E1474" t="str">
        <f t="shared" si="22"/>
        <v>Evrika2100118828</v>
      </c>
    </row>
    <row r="1475" spans="1:5" x14ac:dyDescent="0.3">
      <c r="A1475" t="s">
        <v>448</v>
      </c>
      <c r="B1475">
        <v>2100124606</v>
      </c>
      <c r="C1475" t="s">
        <v>86</v>
      </c>
      <c r="D1475" t="s">
        <v>86</v>
      </c>
      <c r="E1475" t="str">
        <f t="shared" ref="E1475:E1538" si="23">A1475&amp;B1475</f>
        <v>Evrika2100124606</v>
      </c>
    </row>
    <row r="1476" spans="1:5" x14ac:dyDescent="0.3">
      <c r="A1476" t="s">
        <v>448</v>
      </c>
      <c r="B1476">
        <v>2100112991</v>
      </c>
      <c r="C1476" t="s">
        <v>948</v>
      </c>
      <c r="D1476" t="s">
        <v>948</v>
      </c>
      <c r="E1476" t="str">
        <f t="shared" si="23"/>
        <v>Evrika2100112991</v>
      </c>
    </row>
    <row r="1477" spans="1:5" x14ac:dyDescent="0.3">
      <c r="A1477" t="s">
        <v>448</v>
      </c>
      <c r="B1477">
        <v>8000035748</v>
      </c>
      <c r="C1477" t="s">
        <v>867</v>
      </c>
      <c r="D1477" t="s">
        <v>2427</v>
      </c>
      <c r="E1477" t="str">
        <f t="shared" si="23"/>
        <v>Evrika8000035748</v>
      </c>
    </row>
    <row r="1478" spans="1:5" x14ac:dyDescent="0.3">
      <c r="A1478" t="s">
        <v>448</v>
      </c>
      <c r="B1478">
        <v>8010000986</v>
      </c>
      <c r="C1478" t="s">
        <v>75</v>
      </c>
      <c r="D1478" t="s">
        <v>75</v>
      </c>
      <c r="E1478" t="str">
        <f t="shared" si="23"/>
        <v>Evrika8010000986</v>
      </c>
    </row>
    <row r="1479" spans="1:5" x14ac:dyDescent="0.3">
      <c r="A1479" t="s">
        <v>448</v>
      </c>
      <c r="B1479">
        <v>1830005404</v>
      </c>
      <c r="C1479" t="s">
        <v>2428</v>
      </c>
      <c r="D1479" t="s">
        <v>2428</v>
      </c>
      <c r="E1479" t="str">
        <f t="shared" si="23"/>
        <v>Evrika1830005404</v>
      </c>
    </row>
    <row r="1480" spans="1:5" x14ac:dyDescent="0.3">
      <c r="A1480" t="s">
        <v>448</v>
      </c>
      <c r="B1480">
        <v>1830005402</v>
      </c>
      <c r="C1480" t="s">
        <v>2429</v>
      </c>
      <c r="D1480" t="s">
        <v>2429</v>
      </c>
      <c r="E1480" t="str">
        <f t="shared" si="23"/>
        <v>Evrika1830005402</v>
      </c>
    </row>
    <row r="1481" spans="1:5" x14ac:dyDescent="0.3">
      <c r="A1481" t="s">
        <v>448</v>
      </c>
      <c r="B1481">
        <v>1830007977</v>
      </c>
      <c r="C1481" t="s">
        <v>1371</v>
      </c>
      <c r="D1481" t="s">
        <v>1371</v>
      </c>
      <c r="E1481" t="str">
        <f t="shared" si="23"/>
        <v>Evrika1830007977</v>
      </c>
    </row>
    <row r="1482" spans="1:5" x14ac:dyDescent="0.3">
      <c r="A1482" t="s">
        <v>448</v>
      </c>
      <c r="B1482">
        <v>1830006895</v>
      </c>
      <c r="C1482" t="s">
        <v>2430</v>
      </c>
      <c r="D1482" t="s">
        <v>2430</v>
      </c>
      <c r="E1482" t="str">
        <f t="shared" si="23"/>
        <v>Evrika1830006895</v>
      </c>
    </row>
    <row r="1483" spans="1:5" x14ac:dyDescent="0.3">
      <c r="A1483" t="s">
        <v>448</v>
      </c>
      <c r="B1483">
        <v>1830007954</v>
      </c>
      <c r="C1483" t="s">
        <v>2431</v>
      </c>
      <c r="D1483" t="s">
        <v>2431</v>
      </c>
      <c r="E1483" t="str">
        <f t="shared" si="23"/>
        <v>Evrika1830007954</v>
      </c>
    </row>
    <row r="1484" spans="1:5" x14ac:dyDescent="0.3">
      <c r="A1484" t="s">
        <v>448</v>
      </c>
      <c r="B1484">
        <v>1830008007</v>
      </c>
      <c r="C1484" t="s">
        <v>550</v>
      </c>
      <c r="D1484" t="s">
        <v>550</v>
      </c>
      <c r="E1484" t="str">
        <f t="shared" si="23"/>
        <v>Evrika1830008007</v>
      </c>
    </row>
    <row r="1485" spans="1:5" x14ac:dyDescent="0.3">
      <c r="A1485" t="s">
        <v>448</v>
      </c>
      <c r="B1485">
        <v>1830007952</v>
      </c>
      <c r="C1485" t="s">
        <v>552</v>
      </c>
      <c r="D1485" t="s">
        <v>552</v>
      </c>
      <c r="E1485" t="str">
        <f t="shared" si="23"/>
        <v>Evrika1830007952</v>
      </c>
    </row>
    <row r="1486" spans="1:5" x14ac:dyDescent="0.3">
      <c r="A1486" t="s">
        <v>448</v>
      </c>
      <c r="B1486">
        <v>1830006342</v>
      </c>
      <c r="C1486" t="s">
        <v>2432</v>
      </c>
      <c r="D1486" t="s">
        <v>2432</v>
      </c>
      <c r="E1486" t="str">
        <f t="shared" si="23"/>
        <v>Evrika1830006342</v>
      </c>
    </row>
    <row r="1487" spans="1:5" x14ac:dyDescent="0.3">
      <c r="A1487" t="s">
        <v>448</v>
      </c>
      <c r="B1487">
        <v>8010000601</v>
      </c>
      <c r="C1487" t="s">
        <v>1657</v>
      </c>
      <c r="D1487" t="s">
        <v>1657</v>
      </c>
      <c r="E1487" t="str">
        <f t="shared" si="23"/>
        <v>Evrika8010000601</v>
      </c>
    </row>
    <row r="1488" spans="1:5" x14ac:dyDescent="0.3">
      <c r="A1488" t="s">
        <v>448</v>
      </c>
      <c r="B1488">
        <v>7211003515</v>
      </c>
      <c r="C1488" t="s">
        <v>2433</v>
      </c>
      <c r="D1488" t="s">
        <v>2433</v>
      </c>
      <c r="E1488" t="str">
        <f t="shared" si="23"/>
        <v>Evrika7211003515</v>
      </c>
    </row>
    <row r="1489" spans="1:5" x14ac:dyDescent="0.3">
      <c r="A1489" t="s">
        <v>448</v>
      </c>
      <c r="B1489">
        <v>7211003983</v>
      </c>
      <c r="C1489" t="s">
        <v>1436</v>
      </c>
      <c r="D1489" t="s">
        <v>1436</v>
      </c>
      <c r="E1489" t="str">
        <f t="shared" si="23"/>
        <v>Evrika7211003983</v>
      </c>
    </row>
    <row r="1490" spans="1:5" x14ac:dyDescent="0.3">
      <c r="A1490" t="s">
        <v>448</v>
      </c>
      <c r="B1490">
        <v>7211004057</v>
      </c>
      <c r="C1490" t="s">
        <v>2434</v>
      </c>
      <c r="D1490" t="s">
        <v>2434</v>
      </c>
      <c r="E1490" t="str">
        <f t="shared" si="23"/>
        <v>Evrika7211004057</v>
      </c>
    </row>
    <row r="1491" spans="1:5" x14ac:dyDescent="0.3">
      <c r="A1491" t="s">
        <v>448</v>
      </c>
      <c r="B1491">
        <v>1830006582</v>
      </c>
      <c r="C1491" t="s">
        <v>1084</v>
      </c>
      <c r="D1491" t="s">
        <v>1084</v>
      </c>
      <c r="E1491" t="str">
        <f t="shared" si="23"/>
        <v>Evrika1830006582</v>
      </c>
    </row>
    <row r="1492" spans="1:5" x14ac:dyDescent="0.3">
      <c r="A1492" t="s">
        <v>448</v>
      </c>
      <c r="B1492">
        <v>1830007075</v>
      </c>
      <c r="C1492" t="s">
        <v>878</v>
      </c>
      <c r="D1492" t="s">
        <v>878</v>
      </c>
      <c r="E1492" t="str">
        <f t="shared" si="23"/>
        <v>Evrika1830007075</v>
      </c>
    </row>
    <row r="1493" spans="1:5" x14ac:dyDescent="0.3">
      <c r="A1493" t="s">
        <v>448</v>
      </c>
      <c r="B1493">
        <v>1830008194</v>
      </c>
      <c r="C1493" t="s">
        <v>1355</v>
      </c>
      <c r="D1493" t="s">
        <v>1355</v>
      </c>
      <c r="E1493" t="str">
        <f t="shared" si="23"/>
        <v>Evrika1830008194</v>
      </c>
    </row>
    <row r="1494" spans="1:5" x14ac:dyDescent="0.3">
      <c r="A1494" t="s">
        <v>448</v>
      </c>
      <c r="B1494">
        <v>1830008195</v>
      </c>
      <c r="C1494" t="s">
        <v>1351</v>
      </c>
      <c r="D1494" t="s">
        <v>1351</v>
      </c>
      <c r="E1494" t="str">
        <f t="shared" si="23"/>
        <v>Evrika1830008195</v>
      </c>
    </row>
    <row r="1495" spans="1:5" x14ac:dyDescent="0.3">
      <c r="A1495" t="s">
        <v>448</v>
      </c>
      <c r="B1495">
        <v>1830008199</v>
      </c>
      <c r="C1495" t="s">
        <v>1347</v>
      </c>
      <c r="D1495" t="s">
        <v>1347</v>
      </c>
      <c r="E1495" t="str">
        <f t="shared" si="23"/>
        <v>Evrika1830008199</v>
      </c>
    </row>
    <row r="1496" spans="1:5" x14ac:dyDescent="0.3">
      <c r="A1496" t="s">
        <v>448</v>
      </c>
      <c r="B1496">
        <v>1830008200</v>
      </c>
      <c r="C1496" t="s">
        <v>1349</v>
      </c>
      <c r="D1496" t="s">
        <v>1349</v>
      </c>
      <c r="E1496" t="str">
        <f t="shared" si="23"/>
        <v>Evrika1830008200</v>
      </c>
    </row>
    <row r="1497" spans="1:5" x14ac:dyDescent="0.3">
      <c r="A1497" t="s">
        <v>448</v>
      </c>
      <c r="B1497">
        <v>1830007580</v>
      </c>
      <c r="C1497" t="s">
        <v>2435</v>
      </c>
      <c r="D1497" t="s">
        <v>2435</v>
      </c>
      <c r="E1497" t="str">
        <f t="shared" si="23"/>
        <v>Evrika1830007580</v>
      </c>
    </row>
    <row r="1498" spans="1:5" x14ac:dyDescent="0.3">
      <c r="A1498" t="s">
        <v>448</v>
      </c>
      <c r="B1498">
        <v>1830007486</v>
      </c>
      <c r="C1498" t="s">
        <v>2436</v>
      </c>
      <c r="D1498" t="s">
        <v>2436</v>
      </c>
      <c r="E1498" t="str">
        <f t="shared" si="23"/>
        <v>Evrika1830007486</v>
      </c>
    </row>
    <row r="1499" spans="1:5" x14ac:dyDescent="0.3">
      <c r="A1499" t="s">
        <v>448</v>
      </c>
      <c r="B1499">
        <v>1830006436</v>
      </c>
      <c r="C1499" t="s">
        <v>2264</v>
      </c>
      <c r="D1499" t="s">
        <v>2264</v>
      </c>
      <c r="E1499" t="str">
        <f t="shared" si="23"/>
        <v>Evrika1830006436</v>
      </c>
    </row>
    <row r="1500" spans="1:5" x14ac:dyDescent="0.3">
      <c r="A1500" t="s">
        <v>448</v>
      </c>
      <c r="B1500">
        <v>1830006257</v>
      </c>
      <c r="C1500" t="s">
        <v>2266</v>
      </c>
      <c r="D1500" t="s">
        <v>2266</v>
      </c>
      <c r="E1500" t="str">
        <f t="shared" si="23"/>
        <v>Evrika1830006257</v>
      </c>
    </row>
    <row r="1501" spans="1:5" x14ac:dyDescent="0.3">
      <c r="A1501" t="s">
        <v>448</v>
      </c>
      <c r="B1501">
        <v>1830007643</v>
      </c>
      <c r="C1501" t="s">
        <v>1153</v>
      </c>
      <c r="D1501" t="s">
        <v>1153</v>
      </c>
      <c r="E1501" t="str">
        <f t="shared" si="23"/>
        <v>Evrika1830007643</v>
      </c>
    </row>
    <row r="1502" spans="1:5" x14ac:dyDescent="0.3">
      <c r="A1502" t="s">
        <v>448</v>
      </c>
      <c r="B1502">
        <v>1830008172</v>
      </c>
      <c r="C1502" t="s">
        <v>1272</v>
      </c>
      <c r="D1502" t="s">
        <v>1272</v>
      </c>
      <c r="E1502" t="str">
        <f t="shared" si="23"/>
        <v>Evrika1830008172</v>
      </c>
    </row>
    <row r="1503" spans="1:5" x14ac:dyDescent="0.3">
      <c r="A1503" t="s">
        <v>448</v>
      </c>
      <c r="B1503">
        <v>1830008169</v>
      </c>
      <c r="C1503" t="s">
        <v>1270</v>
      </c>
      <c r="D1503" t="s">
        <v>1270</v>
      </c>
      <c r="E1503" t="str">
        <f t="shared" si="23"/>
        <v>Evrika1830008169</v>
      </c>
    </row>
    <row r="1504" spans="1:5" x14ac:dyDescent="0.3">
      <c r="A1504" t="s">
        <v>448</v>
      </c>
      <c r="B1504">
        <v>1830007569</v>
      </c>
      <c r="C1504" t="s">
        <v>1612</v>
      </c>
      <c r="D1504" t="s">
        <v>1612</v>
      </c>
      <c r="E1504" t="str">
        <f t="shared" si="23"/>
        <v>Evrika1830007569</v>
      </c>
    </row>
    <row r="1505" spans="1:5" x14ac:dyDescent="0.3">
      <c r="A1505" t="s">
        <v>448</v>
      </c>
      <c r="B1505">
        <v>1830008076</v>
      </c>
      <c r="C1505" t="s">
        <v>1681</v>
      </c>
      <c r="D1505" t="s">
        <v>1681</v>
      </c>
      <c r="E1505" t="str">
        <f t="shared" si="23"/>
        <v>Evrika1830008076</v>
      </c>
    </row>
    <row r="1506" spans="1:5" x14ac:dyDescent="0.3">
      <c r="A1506" t="s">
        <v>448</v>
      </c>
      <c r="B1506">
        <v>1830008461</v>
      </c>
      <c r="C1506" t="s">
        <v>424</v>
      </c>
      <c r="D1506" t="s">
        <v>424</v>
      </c>
      <c r="E1506" t="str">
        <f t="shared" si="23"/>
        <v>Evrika1830008461</v>
      </c>
    </row>
    <row r="1507" spans="1:5" x14ac:dyDescent="0.3">
      <c r="A1507" t="s">
        <v>448</v>
      </c>
      <c r="B1507">
        <v>1830008239</v>
      </c>
      <c r="C1507" t="s">
        <v>408</v>
      </c>
      <c r="D1507" t="s">
        <v>408</v>
      </c>
      <c r="E1507" t="str">
        <f t="shared" si="23"/>
        <v>Evrika1830008239</v>
      </c>
    </row>
    <row r="1508" spans="1:5" x14ac:dyDescent="0.3">
      <c r="A1508" t="s">
        <v>448</v>
      </c>
      <c r="B1508">
        <v>1830007716</v>
      </c>
      <c r="C1508" t="s">
        <v>1160</v>
      </c>
      <c r="D1508" t="s">
        <v>1160</v>
      </c>
      <c r="E1508" t="str">
        <f t="shared" si="23"/>
        <v>Evrika1830007716</v>
      </c>
    </row>
    <row r="1509" spans="1:5" x14ac:dyDescent="0.3">
      <c r="A1509" t="s">
        <v>448</v>
      </c>
      <c r="B1509">
        <v>1830007809</v>
      </c>
      <c r="C1509" t="s">
        <v>410</v>
      </c>
      <c r="D1509" t="s">
        <v>410</v>
      </c>
      <c r="E1509" t="str">
        <f t="shared" si="23"/>
        <v>Evrika1830007809</v>
      </c>
    </row>
    <row r="1510" spans="1:5" x14ac:dyDescent="0.3">
      <c r="A1510" t="s">
        <v>448</v>
      </c>
      <c r="B1510">
        <v>1830007146</v>
      </c>
      <c r="C1510" t="s">
        <v>5</v>
      </c>
      <c r="D1510" t="s">
        <v>5</v>
      </c>
      <c r="E1510" t="str">
        <f t="shared" si="23"/>
        <v>Evrika1830007146</v>
      </c>
    </row>
    <row r="1511" spans="1:5" x14ac:dyDescent="0.3">
      <c r="A1511" t="s">
        <v>448</v>
      </c>
      <c r="B1511">
        <v>2100112389</v>
      </c>
      <c r="C1511" t="s">
        <v>1227</v>
      </c>
      <c r="D1511" t="s">
        <v>1227</v>
      </c>
      <c r="E1511" t="str">
        <f t="shared" si="23"/>
        <v>Evrika2100112389</v>
      </c>
    </row>
    <row r="1512" spans="1:5" x14ac:dyDescent="0.3">
      <c r="A1512" t="s">
        <v>448</v>
      </c>
      <c r="B1512">
        <v>2100112387</v>
      </c>
      <c r="C1512" t="s">
        <v>2437</v>
      </c>
      <c r="D1512" t="s">
        <v>2437</v>
      </c>
      <c r="E1512" t="str">
        <f t="shared" si="23"/>
        <v>Evrika2100112387</v>
      </c>
    </row>
    <row r="1513" spans="1:5" x14ac:dyDescent="0.3">
      <c r="A1513" t="s">
        <v>448</v>
      </c>
      <c r="B1513">
        <v>2100112392</v>
      </c>
      <c r="C1513" t="s">
        <v>1231</v>
      </c>
      <c r="D1513" t="s">
        <v>1231</v>
      </c>
      <c r="E1513" t="str">
        <f t="shared" si="23"/>
        <v>Evrika2100112392</v>
      </c>
    </row>
    <row r="1514" spans="1:5" x14ac:dyDescent="0.3">
      <c r="A1514" t="s">
        <v>448</v>
      </c>
      <c r="B1514">
        <v>2100121702</v>
      </c>
      <c r="C1514" t="s">
        <v>1471</v>
      </c>
      <c r="D1514" t="s">
        <v>1471</v>
      </c>
      <c r="E1514" t="str">
        <f t="shared" si="23"/>
        <v>Evrika2100121702</v>
      </c>
    </row>
    <row r="1515" spans="1:5" x14ac:dyDescent="0.3">
      <c r="A1515" t="s">
        <v>448</v>
      </c>
      <c r="B1515">
        <v>2100121700</v>
      </c>
      <c r="C1515" t="s">
        <v>1467</v>
      </c>
      <c r="D1515" t="s">
        <v>1467</v>
      </c>
      <c r="E1515" t="str">
        <f t="shared" si="23"/>
        <v>Evrika2100121700</v>
      </c>
    </row>
    <row r="1516" spans="1:5" x14ac:dyDescent="0.3">
      <c r="A1516" t="s">
        <v>448</v>
      </c>
      <c r="B1516">
        <v>2100118288</v>
      </c>
      <c r="C1516" t="s">
        <v>87</v>
      </c>
      <c r="D1516" t="s">
        <v>87</v>
      </c>
      <c r="E1516" t="str">
        <f t="shared" si="23"/>
        <v>Evrika2100118288</v>
      </c>
    </row>
    <row r="1517" spans="1:5" x14ac:dyDescent="0.3">
      <c r="A1517" t="s">
        <v>448</v>
      </c>
      <c r="B1517">
        <v>2100118289</v>
      </c>
      <c r="C1517" t="s">
        <v>88</v>
      </c>
      <c r="D1517" t="s">
        <v>88</v>
      </c>
      <c r="E1517" t="str">
        <f t="shared" si="23"/>
        <v>Evrika2100118289</v>
      </c>
    </row>
    <row r="1518" spans="1:5" x14ac:dyDescent="0.3">
      <c r="A1518" t="s">
        <v>448</v>
      </c>
      <c r="B1518">
        <v>2100118290</v>
      </c>
      <c r="C1518" t="s">
        <v>89</v>
      </c>
      <c r="D1518" t="s">
        <v>89</v>
      </c>
      <c r="E1518" t="str">
        <f t="shared" si="23"/>
        <v>Evrika2100118290</v>
      </c>
    </row>
    <row r="1519" spans="1:5" x14ac:dyDescent="0.3">
      <c r="A1519" t="s">
        <v>448</v>
      </c>
      <c r="B1519">
        <v>2100118286</v>
      </c>
      <c r="C1519" t="s">
        <v>90</v>
      </c>
      <c r="D1519" t="s">
        <v>90</v>
      </c>
      <c r="E1519" t="str">
        <f t="shared" si="23"/>
        <v>Evrika2100118286</v>
      </c>
    </row>
    <row r="1520" spans="1:5" x14ac:dyDescent="0.3">
      <c r="A1520" t="s">
        <v>448</v>
      </c>
      <c r="B1520">
        <v>2100118285</v>
      </c>
      <c r="C1520" t="s">
        <v>92</v>
      </c>
      <c r="D1520" t="s">
        <v>92</v>
      </c>
      <c r="E1520" t="str">
        <f t="shared" si="23"/>
        <v>Evrika2100118285</v>
      </c>
    </row>
    <row r="1521" spans="1:5" x14ac:dyDescent="0.3">
      <c r="A1521" t="s">
        <v>448</v>
      </c>
      <c r="B1521">
        <v>2100118310</v>
      </c>
      <c r="C1521" t="s">
        <v>1201</v>
      </c>
      <c r="D1521" t="s">
        <v>1201</v>
      </c>
      <c r="E1521" t="str">
        <f t="shared" si="23"/>
        <v>Evrika2100118310</v>
      </c>
    </row>
    <row r="1522" spans="1:5" x14ac:dyDescent="0.3">
      <c r="A1522" t="s">
        <v>448</v>
      </c>
      <c r="B1522">
        <v>2100118311</v>
      </c>
      <c r="C1522" t="s">
        <v>1203</v>
      </c>
      <c r="D1522" t="s">
        <v>1203</v>
      </c>
      <c r="E1522" t="str">
        <f t="shared" si="23"/>
        <v>Evrika2100118311</v>
      </c>
    </row>
    <row r="1523" spans="1:5" x14ac:dyDescent="0.3">
      <c r="A1523" t="s">
        <v>448</v>
      </c>
      <c r="B1523">
        <v>2100118312</v>
      </c>
      <c r="C1523" t="s">
        <v>1205</v>
      </c>
      <c r="D1523" t="s">
        <v>1205</v>
      </c>
      <c r="E1523" t="str">
        <f t="shared" si="23"/>
        <v>Evrika2100118312</v>
      </c>
    </row>
    <row r="1524" spans="1:5" x14ac:dyDescent="0.3">
      <c r="A1524" t="s">
        <v>448</v>
      </c>
      <c r="B1524">
        <v>2100118309</v>
      </c>
      <c r="C1524" t="s">
        <v>2161</v>
      </c>
      <c r="D1524" t="s">
        <v>2161</v>
      </c>
      <c r="E1524" t="str">
        <f t="shared" si="23"/>
        <v>Evrika2100118309</v>
      </c>
    </row>
    <row r="1525" spans="1:5" x14ac:dyDescent="0.3">
      <c r="A1525" t="s">
        <v>448</v>
      </c>
      <c r="B1525">
        <v>2100118307</v>
      </c>
      <c r="C1525" t="s">
        <v>1209</v>
      </c>
      <c r="D1525" t="s">
        <v>1209</v>
      </c>
      <c r="E1525" t="str">
        <f t="shared" si="23"/>
        <v>Evrika2100118307</v>
      </c>
    </row>
    <row r="1526" spans="1:5" x14ac:dyDescent="0.3">
      <c r="A1526" t="s">
        <v>448</v>
      </c>
      <c r="B1526">
        <v>2100121613</v>
      </c>
      <c r="C1526" t="s">
        <v>384</v>
      </c>
      <c r="D1526" t="s">
        <v>384</v>
      </c>
      <c r="E1526" t="str">
        <f t="shared" si="23"/>
        <v>Evrika2100121613</v>
      </c>
    </row>
    <row r="1527" spans="1:5" x14ac:dyDescent="0.3">
      <c r="A1527" t="s">
        <v>448</v>
      </c>
      <c r="B1527">
        <v>2100113152</v>
      </c>
      <c r="C1527" t="s">
        <v>991</v>
      </c>
      <c r="D1527" t="s">
        <v>991</v>
      </c>
      <c r="E1527" t="str">
        <f t="shared" si="23"/>
        <v>Evrika2100113152</v>
      </c>
    </row>
    <row r="1528" spans="1:5" x14ac:dyDescent="0.3">
      <c r="A1528" t="s">
        <v>448</v>
      </c>
      <c r="B1528">
        <v>2100113162</v>
      </c>
      <c r="C1528" t="s">
        <v>83</v>
      </c>
      <c r="D1528" t="s">
        <v>83</v>
      </c>
      <c r="E1528" t="str">
        <f t="shared" si="23"/>
        <v>Evrika2100113162</v>
      </c>
    </row>
    <row r="1529" spans="1:5" x14ac:dyDescent="0.3">
      <c r="A1529" t="s">
        <v>448</v>
      </c>
      <c r="B1529">
        <v>2100115982</v>
      </c>
      <c r="C1529" t="s">
        <v>85</v>
      </c>
      <c r="D1529" t="s">
        <v>85</v>
      </c>
      <c r="E1529" t="str">
        <f t="shared" si="23"/>
        <v>Evrika2100115982</v>
      </c>
    </row>
    <row r="1530" spans="1:5" x14ac:dyDescent="0.3">
      <c r="A1530" t="s">
        <v>448</v>
      </c>
      <c r="B1530">
        <v>2100115225</v>
      </c>
      <c r="C1530" t="s">
        <v>1891</v>
      </c>
      <c r="D1530" t="s">
        <v>1891</v>
      </c>
      <c r="E1530" t="str">
        <f t="shared" si="23"/>
        <v>Evrika2100115225</v>
      </c>
    </row>
    <row r="1531" spans="1:5" x14ac:dyDescent="0.3">
      <c r="A1531" t="s">
        <v>448</v>
      </c>
      <c r="B1531">
        <v>2100116195</v>
      </c>
      <c r="C1531" t="s">
        <v>84</v>
      </c>
      <c r="D1531" t="s">
        <v>84</v>
      </c>
      <c r="E1531" t="str">
        <f t="shared" si="23"/>
        <v>Evrika2100116195</v>
      </c>
    </row>
    <row r="1532" spans="1:5" x14ac:dyDescent="0.3">
      <c r="A1532" t="s">
        <v>448</v>
      </c>
      <c r="B1532">
        <v>8010000405</v>
      </c>
      <c r="C1532" t="s">
        <v>1110</v>
      </c>
      <c r="D1532" t="s">
        <v>1110</v>
      </c>
      <c r="E1532" t="str">
        <f t="shared" si="23"/>
        <v>Evrika8010000405</v>
      </c>
    </row>
    <row r="1533" spans="1:5" x14ac:dyDescent="0.3">
      <c r="A1533" t="s">
        <v>448</v>
      </c>
      <c r="B1533">
        <v>1500636334</v>
      </c>
      <c r="C1533" t="s">
        <v>1106</v>
      </c>
      <c r="D1533" t="s">
        <v>1106</v>
      </c>
      <c r="E1533" t="str">
        <f t="shared" si="23"/>
        <v>Evrika1500636334</v>
      </c>
    </row>
    <row r="1534" spans="1:5" x14ac:dyDescent="0.3">
      <c r="A1534" t="s">
        <v>448</v>
      </c>
      <c r="B1534">
        <v>1500637540</v>
      </c>
      <c r="C1534" t="s">
        <v>859</v>
      </c>
      <c r="D1534" t="s">
        <v>859</v>
      </c>
      <c r="E1534" t="str">
        <f t="shared" si="23"/>
        <v>Evrika1500637540</v>
      </c>
    </row>
    <row r="1535" spans="1:5" x14ac:dyDescent="0.3">
      <c r="A1535" t="s">
        <v>448</v>
      </c>
      <c r="B1535">
        <v>7211002441</v>
      </c>
      <c r="C1535" t="s">
        <v>40</v>
      </c>
      <c r="D1535" t="s">
        <v>40</v>
      </c>
      <c r="E1535" t="str">
        <f t="shared" si="23"/>
        <v>Evrika7211002441</v>
      </c>
    </row>
    <row r="1536" spans="1:5" x14ac:dyDescent="0.3">
      <c r="A1536" t="s">
        <v>448</v>
      </c>
      <c r="B1536">
        <v>7211002749</v>
      </c>
      <c r="C1536" t="s">
        <v>397</v>
      </c>
      <c r="D1536" t="s">
        <v>397</v>
      </c>
      <c r="E1536" t="str">
        <f t="shared" si="23"/>
        <v>Evrika7211002749</v>
      </c>
    </row>
    <row r="1537" spans="1:5" x14ac:dyDescent="0.3">
      <c r="A1537" t="s">
        <v>448</v>
      </c>
      <c r="B1537">
        <v>7211002459</v>
      </c>
      <c r="C1537" t="s">
        <v>41</v>
      </c>
      <c r="D1537" t="s">
        <v>41</v>
      </c>
      <c r="E1537" t="str">
        <f t="shared" si="23"/>
        <v>Evrika7211002459</v>
      </c>
    </row>
    <row r="1538" spans="1:5" x14ac:dyDescent="0.3">
      <c r="A1538" t="s">
        <v>448</v>
      </c>
      <c r="B1538">
        <v>7211003740</v>
      </c>
      <c r="C1538" t="s">
        <v>42</v>
      </c>
      <c r="D1538" t="s">
        <v>42</v>
      </c>
      <c r="E1538" t="str">
        <f t="shared" si="23"/>
        <v>Evrika7211003740</v>
      </c>
    </row>
    <row r="1539" spans="1:5" x14ac:dyDescent="0.3">
      <c r="A1539" t="s">
        <v>448</v>
      </c>
      <c r="B1539">
        <v>7211004078</v>
      </c>
      <c r="C1539" t="s">
        <v>43</v>
      </c>
      <c r="D1539" t="s">
        <v>43</v>
      </c>
      <c r="E1539" t="str">
        <f t="shared" ref="E1539:E1602" si="24">A1539&amp;B1539</f>
        <v>Evrika7211004078</v>
      </c>
    </row>
    <row r="1540" spans="1:5" x14ac:dyDescent="0.3">
      <c r="A1540" t="s">
        <v>448</v>
      </c>
      <c r="B1540">
        <v>1830006572</v>
      </c>
      <c r="C1540" t="s">
        <v>1851</v>
      </c>
      <c r="D1540" t="s">
        <v>1851</v>
      </c>
      <c r="E1540" t="str">
        <f t="shared" si="24"/>
        <v>Evrika1830006572</v>
      </c>
    </row>
    <row r="1541" spans="1:5" x14ac:dyDescent="0.3">
      <c r="A1541" t="s">
        <v>448</v>
      </c>
      <c r="B1541">
        <v>1830006093</v>
      </c>
      <c r="C1541" t="s">
        <v>1853</v>
      </c>
      <c r="D1541" t="s">
        <v>1853</v>
      </c>
      <c r="E1541" t="str">
        <f t="shared" si="24"/>
        <v>Evrika1830006093</v>
      </c>
    </row>
    <row r="1542" spans="1:5" x14ac:dyDescent="0.3">
      <c r="A1542" t="s">
        <v>448</v>
      </c>
      <c r="B1542">
        <v>1830007710</v>
      </c>
      <c r="C1542" t="s">
        <v>22</v>
      </c>
      <c r="D1542" t="s">
        <v>22</v>
      </c>
      <c r="E1542" t="str">
        <f t="shared" si="24"/>
        <v>Evrika1830007710</v>
      </c>
    </row>
    <row r="1543" spans="1:5" x14ac:dyDescent="0.3">
      <c r="A1543" t="s">
        <v>448</v>
      </c>
      <c r="B1543">
        <v>1830006374</v>
      </c>
      <c r="C1543" t="s">
        <v>16</v>
      </c>
      <c r="D1543" t="s">
        <v>16</v>
      </c>
      <c r="E1543" t="str">
        <f t="shared" si="24"/>
        <v>Evrika1830006374</v>
      </c>
    </row>
    <row r="1544" spans="1:5" x14ac:dyDescent="0.3">
      <c r="A1544" t="s">
        <v>448</v>
      </c>
      <c r="B1544">
        <v>1830006878</v>
      </c>
      <c r="C1544" t="s">
        <v>907</v>
      </c>
      <c r="D1544" t="s">
        <v>907</v>
      </c>
      <c r="E1544" t="str">
        <f t="shared" si="24"/>
        <v>Evrika1830006878</v>
      </c>
    </row>
    <row r="1545" spans="1:5" x14ac:dyDescent="0.3">
      <c r="A1545" t="s">
        <v>448</v>
      </c>
      <c r="B1545">
        <v>1830007359</v>
      </c>
      <c r="C1545" t="s">
        <v>19</v>
      </c>
      <c r="D1545" t="s">
        <v>19</v>
      </c>
      <c r="E1545" t="str">
        <f t="shared" si="24"/>
        <v>Evrika1830007359</v>
      </c>
    </row>
    <row r="1546" spans="1:5" x14ac:dyDescent="0.3">
      <c r="A1546" t="s">
        <v>448</v>
      </c>
      <c r="B1546">
        <v>1830008513</v>
      </c>
      <c r="C1546" t="s">
        <v>112</v>
      </c>
      <c r="D1546" t="s">
        <v>112</v>
      </c>
      <c r="E1546" t="str">
        <f t="shared" si="24"/>
        <v>Evrika1830008513</v>
      </c>
    </row>
    <row r="1547" spans="1:5" x14ac:dyDescent="0.3">
      <c r="A1547" t="s">
        <v>448</v>
      </c>
      <c r="B1547">
        <v>1830008265</v>
      </c>
      <c r="C1547" t="s">
        <v>12</v>
      </c>
      <c r="D1547" t="s">
        <v>12</v>
      </c>
      <c r="E1547" t="str">
        <f t="shared" si="24"/>
        <v>Evrika1830008265</v>
      </c>
    </row>
    <row r="1548" spans="1:5" x14ac:dyDescent="0.3">
      <c r="A1548" t="s">
        <v>448</v>
      </c>
      <c r="B1548">
        <v>2100094926</v>
      </c>
      <c r="C1548" t="s">
        <v>630</v>
      </c>
      <c r="D1548" t="s">
        <v>630</v>
      </c>
      <c r="E1548" t="str">
        <f t="shared" si="24"/>
        <v>Evrika2100094926</v>
      </c>
    </row>
    <row r="1549" spans="1:5" x14ac:dyDescent="0.3">
      <c r="A1549" t="s">
        <v>448</v>
      </c>
      <c r="B1549">
        <v>2100095878</v>
      </c>
      <c r="C1549" t="s">
        <v>632</v>
      </c>
      <c r="D1549" t="s">
        <v>632</v>
      </c>
      <c r="E1549" t="str">
        <f t="shared" si="24"/>
        <v>Evrika2100095878</v>
      </c>
    </row>
    <row r="1550" spans="1:5" x14ac:dyDescent="0.3">
      <c r="A1550" t="s">
        <v>448</v>
      </c>
      <c r="B1550">
        <v>2100095879</v>
      </c>
      <c r="C1550" t="s">
        <v>2438</v>
      </c>
      <c r="D1550" t="s">
        <v>2438</v>
      </c>
      <c r="E1550" t="str">
        <f t="shared" si="24"/>
        <v>Evrika2100095879</v>
      </c>
    </row>
    <row r="1551" spans="1:5" x14ac:dyDescent="0.3">
      <c r="A1551" t="s">
        <v>448</v>
      </c>
      <c r="B1551">
        <v>2100094922</v>
      </c>
      <c r="C1551" t="s">
        <v>634</v>
      </c>
      <c r="D1551" t="s">
        <v>634</v>
      </c>
      <c r="E1551" t="str">
        <f t="shared" si="24"/>
        <v>Evrika2100094922</v>
      </c>
    </row>
    <row r="1552" spans="1:5" x14ac:dyDescent="0.3">
      <c r="A1552" t="s">
        <v>448</v>
      </c>
      <c r="B1552">
        <v>2100094924</v>
      </c>
      <c r="C1552" t="s">
        <v>2159</v>
      </c>
      <c r="D1552" t="s">
        <v>2159</v>
      </c>
      <c r="E1552" t="str">
        <f t="shared" si="24"/>
        <v>Evrika2100094924</v>
      </c>
    </row>
    <row r="1553" spans="1:5" x14ac:dyDescent="0.3">
      <c r="A1553" t="s">
        <v>448</v>
      </c>
      <c r="B1553">
        <v>2100094923</v>
      </c>
      <c r="C1553" t="s">
        <v>636</v>
      </c>
      <c r="D1553" t="s">
        <v>636</v>
      </c>
      <c r="E1553" t="str">
        <f t="shared" si="24"/>
        <v>Evrika2100094923</v>
      </c>
    </row>
    <row r="1554" spans="1:5" x14ac:dyDescent="0.3">
      <c r="A1554" t="s">
        <v>448</v>
      </c>
      <c r="B1554">
        <v>1830006629</v>
      </c>
      <c r="C1554" t="s">
        <v>946</v>
      </c>
      <c r="D1554" t="s">
        <v>946</v>
      </c>
      <c r="E1554" t="str">
        <f t="shared" si="24"/>
        <v>Evrika1830006629</v>
      </c>
    </row>
    <row r="1555" spans="1:5" x14ac:dyDescent="0.3">
      <c r="A1555" t="s">
        <v>448</v>
      </c>
      <c r="B1555">
        <v>1830008173</v>
      </c>
      <c r="C1555" t="s">
        <v>1696</v>
      </c>
      <c r="D1555" t="s">
        <v>1696</v>
      </c>
      <c r="E1555" t="str">
        <f t="shared" si="24"/>
        <v>Evrika1830008173</v>
      </c>
    </row>
    <row r="1556" spans="1:5" x14ac:dyDescent="0.3">
      <c r="A1556" t="s">
        <v>448</v>
      </c>
      <c r="B1556">
        <v>8010001069</v>
      </c>
      <c r="C1556" t="s">
        <v>3</v>
      </c>
      <c r="D1556" t="s">
        <v>3</v>
      </c>
      <c r="E1556" t="str">
        <f t="shared" si="24"/>
        <v>Evrika8010001069</v>
      </c>
    </row>
    <row r="1557" spans="1:5" x14ac:dyDescent="0.3">
      <c r="A1557" t="s">
        <v>448</v>
      </c>
      <c r="B1557">
        <v>8010000276</v>
      </c>
      <c r="C1557" t="s">
        <v>2439</v>
      </c>
      <c r="D1557" t="s">
        <v>2439</v>
      </c>
      <c r="E1557" t="str">
        <f t="shared" si="24"/>
        <v>Evrika8010000276</v>
      </c>
    </row>
    <row r="1558" spans="1:5" x14ac:dyDescent="0.3">
      <c r="A1558" t="s">
        <v>448</v>
      </c>
      <c r="B1558">
        <v>8000035985</v>
      </c>
      <c r="C1558" t="s">
        <v>1258</v>
      </c>
      <c r="D1558" t="s">
        <v>1258</v>
      </c>
      <c r="E1558" t="str">
        <f t="shared" si="24"/>
        <v>Evrika8000035985</v>
      </c>
    </row>
    <row r="1559" spans="1:5" x14ac:dyDescent="0.3">
      <c r="A1559" t="s">
        <v>448</v>
      </c>
      <c r="B1559">
        <v>8000036062</v>
      </c>
      <c r="C1559" t="s">
        <v>1252</v>
      </c>
      <c r="D1559" t="s">
        <v>1252</v>
      </c>
      <c r="E1559" t="str">
        <f t="shared" si="24"/>
        <v>Evrika8000036062</v>
      </c>
    </row>
    <row r="1560" spans="1:5" x14ac:dyDescent="0.3">
      <c r="A1560" t="s">
        <v>448</v>
      </c>
      <c r="B1560">
        <v>1500814332</v>
      </c>
      <c r="C1560" t="s">
        <v>1250</v>
      </c>
      <c r="D1560" t="s">
        <v>1250</v>
      </c>
      <c r="E1560" t="str">
        <f t="shared" si="24"/>
        <v>Evrika1500814332</v>
      </c>
    </row>
    <row r="1561" spans="1:5" x14ac:dyDescent="0.3">
      <c r="A1561" t="s">
        <v>448</v>
      </c>
      <c r="B1561">
        <v>1110030485</v>
      </c>
      <c r="C1561" t="s">
        <v>835</v>
      </c>
      <c r="D1561" t="s">
        <v>835</v>
      </c>
      <c r="E1561" t="str">
        <f t="shared" si="24"/>
        <v>Evrika1110030485</v>
      </c>
    </row>
    <row r="1562" spans="1:5" x14ac:dyDescent="0.3">
      <c r="A1562" t="s">
        <v>448</v>
      </c>
      <c r="B1562">
        <v>2211401035</v>
      </c>
      <c r="C1562" t="s">
        <v>395</v>
      </c>
      <c r="D1562" t="s">
        <v>395</v>
      </c>
      <c r="E1562" t="str">
        <f t="shared" si="24"/>
        <v>Evrika2211401035</v>
      </c>
    </row>
    <row r="1563" spans="1:5" x14ac:dyDescent="0.3">
      <c r="A1563" t="s">
        <v>448</v>
      </c>
      <c r="B1563">
        <v>1830007629</v>
      </c>
      <c r="C1563" t="s">
        <v>1073</v>
      </c>
      <c r="D1563" t="s">
        <v>1073</v>
      </c>
      <c r="E1563" t="str">
        <f t="shared" si="24"/>
        <v>Evrika1830007629</v>
      </c>
    </row>
    <row r="1564" spans="1:5" x14ac:dyDescent="0.3">
      <c r="A1564" t="s">
        <v>448</v>
      </c>
      <c r="B1564">
        <v>1830007217</v>
      </c>
      <c r="C1564" t="s">
        <v>2040</v>
      </c>
      <c r="D1564" t="s">
        <v>2040</v>
      </c>
      <c r="E1564" t="str">
        <f t="shared" si="24"/>
        <v>Evrika1830007217</v>
      </c>
    </row>
    <row r="1565" spans="1:5" x14ac:dyDescent="0.3">
      <c r="A1565" t="s">
        <v>448</v>
      </c>
      <c r="B1565">
        <v>1830007156</v>
      </c>
      <c r="C1565" t="s">
        <v>411</v>
      </c>
      <c r="D1565" t="s">
        <v>411</v>
      </c>
      <c r="E1565" t="str">
        <f t="shared" si="24"/>
        <v>Evrika1830007156</v>
      </c>
    </row>
    <row r="1566" spans="1:5" x14ac:dyDescent="0.3">
      <c r="A1566" t="s">
        <v>448</v>
      </c>
      <c r="B1566">
        <v>1830007659</v>
      </c>
      <c r="C1566" t="s">
        <v>1062</v>
      </c>
      <c r="D1566" t="s">
        <v>1062</v>
      </c>
      <c r="E1566" t="str">
        <f t="shared" si="24"/>
        <v>Evrika1830007659</v>
      </c>
    </row>
    <row r="1567" spans="1:5" x14ac:dyDescent="0.3">
      <c r="A1567" t="s">
        <v>448</v>
      </c>
      <c r="B1567">
        <v>1830007031</v>
      </c>
      <c r="C1567" t="s">
        <v>1088</v>
      </c>
      <c r="D1567" t="s">
        <v>1088</v>
      </c>
      <c r="E1567" t="str">
        <f t="shared" si="24"/>
        <v>Evrika1830007031</v>
      </c>
    </row>
    <row r="1568" spans="1:5" x14ac:dyDescent="0.3">
      <c r="A1568" t="s">
        <v>448</v>
      </c>
      <c r="B1568">
        <v>1500636319</v>
      </c>
      <c r="C1568" t="s">
        <v>505</v>
      </c>
      <c r="D1568" t="s">
        <v>505</v>
      </c>
      <c r="E1568" t="str">
        <f t="shared" si="24"/>
        <v>Evrika1500636319</v>
      </c>
    </row>
    <row r="1569" spans="1:5" x14ac:dyDescent="0.3">
      <c r="A1569" t="s">
        <v>448</v>
      </c>
      <c r="B1569">
        <v>8010000213</v>
      </c>
      <c r="C1569" t="s">
        <v>1367</v>
      </c>
      <c r="D1569" t="s">
        <v>1367</v>
      </c>
      <c r="E1569" t="str">
        <f t="shared" si="24"/>
        <v>Evrika8010000213</v>
      </c>
    </row>
    <row r="1570" spans="1:5" x14ac:dyDescent="0.3">
      <c r="A1570" t="s">
        <v>448</v>
      </c>
      <c r="B1570">
        <v>8000035826</v>
      </c>
      <c r="C1570" t="s">
        <v>362</v>
      </c>
      <c r="D1570" t="s">
        <v>362</v>
      </c>
      <c r="E1570" t="str">
        <f t="shared" si="24"/>
        <v>Evrika8000035826</v>
      </c>
    </row>
    <row r="1571" spans="1:5" x14ac:dyDescent="0.3">
      <c r="A1571" t="s">
        <v>448</v>
      </c>
      <c r="B1571">
        <v>2100087393</v>
      </c>
      <c r="C1571" t="s">
        <v>1297</v>
      </c>
      <c r="D1571" t="s">
        <v>1297</v>
      </c>
      <c r="E1571" t="str">
        <f t="shared" si="24"/>
        <v>Evrika2100087393</v>
      </c>
    </row>
    <row r="1572" spans="1:5" x14ac:dyDescent="0.3">
      <c r="A1572" t="s">
        <v>448</v>
      </c>
      <c r="B1572">
        <v>2100087321</v>
      </c>
      <c r="C1572" t="s">
        <v>1291</v>
      </c>
      <c r="D1572" t="s">
        <v>1291</v>
      </c>
      <c r="E1572" t="str">
        <f t="shared" si="24"/>
        <v>Evrika2100087321</v>
      </c>
    </row>
    <row r="1573" spans="1:5" x14ac:dyDescent="0.3">
      <c r="A1573" t="s">
        <v>448</v>
      </c>
      <c r="B1573">
        <v>2100088630</v>
      </c>
      <c r="C1573" t="s">
        <v>2440</v>
      </c>
      <c r="D1573" t="s">
        <v>2440</v>
      </c>
      <c r="E1573" t="str">
        <f t="shared" si="24"/>
        <v>Evrika2100088630</v>
      </c>
    </row>
    <row r="1574" spans="1:5" x14ac:dyDescent="0.3">
      <c r="A1574" t="s">
        <v>448</v>
      </c>
      <c r="B1574">
        <v>2100096006</v>
      </c>
      <c r="C1574" t="s">
        <v>2441</v>
      </c>
      <c r="D1574" t="s">
        <v>2441</v>
      </c>
      <c r="E1574" t="str">
        <f t="shared" si="24"/>
        <v>Evrika2100096006</v>
      </c>
    </row>
    <row r="1575" spans="1:5" x14ac:dyDescent="0.3">
      <c r="A1575" t="s">
        <v>448</v>
      </c>
      <c r="B1575">
        <v>2100104352</v>
      </c>
      <c r="C1575" t="s">
        <v>2442</v>
      </c>
      <c r="D1575" t="s">
        <v>2443</v>
      </c>
      <c r="E1575" t="str">
        <f t="shared" si="24"/>
        <v>Evrika2100104352</v>
      </c>
    </row>
    <row r="1576" spans="1:5" x14ac:dyDescent="0.3">
      <c r="A1576" t="s">
        <v>448</v>
      </c>
      <c r="B1576">
        <v>2100104350</v>
      </c>
      <c r="C1576" t="s">
        <v>2444</v>
      </c>
      <c r="D1576" t="s">
        <v>2445</v>
      </c>
      <c r="E1576" t="str">
        <f t="shared" si="24"/>
        <v>Evrika2100104350</v>
      </c>
    </row>
    <row r="1577" spans="1:5" x14ac:dyDescent="0.3">
      <c r="A1577" t="s">
        <v>448</v>
      </c>
      <c r="B1577">
        <v>2100104354</v>
      </c>
      <c r="C1577" t="s">
        <v>2446</v>
      </c>
      <c r="D1577" t="s">
        <v>2447</v>
      </c>
      <c r="E1577" t="str">
        <f t="shared" si="24"/>
        <v>Evrika2100104354</v>
      </c>
    </row>
    <row r="1578" spans="1:5" x14ac:dyDescent="0.3">
      <c r="A1578" t="s">
        <v>448</v>
      </c>
      <c r="B1578">
        <v>2100104348</v>
      </c>
      <c r="C1578" t="s">
        <v>2021</v>
      </c>
      <c r="D1578" t="s">
        <v>2448</v>
      </c>
      <c r="E1578" t="str">
        <f t="shared" si="24"/>
        <v>Evrika2100104348</v>
      </c>
    </row>
    <row r="1579" spans="1:5" x14ac:dyDescent="0.3">
      <c r="A1579" t="s">
        <v>448</v>
      </c>
      <c r="B1579">
        <v>2100104353</v>
      </c>
      <c r="C1579" t="s">
        <v>2023</v>
      </c>
      <c r="D1579" t="s">
        <v>2449</v>
      </c>
      <c r="E1579" t="str">
        <f t="shared" si="24"/>
        <v>Evrika2100104353</v>
      </c>
    </row>
    <row r="1580" spans="1:5" x14ac:dyDescent="0.3">
      <c r="A1580" t="s">
        <v>448</v>
      </c>
      <c r="B1580">
        <v>2100119880</v>
      </c>
      <c r="C1580" t="s">
        <v>1490</v>
      </c>
      <c r="D1580" t="s">
        <v>1490</v>
      </c>
      <c r="E1580" t="str">
        <f t="shared" si="24"/>
        <v>Evrika2100119880</v>
      </c>
    </row>
    <row r="1581" spans="1:5" x14ac:dyDescent="0.3">
      <c r="A1581" t="s">
        <v>448</v>
      </c>
      <c r="B1581">
        <v>2100104356</v>
      </c>
      <c r="C1581" t="s">
        <v>1688</v>
      </c>
      <c r="D1581" t="s">
        <v>1688</v>
      </c>
      <c r="E1581" t="str">
        <f t="shared" si="24"/>
        <v>Evrika2100104356</v>
      </c>
    </row>
    <row r="1582" spans="1:5" x14ac:dyDescent="0.3">
      <c r="A1582" t="s">
        <v>448</v>
      </c>
      <c r="B1582">
        <v>2100110589</v>
      </c>
      <c r="C1582" t="s">
        <v>1488</v>
      </c>
      <c r="D1582" t="s">
        <v>1488</v>
      </c>
      <c r="E1582" t="str">
        <f t="shared" si="24"/>
        <v>Evrika2100110589</v>
      </c>
    </row>
    <row r="1583" spans="1:5" x14ac:dyDescent="0.3">
      <c r="A1583" t="s">
        <v>448</v>
      </c>
      <c r="B1583">
        <v>2820802112</v>
      </c>
      <c r="C1583" t="s">
        <v>51</v>
      </c>
      <c r="D1583" t="s">
        <v>51</v>
      </c>
      <c r="E1583" t="str">
        <f t="shared" si="24"/>
        <v>Evrika2820802112</v>
      </c>
    </row>
    <row r="1584" spans="1:5" x14ac:dyDescent="0.3">
      <c r="A1584" t="s">
        <v>448</v>
      </c>
      <c r="B1584">
        <v>1510002143</v>
      </c>
      <c r="C1584" t="s">
        <v>1600</v>
      </c>
      <c r="D1584" t="s">
        <v>1600</v>
      </c>
      <c r="E1584" t="str">
        <f t="shared" si="24"/>
        <v>Evrika1510002143</v>
      </c>
    </row>
    <row r="1585" spans="1:5" x14ac:dyDescent="0.3">
      <c r="A1585" t="s">
        <v>448</v>
      </c>
      <c r="B1585">
        <v>7211002180</v>
      </c>
      <c r="C1585" t="s">
        <v>568</v>
      </c>
      <c r="D1585" t="s">
        <v>568</v>
      </c>
      <c r="E1585" t="str">
        <f t="shared" si="24"/>
        <v>Evrika7211002180</v>
      </c>
    </row>
    <row r="1586" spans="1:5" x14ac:dyDescent="0.3">
      <c r="A1586" t="s">
        <v>448</v>
      </c>
      <c r="B1586">
        <v>7211002130</v>
      </c>
      <c r="C1586" t="s">
        <v>2384</v>
      </c>
      <c r="D1586" t="s">
        <v>2384</v>
      </c>
      <c r="E1586" t="str">
        <f t="shared" si="24"/>
        <v>Evrika7211002130</v>
      </c>
    </row>
    <row r="1587" spans="1:5" x14ac:dyDescent="0.3">
      <c r="A1587" t="s">
        <v>448</v>
      </c>
      <c r="B1587">
        <v>7211003356</v>
      </c>
      <c r="C1587" t="s">
        <v>975</v>
      </c>
      <c r="D1587" t="s">
        <v>975</v>
      </c>
      <c r="E1587" t="str">
        <f t="shared" si="24"/>
        <v>Evrika7211003356</v>
      </c>
    </row>
    <row r="1588" spans="1:5" x14ac:dyDescent="0.3">
      <c r="A1588" t="s">
        <v>448</v>
      </c>
      <c r="B1588">
        <v>7211002463</v>
      </c>
      <c r="C1588" t="s">
        <v>2388</v>
      </c>
      <c r="D1588" t="s">
        <v>2388</v>
      </c>
      <c r="E1588" t="str">
        <f t="shared" si="24"/>
        <v>Evrika7211002463</v>
      </c>
    </row>
    <row r="1589" spans="1:5" x14ac:dyDescent="0.3">
      <c r="A1589" t="s">
        <v>448</v>
      </c>
      <c r="B1589">
        <v>7211002465</v>
      </c>
      <c r="C1589" t="s">
        <v>564</v>
      </c>
      <c r="D1589" t="s">
        <v>564</v>
      </c>
      <c r="E1589" t="str">
        <f t="shared" si="24"/>
        <v>Evrika7211002465</v>
      </c>
    </row>
    <row r="1590" spans="1:5" x14ac:dyDescent="0.3">
      <c r="A1590" t="s">
        <v>448</v>
      </c>
      <c r="B1590">
        <v>7211001987</v>
      </c>
      <c r="C1590" t="s">
        <v>2396</v>
      </c>
      <c r="D1590" t="s">
        <v>2396</v>
      </c>
      <c r="E1590" t="str">
        <f t="shared" si="24"/>
        <v>Evrika7211001987</v>
      </c>
    </row>
    <row r="1591" spans="1:5" x14ac:dyDescent="0.3">
      <c r="A1591" t="s">
        <v>448</v>
      </c>
      <c r="B1591">
        <v>7211004287</v>
      </c>
      <c r="C1591" t="s">
        <v>2450</v>
      </c>
      <c r="D1591" t="s">
        <v>2450</v>
      </c>
      <c r="E1591" t="str">
        <f t="shared" si="24"/>
        <v>Evrika7211004287</v>
      </c>
    </row>
    <row r="1592" spans="1:5" x14ac:dyDescent="0.3">
      <c r="A1592" t="s">
        <v>448</v>
      </c>
      <c r="B1592">
        <v>7211003267</v>
      </c>
      <c r="C1592" t="s">
        <v>1102</v>
      </c>
      <c r="D1592" t="s">
        <v>1102</v>
      </c>
      <c r="E1592" t="str">
        <f t="shared" si="24"/>
        <v>Evrika7211003267</v>
      </c>
    </row>
    <row r="1593" spans="1:5" x14ac:dyDescent="0.3">
      <c r="A1593" t="s">
        <v>448</v>
      </c>
      <c r="B1593">
        <v>7211003001</v>
      </c>
      <c r="C1593" t="s">
        <v>2451</v>
      </c>
      <c r="D1593" t="s">
        <v>2451</v>
      </c>
      <c r="E1593" t="str">
        <f t="shared" si="24"/>
        <v>Evrika7211003001</v>
      </c>
    </row>
    <row r="1594" spans="1:5" x14ac:dyDescent="0.3">
      <c r="A1594" t="s">
        <v>448</v>
      </c>
      <c r="B1594">
        <v>7211004366</v>
      </c>
      <c r="C1594" t="s">
        <v>1381</v>
      </c>
      <c r="D1594" t="s">
        <v>1381</v>
      </c>
      <c r="E1594" t="str">
        <f t="shared" si="24"/>
        <v>Evrika7211004366</v>
      </c>
    </row>
    <row r="1595" spans="1:5" x14ac:dyDescent="0.3">
      <c r="A1595" t="s">
        <v>448</v>
      </c>
      <c r="B1595">
        <v>7211004072</v>
      </c>
      <c r="C1595" t="s">
        <v>1377</v>
      </c>
      <c r="D1595" t="s">
        <v>1377</v>
      </c>
      <c r="E1595" t="str">
        <f t="shared" si="24"/>
        <v>Evrika7211004072</v>
      </c>
    </row>
    <row r="1596" spans="1:5" x14ac:dyDescent="0.3">
      <c r="A1596" t="s">
        <v>448</v>
      </c>
      <c r="B1596">
        <v>7211002608</v>
      </c>
      <c r="C1596" t="s">
        <v>54</v>
      </c>
      <c r="D1596" t="s">
        <v>54</v>
      </c>
      <c r="E1596" t="str">
        <f t="shared" si="24"/>
        <v>Evrika7211002608</v>
      </c>
    </row>
    <row r="1597" spans="1:5" x14ac:dyDescent="0.3">
      <c r="A1597" t="s">
        <v>448</v>
      </c>
      <c r="B1597">
        <v>7211004259</v>
      </c>
      <c r="C1597" t="s">
        <v>419</v>
      </c>
      <c r="D1597" t="s">
        <v>419</v>
      </c>
      <c r="E1597" t="str">
        <f t="shared" si="24"/>
        <v>Evrika7211004259</v>
      </c>
    </row>
    <row r="1598" spans="1:5" x14ac:dyDescent="0.3">
      <c r="A1598" t="s">
        <v>448</v>
      </c>
      <c r="B1598">
        <v>7211004030</v>
      </c>
      <c r="C1598" t="s">
        <v>56</v>
      </c>
      <c r="D1598" t="s">
        <v>56</v>
      </c>
      <c r="E1598" t="str">
        <f t="shared" si="24"/>
        <v>Evrika7211004030</v>
      </c>
    </row>
    <row r="1599" spans="1:5" x14ac:dyDescent="0.3">
      <c r="A1599" t="s">
        <v>448</v>
      </c>
      <c r="B1599">
        <v>8010001045</v>
      </c>
      <c r="C1599" t="s">
        <v>1502</v>
      </c>
      <c r="D1599" t="s">
        <v>1502</v>
      </c>
      <c r="E1599" t="str">
        <f t="shared" si="24"/>
        <v>Evrika8010001045</v>
      </c>
    </row>
    <row r="1600" spans="1:5" x14ac:dyDescent="0.3">
      <c r="A1600" t="s">
        <v>448</v>
      </c>
      <c r="B1600">
        <v>8010000095</v>
      </c>
      <c r="C1600" t="s">
        <v>819</v>
      </c>
      <c r="D1600" t="s">
        <v>819</v>
      </c>
      <c r="E1600" t="str">
        <f t="shared" si="24"/>
        <v>Evrika8010000095</v>
      </c>
    </row>
    <row r="1601" spans="1:5" x14ac:dyDescent="0.3">
      <c r="A1601" t="s">
        <v>448</v>
      </c>
      <c r="B1601">
        <v>1510001005</v>
      </c>
      <c r="C1601" t="s">
        <v>544</v>
      </c>
      <c r="D1601" t="s">
        <v>544</v>
      </c>
      <c r="E1601" t="str">
        <f t="shared" si="24"/>
        <v>Evrika1510001005</v>
      </c>
    </row>
    <row r="1602" spans="1:5" x14ac:dyDescent="0.3">
      <c r="A1602" t="s">
        <v>448</v>
      </c>
      <c r="B1602">
        <v>1510002154</v>
      </c>
      <c r="C1602" t="s">
        <v>1592</v>
      </c>
      <c r="D1602" t="s">
        <v>1592</v>
      </c>
      <c r="E1602" t="str">
        <f t="shared" si="24"/>
        <v>Evrika1510002154</v>
      </c>
    </row>
    <row r="1603" spans="1:5" x14ac:dyDescent="0.3">
      <c r="A1603" t="s">
        <v>448</v>
      </c>
      <c r="B1603">
        <v>8010000136</v>
      </c>
      <c r="C1603" t="s">
        <v>2452</v>
      </c>
      <c r="D1603" t="s">
        <v>2452</v>
      </c>
      <c r="E1603" t="str">
        <f t="shared" ref="E1603:E1666" si="25">A1603&amp;B1603</f>
        <v>Evrika8010000136</v>
      </c>
    </row>
    <row r="1604" spans="1:5" x14ac:dyDescent="0.3">
      <c r="A1604" t="s">
        <v>448</v>
      </c>
      <c r="B1604">
        <v>1510001599</v>
      </c>
      <c r="C1604" t="s">
        <v>66</v>
      </c>
      <c r="D1604" t="s">
        <v>66</v>
      </c>
      <c r="E1604" t="str">
        <f t="shared" si="25"/>
        <v>Evrika1510001599</v>
      </c>
    </row>
    <row r="1605" spans="1:5" x14ac:dyDescent="0.3">
      <c r="A1605" t="s">
        <v>448</v>
      </c>
      <c r="B1605">
        <v>1510001687</v>
      </c>
      <c r="C1605" t="s">
        <v>70</v>
      </c>
      <c r="D1605" t="s">
        <v>70</v>
      </c>
      <c r="E1605" t="str">
        <f t="shared" si="25"/>
        <v>Evrika1510001687</v>
      </c>
    </row>
    <row r="1606" spans="1:5" x14ac:dyDescent="0.3">
      <c r="A1606" t="s">
        <v>448</v>
      </c>
      <c r="B1606">
        <v>1510001319</v>
      </c>
      <c r="C1606" t="s">
        <v>69</v>
      </c>
      <c r="D1606" t="s">
        <v>69</v>
      </c>
      <c r="E1606" t="str">
        <f t="shared" si="25"/>
        <v>Evrika1510001319</v>
      </c>
    </row>
    <row r="1607" spans="1:5" x14ac:dyDescent="0.3">
      <c r="A1607" t="s">
        <v>448</v>
      </c>
      <c r="B1607">
        <v>1500869984</v>
      </c>
      <c r="C1607" t="s">
        <v>65</v>
      </c>
      <c r="D1607" t="s">
        <v>65</v>
      </c>
      <c r="E1607" t="str">
        <f t="shared" si="25"/>
        <v>Evrika1500869984</v>
      </c>
    </row>
    <row r="1608" spans="1:5" x14ac:dyDescent="0.3">
      <c r="A1608" t="s">
        <v>448</v>
      </c>
      <c r="B1608">
        <v>8010000794</v>
      </c>
      <c r="C1608" t="s">
        <v>63</v>
      </c>
      <c r="D1608" t="s">
        <v>63</v>
      </c>
      <c r="E1608" t="str">
        <f t="shared" si="25"/>
        <v>Evrika8010000794</v>
      </c>
    </row>
    <row r="1609" spans="1:5" x14ac:dyDescent="0.3">
      <c r="A1609" t="s">
        <v>448</v>
      </c>
      <c r="B1609">
        <v>7211004435</v>
      </c>
      <c r="C1609" t="s">
        <v>1951</v>
      </c>
      <c r="D1609" t="s">
        <v>413</v>
      </c>
      <c r="E1609" t="str">
        <f t="shared" si="25"/>
        <v>Evrika7211004435</v>
      </c>
    </row>
    <row r="1610" spans="1:5" x14ac:dyDescent="0.3">
      <c r="A1610" t="s">
        <v>448</v>
      </c>
      <c r="B1610">
        <v>7211002354</v>
      </c>
      <c r="C1610" t="s">
        <v>2453</v>
      </c>
      <c r="D1610" t="s">
        <v>2453</v>
      </c>
      <c r="E1610" t="str">
        <f t="shared" si="25"/>
        <v>Evrika7211002354</v>
      </c>
    </row>
    <row r="1611" spans="1:5" x14ac:dyDescent="0.3">
      <c r="A1611" t="s">
        <v>448</v>
      </c>
      <c r="B1611">
        <v>1510001750</v>
      </c>
      <c r="C1611" t="s">
        <v>1148</v>
      </c>
      <c r="D1611" t="s">
        <v>1148</v>
      </c>
      <c r="E1611" t="str">
        <f t="shared" si="25"/>
        <v>Evrika1510001750</v>
      </c>
    </row>
    <row r="1612" spans="1:5" x14ac:dyDescent="0.3">
      <c r="A1612" t="s">
        <v>448</v>
      </c>
      <c r="B1612">
        <v>7211002269</v>
      </c>
      <c r="C1612" t="s">
        <v>1079</v>
      </c>
      <c r="D1612" t="s">
        <v>1079</v>
      </c>
      <c r="E1612" t="str">
        <f t="shared" si="25"/>
        <v>Evrika7211002269</v>
      </c>
    </row>
    <row r="1613" spans="1:5" x14ac:dyDescent="0.3">
      <c r="A1613" t="s">
        <v>448</v>
      </c>
      <c r="B1613">
        <v>1510001956</v>
      </c>
      <c r="C1613" t="s">
        <v>2178</v>
      </c>
      <c r="D1613" t="s">
        <v>2178</v>
      </c>
      <c r="E1613" t="str">
        <f t="shared" si="25"/>
        <v>Evrika1510001956</v>
      </c>
    </row>
    <row r="1614" spans="1:5" x14ac:dyDescent="0.3">
      <c r="A1614" t="s">
        <v>448</v>
      </c>
      <c r="B1614">
        <v>2100102482</v>
      </c>
      <c r="C1614" t="s">
        <v>2454</v>
      </c>
      <c r="D1614" t="s">
        <v>2454</v>
      </c>
      <c r="E1614" t="str">
        <f t="shared" si="25"/>
        <v>Evrika2100102482</v>
      </c>
    </row>
    <row r="1615" spans="1:5" x14ac:dyDescent="0.3">
      <c r="A1615" t="s">
        <v>448</v>
      </c>
      <c r="B1615">
        <v>1830007886</v>
      </c>
      <c r="C1615" t="s">
        <v>1529</v>
      </c>
      <c r="D1615" t="s">
        <v>1529</v>
      </c>
      <c r="E1615" t="str">
        <f t="shared" si="25"/>
        <v>Evrika1830007886</v>
      </c>
    </row>
    <row r="1616" spans="1:5" x14ac:dyDescent="0.3">
      <c r="A1616" t="s">
        <v>448</v>
      </c>
      <c r="B1616">
        <v>1830008119</v>
      </c>
      <c r="C1616" t="s">
        <v>2455</v>
      </c>
      <c r="D1616" t="s">
        <v>2455</v>
      </c>
      <c r="E1616" t="str">
        <f t="shared" si="25"/>
        <v>Evrika1830008119</v>
      </c>
    </row>
    <row r="1617" spans="1:5" x14ac:dyDescent="0.3">
      <c r="A1617" t="s">
        <v>448</v>
      </c>
      <c r="B1617">
        <v>1830008093</v>
      </c>
      <c r="C1617" t="s">
        <v>2456</v>
      </c>
      <c r="D1617" t="s">
        <v>2456</v>
      </c>
      <c r="E1617" t="str">
        <f t="shared" si="25"/>
        <v>Evrika1830008093</v>
      </c>
    </row>
    <row r="1618" spans="1:5" x14ac:dyDescent="0.3">
      <c r="A1618" t="s">
        <v>448</v>
      </c>
      <c r="B1618">
        <v>2100095168</v>
      </c>
      <c r="C1618" t="s">
        <v>2457</v>
      </c>
      <c r="D1618" t="s">
        <v>2457</v>
      </c>
      <c r="E1618" t="str">
        <f t="shared" si="25"/>
        <v>Evrika2100095168</v>
      </c>
    </row>
    <row r="1619" spans="1:5" x14ac:dyDescent="0.3">
      <c r="A1619" t="s">
        <v>448</v>
      </c>
      <c r="B1619">
        <v>7211003488</v>
      </c>
      <c r="C1619" t="s">
        <v>2458</v>
      </c>
      <c r="D1619" t="s">
        <v>2458</v>
      </c>
      <c r="E1619" t="str">
        <f t="shared" si="25"/>
        <v>Evrika7211003488</v>
      </c>
    </row>
    <row r="1620" spans="1:5" x14ac:dyDescent="0.3">
      <c r="A1620" t="s">
        <v>448</v>
      </c>
      <c r="B1620">
        <v>7211002126</v>
      </c>
      <c r="C1620" t="s">
        <v>2459</v>
      </c>
      <c r="D1620" t="s">
        <v>2459</v>
      </c>
      <c r="E1620" t="str">
        <f t="shared" si="25"/>
        <v>Evrika7211002126</v>
      </c>
    </row>
    <row r="1621" spans="1:5" x14ac:dyDescent="0.3">
      <c r="A1621" t="s">
        <v>448</v>
      </c>
      <c r="B1621">
        <v>7211004283</v>
      </c>
      <c r="C1621" t="s">
        <v>1844</v>
      </c>
      <c r="D1621" t="s">
        <v>1844</v>
      </c>
      <c r="E1621" t="str">
        <f t="shared" si="25"/>
        <v>Evrika7211004283</v>
      </c>
    </row>
    <row r="1622" spans="1:5" x14ac:dyDescent="0.3">
      <c r="A1622" t="s">
        <v>448</v>
      </c>
      <c r="B1622">
        <v>7211004672</v>
      </c>
      <c r="C1622" t="s">
        <v>363</v>
      </c>
      <c r="D1622" t="s">
        <v>363</v>
      </c>
      <c r="E1622" t="str">
        <f t="shared" si="25"/>
        <v>Evrika7211004672</v>
      </c>
    </row>
    <row r="1623" spans="1:5" x14ac:dyDescent="0.3">
      <c r="A1623" t="s">
        <v>448</v>
      </c>
      <c r="B1623">
        <v>7211004670</v>
      </c>
      <c r="C1623" t="s">
        <v>404</v>
      </c>
      <c r="D1623" t="s">
        <v>404</v>
      </c>
      <c r="E1623" t="str">
        <f t="shared" si="25"/>
        <v>Evrika7211004670</v>
      </c>
    </row>
    <row r="1624" spans="1:5" x14ac:dyDescent="0.3">
      <c r="A1624" t="s">
        <v>448</v>
      </c>
      <c r="B1624">
        <v>7211004682</v>
      </c>
      <c r="C1624" t="s">
        <v>119</v>
      </c>
      <c r="D1624" t="s">
        <v>119</v>
      </c>
      <c r="E1624" t="str">
        <f t="shared" si="25"/>
        <v>Evrika7211004682</v>
      </c>
    </row>
    <row r="1625" spans="1:5" x14ac:dyDescent="0.3">
      <c r="A1625" t="s">
        <v>448</v>
      </c>
      <c r="B1625">
        <v>7211004699</v>
      </c>
      <c r="C1625" t="s">
        <v>120</v>
      </c>
      <c r="D1625" t="s">
        <v>120</v>
      </c>
      <c r="E1625" t="str">
        <f t="shared" si="25"/>
        <v>Evrika7211004699</v>
      </c>
    </row>
    <row r="1626" spans="1:5" x14ac:dyDescent="0.3">
      <c r="A1626" t="s">
        <v>448</v>
      </c>
      <c r="B1626">
        <v>1830008176</v>
      </c>
      <c r="C1626" t="s">
        <v>8</v>
      </c>
      <c r="D1626" t="s">
        <v>8</v>
      </c>
      <c r="E1626" t="str">
        <f t="shared" si="25"/>
        <v>Evrika1830008176</v>
      </c>
    </row>
    <row r="1627" spans="1:5" x14ac:dyDescent="0.3">
      <c r="A1627" t="s">
        <v>448</v>
      </c>
      <c r="B1627">
        <v>1830007520</v>
      </c>
      <c r="C1627" t="s">
        <v>7</v>
      </c>
      <c r="D1627" t="s">
        <v>7</v>
      </c>
      <c r="E1627" t="str">
        <f t="shared" si="25"/>
        <v>Evrika1830007520</v>
      </c>
    </row>
    <row r="1628" spans="1:5" x14ac:dyDescent="0.3">
      <c r="A1628" t="s">
        <v>448</v>
      </c>
      <c r="B1628">
        <v>2211400703</v>
      </c>
      <c r="C1628" t="s">
        <v>1120</v>
      </c>
      <c r="D1628" t="s">
        <v>1120</v>
      </c>
      <c r="E1628" t="str">
        <f t="shared" si="25"/>
        <v>Evrika2211400703</v>
      </c>
    </row>
    <row r="1629" spans="1:5" x14ac:dyDescent="0.3">
      <c r="A1629" t="s">
        <v>448</v>
      </c>
      <c r="B1629">
        <v>2211400704</v>
      </c>
      <c r="C1629" t="s">
        <v>2460</v>
      </c>
      <c r="D1629" t="s">
        <v>2460</v>
      </c>
      <c r="E1629" t="str">
        <f t="shared" si="25"/>
        <v>Evrika2211400704</v>
      </c>
    </row>
    <row r="1630" spans="1:5" x14ac:dyDescent="0.3">
      <c r="A1630" t="s">
        <v>448</v>
      </c>
      <c r="B1630">
        <v>2211400967</v>
      </c>
      <c r="C1630" t="s">
        <v>360</v>
      </c>
      <c r="D1630" t="s">
        <v>360</v>
      </c>
      <c r="E1630" t="str">
        <f t="shared" si="25"/>
        <v>Evrika2211400967</v>
      </c>
    </row>
    <row r="1631" spans="1:5" x14ac:dyDescent="0.3">
      <c r="A1631" t="s">
        <v>448</v>
      </c>
      <c r="B1631">
        <v>2211400921</v>
      </c>
      <c r="C1631" t="s">
        <v>33</v>
      </c>
      <c r="D1631" t="s">
        <v>33</v>
      </c>
      <c r="E1631" t="str">
        <f t="shared" si="25"/>
        <v>Evrika2211400921</v>
      </c>
    </row>
    <row r="1632" spans="1:5" x14ac:dyDescent="0.3">
      <c r="A1632" t="s">
        <v>448</v>
      </c>
      <c r="B1632">
        <v>2211400962</v>
      </c>
      <c r="C1632" t="s">
        <v>1425</v>
      </c>
      <c r="D1632" t="s">
        <v>1425</v>
      </c>
      <c r="E1632" t="str">
        <f t="shared" si="25"/>
        <v>Evrika2211400962</v>
      </c>
    </row>
    <row r="1633" spans="1:5" x14ac:dyDescent="0.3">
      <c r="A1633" t="s">
        <v>448</v>
      </c>
      <c r="B1633">
        <v>2211400769</v>
      </c>
      <c r="C1633" t="s">
        <v>1189</v>
      </c>
      <c r="D1633" t="s">
        <v>1189</v>
      </c>
      <c r="E1633" t="str">
        <f t="shared" si="25"/>
        <v>Evrika2211400769</v>
      </c>
    </row>
    <row r="1634" spans="1:5" x14ac:dyDescent="0.3">
      <c r="A1634" t="s">
        <v>448</v>
      </c>
      <c r="B1634">
        <v>2211400961</v>
      </c>
      <c r="C1634" t="s">
        <v>2111</v>
      </c>
      <c r="D1634" t="s">
        <v>2111</v>
      </c>
      <c r="E1634" t="str">
        <f t="shared" si="25"/>
        <v>Evrika2211400961</v>
      </c>
    </row>
    <row r="1635" spans="1:5" x14ac:dyDescent="0.3">
      <c r="A1635" t="s">
        <v>448</v>
      </c>
      <c r="B1635">
        <v>2211401049</v>
      </c>
      <c r="C1635" t="s">
        <v>126</v>
      </c>
      <c r="D1635" t="s">
        <v>126</v>
      </c>
      <c r="E1635" t="str">
        <f t="shared" si="25"/>
        <v>Evrika2211401049</v>
      </c>
    </row>
    <row r="1636" spans="1:5" x14ac:dyDescent="0.3">
      <c r="A1636" t="s">
        <v>448</v>
      </c>
      <c r="B1636">
        <v>2211401050</v>
      </c>
      <c r="C1636" t="s">
        <v>127</v>
      </c>
      <c r="D1636" t="s">
        <v>127</v>
      </c>
      <c r="E1636" t="str">
        <f t="shared" si="25"/>
        <v>Evrika2211401050</v>
      </c>
    </row>
    <row r="1637" spans="1:5" x14ac:dyDescent="0.3">
      <c r="A1637" t="s">
        <v>448</v>
      </c>
      <c r="B1637">
        <v>2211401039</v>
      </c>
      <c r="C1637" t="s">
        <v>31</v>
      </c>
      <c r="D1637" t="s">
        <v>31</v>
      </c>
      <c r="E1637" t="str">
        <f t="shared" si="25"/>
        <v>Evrika2211401039</v>
      </c>
    </row>
    <row r="1638" spans="1:5" x14ac:dyDescent="0.3">
      <c r="A1638" t="s">
        <v>448</v>
      </c>
      <c r="B1638">
        <v>2211401091</v>
      </c>
      <c r="C1638" t="s">
        <v>394</v>
      </c>
      <c r="D1638" t="s">
        <v>394</v>
      </c>
      <c r="E1638" t="str">
        <f t="shared" si="25"/>
        <v>Evrika2211401091</v>
      </c>
    </row>
    <row r="1639" spans="1:5" x14ac:dyDescent="0.3">
      <c r="A1639" t="s">
        <v>448</v>
      </c>
      <c r="B1639">
        <v>7211004055</v>
      </c>
      <c r="C1639" t="s">
        <v>1098</v>
      </c>
      <c r="D1639" t="s">
        <v>1098</v>
      </c>
      <c r="E1639" t="str">
        <f t="shared" si="25"/>
        <v>Evrika7211004055</v>
      </c>
    </row>
    <row r="1640" spans="1:5" x14ac:dyDescent="0.3">
      <c r="A1640" t="s">
        <v>448</v>
      </c>
      <c r="B1640">
        <v>7211003141</v>
      </c>
      <c r="C1640" t="s">
        <v>898</v>
      </c>
      <c r="D1640" t="s">
        <v>898</v>
      </c>
      <c r="E1640" t="str">
        <f t="shared" si="25"/>
        <v>Evrika7211003141</v>
      </c>
    </row>
    <row r="1641" spans="1:5" x14ac:dyDescent="0.3">
      <c r="A1641" t="s">
        <v>448</v>
      </c>
      <c r="B1641">
        <v>7211002101</v>
      </c>
      <c r="C1641" t="s">
        <v>425</v>
      </c>
      <c r="D1641" t="s">
        <v>425</v>
      </c>
      <c r="E1641" t="str">
        <f t="shared" si="25"/>
        <v>Evrika7211002101</v>
      </c>
    </row>
    <row r="1642" spans="1:5" x14ac:dyDescent="0.3">
      <c r="A1642" t="s">
        <v>448</v>
      </c>
      <c r="B1642">
        <v>7211003964</v>
      </c>
      <c r="C1642" t="s">
        <v>2461</v>
      </c>
      <c r="D1642" t="s">
        <v>2461</v>
      </c>
      <c r="E1642" t="str">
        <f t="shared" si="25"/>
        <v>Evrika7211003964</v>
      </c>
    </row>
    <row r="1643" spans="1:5" x14ac:dyDescent="0.3">
      <c r="A1643" t="s">
        <v>448</v>
      </c>
      <c r="B1643">
        <v>1830007960</v>
      </c>
      <c r="C1643" t="s">
        <v>1732</v>
      </c>
      <c r="D1643" t="s">
        <v>1732</v>
      </c>
      <c r="E1643" t="str">
        <f t="shared" si="25"/>
        <v>Evrika1830007960</v>
      </c>
    </row>
    <row r="1644" spans="1:5" x14ac:dyDescent="0.3">
      <c r="A1644" t="s">
        <v>448</v>
      </c>
      <c r="B1644">
        <v>1830006388</v>
      </c>
      <c r="C1644" t="s">
        <v>2462</v>
      </c>
      <c r="D1644" t="s">
        <v>2462</v>
      </c>
      <c r="E1644" t="str">
        <f t="shared" si="25"/>
        <v>Evrika1830006388</v>
      </c>
    </row>
    <row r="1645" spans="1:5" x14ac:dyDescent="0.3">
      <c r="A1645" t="s">
        <v>448</v>
      </c>
      <c r="B1645">
        <v>1830008496</v>
      </c>
      <c r="C1645" t="s">
        <v>1619</v>
      </c>
      <c r="D1645" t="s">
        <v>1619</v>
      </c>
      <c r="E1645" t="str">
        <f t="shared" si="25"/>
        <v>Evrika1830008496</v>
      </c>
    </row>
    <row r="1646" spans="1:5" x14ac:dyDescent="0.3">
      <c r="A1646" t="s">
        <v>448</v>
      </c>
      <c r="B1646">
        <v>1830008182</v>
      </c>
      <c r="C1646" t="s">
        <v>1396</v>
      </c>
      <c r="D1646" t="s">
        <v>1396</v>
      </c>
      <c r="E1646" t="str">
        <f t="shared" si="25"/>
        <v>Evrika1830008182</v>
      </c>
    </row>
    <row r="1647" spans="1:5" x14ac:dyDescent="0.3">
      <c r="A1647" t="s">
        <v>448</v>
      </c>
      <c r="B1647">
        <v>1830008391</v>
      </c>
      <c r="C1647" t="s">
        <v>2463</v>
      </c>
      <c r="D1647" t="s">
        <v>2463</v>
      </c>
      <c r="E1647" t="str">
        <f t="shared" si="25"/>
        <v>Evrika1830008391</v>
      </c>
    </row>
    <row r="1648" spans="1:5" x14ac:dyDescent="0.3">
      <c r="A1648" t="s">
        <v>448</v>
      </c>
      <c r="B1648">
        <v>1830008061</v>
      </c>
      <c r="C1648" t="s">
        <v>1392</v>
      </c>
      <c r="D1648" t="s">
        <v>1392</v>
      </c>
      <c r="E1648" t="str">
        <f t="shared" si="25"/>
        <v>Evrika1830008061</v>
      </c>
    </row>
    <row r="1649" spans="1:5" x14ac:dyDescent="0.3">
      <c r="A1649" t="s">
        <v>448</v>
      </c>
      <c r="B1649">
        <v>1830008493</v>
      </c>
      <c r="C1649" t="s">
        <v>1621</v>
      </c>
      <c r="D1649" t="s">
        <v>1621</v>
      </c>
      <c r="E1649" t="str">
        <f t="shared" si="25"/>
        <v>Evrika1830008493</v>
      </c>
    </row>
    <row r="1650" spans="1:5" x14ac:dyDescent="0.3">
      <c r="A1650" t="s">
        <v>448</v>
      </c>
      <c r="B1650">
        <v>1830006479</v>
      </c>
      <c r="C1650" t="s">
        <v>1166</v>
      </c>
      <c r="D1650" t="s">
        <v>1166</v>
      </c>
      <c r="E1650" t="str">
        <f t="shared" si="25"/>
        <v>Evrika1830006479</v>
      </c>
    </row>
    <row r="1651" spans="1:5" x14ac:dyDescent="0.3">
      <c r="A1651" t="s">
        <v>448</v>
      </c>
      <c r="B1651">
        <v>1830004932</v>
      </c>
      <c r="C1651" t="s">
        <v>560</v>
      </c>
      <c r="D1651" t="s">
        <v>560</v>
      </c>
      <c r="E1651" t="str">
        <f t="shared" si="25"/>
        <v>Evrika1830004932</v>
      </c>
    </row>
    <row r="1652" spans="1:5" x14ac:dyDescent="0.3">
      <c r="A1652" t="s">
        <v>448</v>
      </c>
      <c r="B1652">
        <v>1830008582</v>
      </c>
      <c r="C1652" t="s">
        <v>1700</v>
      </c>
      <c r="D1652" t="s">
        <v>1700</v>
      </c>
      <c r="E1652" t="str">
        <f t="shared" si="25"/>
        <v>Evrika1830008582</v>
      </c>
    </row>
    <row r="1653" spans="1:5" x14ac:dyDescent="0.3">
      <c r="A1653" t="s">
        <v>448</v>
      </c>
      <c r="B1653">
        <v>1830005680</v>
      </c>
      <c r="C1653" t="s">
        <v>1388</v>
      </c>
      <c r="D1653" t="s">
        <v>1388</v>
      </c>
      <c r="E1653" t="str">
        <f t="shared" si="25"/>
        <v>Evrika1830005680</v>
      </c>
    </row>
    <row r="1654" spans="1:5" x14ac:dyDescent="0.3">
      <c r="A1654" t="s">
        <v>448</v>
      </c>
      <c r="B1654">
        <v>1830006013</v>
      </c>
      <c r="C1654" t="s">
        <v>423</v>
      </c>
      <c r="D1654" t="s">
        <v>423</v>
      </c>
      <c r="E1654" t="str">
        <f t="shared" si="25"/>
        <v>Evrika1830006013</v>
      </c>
    </row>
    <row r="1655" spans="1:5" x14ac:dyDescent="0.3">
      <c r="A1655" t="s">
        <v>448</v>
      </c>
      <c r="B1655">
        <v>1830007828</v>
      </c>
      <c r="C1655" t="s">
        <v>1262</v>
      </c>
      <c r="D1655" t="s">
        <v>1262</v>
      </c>
      <c r="E1655" t="str">
        <f t="shared" si="25"/>
        <v>Evrika1830007828</v>
      </c>
    </row>
    <row r="1656" spans="1:5" x14ac:dyDescent="0.3">
      <c r="A1656" t="s">
        <v>448</v>
      </c>
      <c r="B1656">
        <v>1830007515</v>
      </c>
      <c r="C1656" t="s">
        <v>95</v>
      </c>
      <c r="D1656" t="s">
        <v>95</v>
      </c>
      <c r="E1656" t="str">
        <f t="shared" si="25"/>
        <v>Evrika1830007515</v>
      </c>
    </row>
    <row r="1657" spans="1:5" x14ac:dyDescent="0.3">
      <c r="A1657" t="s">
        <v>448</v>
      </c>
      <c r="B1657">
        <v>1830008390</v>
      </c>
      <c r="C1657" t="s">
        <v>216</v>
      </c>
      <c r="D1657" t="s">
        <v>216</v>
      </c>
      <c r="E1657" t="str">
        <f t="shared" si="25"/>
        <v>Evrika1830008390</v>
      </c>
    </row>
    <row r="1658" spans="1:5" x14ac:dyDescent="0.3">
      <c r="A1658" t="s">
        <v>448</v>
      </c>
      <c r="B1658">
        <v>1830007908</v>
      </c>
      <c r="C1658" t="s">
        <v>1865</v>
      </c>
      <c r="D1658" t="s">
        <v>1865</v>
      </c>
      <c r="E1658" t="str">
        <f t="shared" si="25"/>
        <v>Evrika1830007908</v>
      </c>
    </row>
    <row r="1659" spans="1:5" x14ac:dyDescent="0.3">
      <c r="A1659" t="s">
        <v>448</v>
      </c>
      <c r="B1659">
        <v>1830007904</v>
      </c>
      <c r="C1659" t="s">
        <v>2464</v>
      </c>
      <c r="D1659" t="s">
        <v>2464</v>
      </c>
      <c r="E1659" t="str">
        <f t="shared" si="25"/>
        <v>Evrika1830007904</v>
      </c>
    </row>
    <row r="1660" spans="1:5" x14ac:dyDescent="0.3">
      <c r="A1660" t="s">
        <v>448</v>
      </c>
      <c r="B1660">
        <v>1830007909</v>
      </c>
      <c r="C1660" t="s">
        <v>1383</v>
      </c>
      <c r="D1660" t="s">
        <v>1383</v>
      </c>
      <c r="E1660" t="str">
        <f t="shared" si="25"/>
        <v>Evrika1830007909</v>
      </c>
    </row>
    <row r="1661" spans="1:5" x14ac:dyDescent="0.3">
      <c r="A1661" t="s">
        <v>448</v>
      </c>
      <c r="B1661">
        <v>1830006593</v>
      </c>
      <c r="C1661" t="s">
        <v>1869</v>
      </c>
      <c r="D1661" t="s">
        <v>1869</v>
      </c>
      <c r="E1661" t="str">
        <f t="shared" si="25"/>
        <v>Evrika1830006593</v>
      </c>
    </row>
    <row r="1662" spans="1:5" x14ac:dyDescent="0.3">
      <c r="A1662" t="s">
        <v>448</v>
      </c>
      <c r="B1662">
        <v>1830006950</v>
      </c>
      <c r="C1662" t="s">
        <v>1871</v>
      </c>
      <c r="D1662" t="s">
        <v>1871</v>
      </c>
      <c r="E1662" t="str">
        <f t="shared" si="25"/>
        <v>Evrika1830006950</v>
      </c>
    </row>
    <row r="1663" spans="1:5" x14ac:dyDescent="0.3">
      <c r="A1663" t="s">
        <v>448</v>
      </c>
      <c r="B1663">
        <v>1830007679</v>
      </c>
      <c r="C1663" t="s">
        <v>1246</v>
      </c>
      <c r="D1663" t="s">
        <v>1246</v>
      </c>
      <c r="E1663" t="str">
        <f t="shared" si="25"/>
        <v>Evrika1830007679</v>
      </c>
    </row>
    <row r="1664" spans="1:5" x14ac:dyDescent="0.3">
      <c r="A1664" t="s">
        <v>448</v>
      </c>
      <c r="B1664">
        <v>1830007763</v>
      </c>
      <c r="C1664" t="s">
        <v>18</v>
      </c>
      <c r="D1664" t="s">
        <v>18</v>
      </c>
      <c r="E1664" t="str">
        <f t="shared" si="25"/>
        <v>Evrika1830007763</v>
      </c>
    </row>
    <row r="1665" spans="1:5" x14ac:dyDescent="0.3">
      <c r="A1665" t="s">
        <v>448</v>
      </c>
      <c r="B1665">
        <v>1830007990</v>
      </c>
      <c r="C1665" t="s">
        <v>1182</v>
      </c>
      <c r="D1665" t="s">
        <v>1182</v>
      </c>
      <c r="E1665" t="str">
        <f t="shared" si="25"/>
        <v>Evrika1830007990</v>
      </c>
    </row>
    <row r="1666" spans="1:5" x14ac:dyDescent="0.3">
      <c r="A1666" t="s">
        <v>448</v>
      </c>
      <c r="B1666">
        <v>1830005956</v>
      </c>
      <c r="C1666" t="s">
        <v>558</v>
      </c>
      <c r="D1666" t="s">
        <v>558</v>
      </c>
      <c r="E1666" t="str">
        <f t="shared" si="25"/>
        <v>Evrika1830005956</v>
      </c>
    </row>
    <row r="1667" spans="1:5" x14ac:dyDescent="0.3">
      <c r="A1667" t="s">
        <v>448</v>
      </c>
      <c r="B1667">
        <v>1830008164</v>
      </c>
      <c r="C1667" t="s">
        <v>1533</v>
      </c>
      <c r="D1667" t="s">
        <v>1533</v>
      </c>
      <c r="E1667" t="str">
        <f t="shared" ref="E1667:E1730" si="26">A1667&amp;B1667</f>
        <v>Evrika1830008164</v>
      </c>
    </row>
    <row r="1668" spans="1:5" x14ac:dyDescent="0.3">
      <c r="A1668" t="s">
        <v>448</v>
      </c>
      <c r="B1668">
        <v>1830007935</v>
      </c>
      <c r="C1668" t="s">
        <v>2465</v>
      </c>
      <c r="D1668" t="s">
        <v>2465</v>
      </c>
      <c r="E1668" t="str">
        <f t="shared" si="26"/>
        <v>Evrika1830007935</v>
      </c>
    </row>
    <row r="1669" spans="1:5" x14ac:dyDescent="0.3">
      <c r="A1669" t="s">
        <v>448</v>
      </c>
      <c r="B1669">
        <v>1830005921</v>
      </c>
      <c r="C1669" t="s">
        <v>618</v>
      </c>
      <c r="D1669" t="s">
        <v>618</v>
      </c>
      <c r="E1669" t="str">
        <f t="shared" si="26"/>
        <v>Evrika1830005921</v>
      </c>
    </row>
    <row r="1670" spans="1:5" x14ac:dyDescent="0.3">
      <c r="A1670" t="s">
        <v>448</v>
      </c>
      <c r="B1670">
        <v>1830008213</v>
      </c>
      <c r="C1670" t="s">
        <v>1513</v>
      </c>
      <c r="D1670" t="s">
        <v>1513</v>
      </c>
      <c r="E1670" t="str">
        <f t="shared" si="26"/>
        <v>Evrika1830008213</v>
      </c>
    </row>
    <row r="1671" spans="1:5" x14ac:dyDescent="0.3">
      <c r="A1671" t="s">
        <v>448</v>
      </c>
      <c r="B1671">
        <v>1830005450</v>
      </c>
      <c r="C1671" t="s">
        <v>2466</v>
      </c>
      <c r="D1671" t="s">
        <v>2466</v>
      </c>
      <c r="E1671" t="str">
        <f t="shared" si="26"/>
        <v>Evrika1830005450</v>
      </c>
    </row>
    <row r="1672" spans="1:5" x14ac:dyDescent="0.3">
      <c r="A1672" t="s">
        <v>448</v>
      </c>
      <c r="B1672">
        <v>1830007972</v>
      </c>
      <c r="C1672" t="s">
        <v>1020</v>
      </c>
      <c r="D1672" t="s">
        <v>1020</v>
      </c>
      <c r="E1672" t="str">
        <f t="shared" si="26"/>
        <v>Evrika1830007972</v>
      </c>
    </row>
    <row r="1673" spans="1:5" x14ac:dyDescent="0.3">
      <c r="A1673" t="s">
        <v>448</v>
      </c>
      <c r="B1673">
        <v>1830008214</v>
      </c>
      <c r="C1673" t="s">
        <v>1557</v>
      </c>
      <c r="D1673" t="s">
        <v>1557</v>
      </c>
      <c r="E1673" t="str">
        <f t="shared" si="26"/>
        <v>Evrika1830008214</v>
      </c>
    </row>
    <row r="1674" spans="1:5" x14ac:dyDescent="0.3">
      <c r="A1674" t="s">
        <v>448</v>
      </c>
      <c r="B1674">
        <v>1830008122</v>
      </c>
      <c r="C1674" t="s">
        <v>354</v>
      </c>
      <c r="D1674" t="s">
        <v>354</v>
      </c>
      <c r="E1674" t="str">
        <f t="shared" si="26"/>
        <v>Evrika1830008122</v>
      </c>
    </row>
    <row r="1675" spans="1:5" x14ac:dyDescent="0.3">
      <c r="A1675" t="s">
        <v>448</v>
      </c>
      <c r="B1675">
        <v>1830008217</v>
      </c>
      <c r="C1675" t="s">
        <v>1969</v>
      </c>
      <c r="D1675" t="s">
        <v>1969</v>
      </c>
      <c r="E1675" t="str">
        <f t="shared" si="26"/>
        <v>Evrika1830008217</v>
      </c>
    </row>
    <row r="1676" spans="1:5" x14ac:dyDescent="0.3">
      <c r="A1676" t="s">
        <v>448</v>
      </c>
      <c r="B1676">
        <v>1830007997</v>
      </c>
      <c r="C1676" t="s">
        <v>2467</v>
      </c>
      <c r="D1676" t="s">
        <v>2467</v>
      </c>
      <c r="E1676" t="str">
        <f t="shared" si="26"/>
        <v>Evrika1830007997</v>
      </c>
    </row>
    <row r="1677" spans="1:5" x14ac:dyDescent="0.3">
      <c r="A1677" t="s">
        <v>448</v>
      </c>
      <c r="B1677">
        <v>1830008022</v>
      </c>
      <c r="C1677" t="s">
        <v>100</v>
      </c>
      <c r="D1677" t="s">
        <v>100</v>
      </c>
      <c r="E1677" t="str">
        <f t="shared" si="26"/>
        <v>Evrika1830008022</v>
      </c>
    </row>
    <row r="1678" spans="1:5" x14ac:dyDescent="0.3">
      <c r="A1678" t="s">
        <v>448</v>
      </c>
      <c r="B1678">
        <v>8000035379</v>
      </c>
      <c r="C1678" t="s">
        <v>2210</v>
      </c>
      <c r="D1678" t="s">
        <v>2210</v>
      </c>
      <c r="E1678" t="str">
        <f t="shared" si="26"/>
        <v>Evrika8000035379</v>
      </c>
    </row>
    <row r="1679" spans="1:5" x14ac:dyDescent="0.3">
      <c r="A1679" t="s">
        <v>448</v>
      </c>
      <c r="B1679">
        <v>7211003769</v>
      </c>
      <c r="C1679" t="s">
        <v>2468</v>
      </c>
      <c r="D1679" t="s">
        <v>2468</v>
      </c>
      <c r="E1679" t="str">
        <f t="shared" si="26"/>
        <v>Evrika7211003769</v>
      </c>
    </row>
    <row r="1680" spans="1:5" x14ac:dyDescent="0.3">
      <c r="A1680" t="s">
        <v>448</v>
      </c>
      <c r="B1680">
        <v>2211401061</v>
      </c>
      <c r="C1680" t="s">
        <v>1598</v>
      </c>
      <c r="D1680" t="s">
        <v>1598</v>
      </c>
      <c r="E1680" t="str">
        <f t="shared" si="26"/>
        <v>Evrika2211401061</v>
      </c>
    </row>
    <row r="1681" spans="1:5" x14ac:dyDescent="0.3">
      <c r="A1681" t="s">
        <v>448</v>
      </c>
      <c r="B1681">
        <v>2211400646</v>
      </c>
      <c r="C1681" t="s">
        <v>1077</v>
      </c>
      <c r="D1681" t="s">
        <v>1077</v>
      </c>
      <c r="E1681" t="str">
        <f t="shared" si="26"/>
        <v>Evrika2211400646</v>
      </c>
    </row>
    <row r="1682" spans="1:5" x14ac:dyDescent="0.3">
      <c r="A1682" t="s">
        <v>448</v>
      </c>
      <c r="B1682">
        <v>2211400650</v>
      </c>
      <c r="C1682" t="s">
        <v>431</v>
      </c>
      <c r="D1682" t="s">
        <v>431</v>
      </c>
      <c r="E1682" t="str">
        <f t="shared" si="26"/>
        <v>Evrika2211400650</v>
      </c>
    </row>
    <row r="1683" spans="1:5" x14ac:dyDescent="0.3">
      <c r="A1683" t="s">
        <v>448</v>
      </c>
      <c r="B1683">
        <v>2211400261</v>
      </c>
      <c r="C1683" t="s">
        <v>2469</v>
      </c>
      <c r="D1683" t="s">
        <v>2469</v>
      </c>
      <c r="E1683" t="str">
        <f t="shared" si="26"/>
        <v>Evrika2211400261</v>
      </c>
    </row>
    <row r="1684" spans="1:5" x14ac:dyDescent="0.3">
      <c r="A1684" t="s">
        <v>448</v>
      </c>
      <c r="B1684">
        <v>7211004388</v>
      </c>
      <c r="C1684" t="s">
        <v>1116</v>
      </c>
      <c r="D1684" t="s">
        <v>1116</v>
      </c>
      <c r="E1684" t="str">
        <f t="shared" si="26"/>
        <v>Evrika7211004388</v>
      </c>
    </row>
    <row r="1685" spans="1:5" x14ac:dyDescent="0.3">
      <c r="A1685" t="s">
        <v>448</v>
      </c>
      <c r="B1685">
        <v>2211400797</v>
      </c>
      <c r="C1685" t="s">
        <v>1581</v>
      </c>
      <c r="D1685" t="s">
        <v>1581</v>
      </c>
      <c r="E1685" t="str">
        <f t="shared" si="26"/>
        <v>Evrika2211400797</v>
      </c>
    </row>
    <row r="1686" spans="1:5" x14ac:dyDescent="0.3">
      <c r="A1686" t="s">
        <v>448</v>
      </c>
      <c r="B1686">
        <v>2211401018</v>
      </c>
      <c r="C1686" t="s">
        <v>2470</v>
      </c>
      <c r="D1686" t="s">
        <v>2470</v>
      </c>
      <c r="E1686" t="str">
        <f t="shared" si="26"/>
        <v>Evrika2211401018</v>
      </c>
    </row>
    <row r="1687" spans="1:5" x14ac:dyDescent="0.3">
      <c r="A1687" t="s">
        <v>448</v>
      </c>
      <c r="B1687">
        <v>2211401014</v>
      </c>
      <c r="C1687" t="s">
        <v>371</v>
      </c>
      <c r="D1687" t="s">
        <v>371</v>
      </c>
      <c r="E1687" t="str">
        <f t="shared" si="26"/>
        <v>Evrika2211401014</v>
      </c>
    </row>
    <row r="1688" spans="1:5" x14ac:dyDescent="0.3">
      <c r="A1688" t="s">
        <v>448</v>
      </c>
      <c r="B1688">
        <v>2211400854</v>
      </c>
      <c r="C1688" t="s">
        <v>29</v>
      </c>
      <c r="D1688" t="s">
        <v>29</v>
      </c>
      <c r="E1688" t="str">
        <f t="shared" si="26"/>
        <v>Evrika2211400854</v>
      </c>
    </row>
    <row r="1689" spans="1:5" x14ac:dyDescent="0.3">
      <c r="A1689" t="s">
        <v>448</v>
      </c>
      <c r="B1689">
        <v>2211400464</v>
      </c>
      <c r="C1689" t="s">
        <v>2471</v>
      </c>
      <c r="D1689" t="s">
        <v>2471</v>
      </c>
      <c r="E1689" t="str">
        <f t="shared" si="26"/>
        <v>Evrika2211400464</v>
      </c>
    </row>
    <row r="1690" spans="1:5" x14ac:dyDescent="0.3">
      <c r="A1690" t="s">
        <v>448</v>
      </c>
      <c r="B1690">
        <v>2211400844</v>
      </c>
      <c r="C1690" t="s">
        <v>27</v>
      </c>
      <c r="D1690" t="s">
        <v>27</v>
      </c>
      <c r="E1690" t="str">
        <f t="shared" si="26"/>
        <v>Evrika2211400844</v>
      </c>
    </row>
    <row r="1691" spans="1:5" x14ac:dyDescent="0.3">
      <c r="A1691" t="s">
        <v>448</v>
      </c>
      <c r="B1691">
        <v>2211400560</v>
      </c>
      <c r="C1691" t="s">
        <v>2101</v>
      </c>
      <c r="D1691" t="s">
        <v>2101</v>
      </c>
      <c r="E1691" t="str">
        <f t="shared" si="26"/>
        <v>Evrika2211400560</v>
      </c>
    </row>
    <row r="1692" spans="1:5" x14ac:dyDescent="0.3">
      <c r="A1692" t="s">
        <v>448</v>
      </c>
      <c r="B1692">
        <v>2211400810</v>
      </c>
      <c r="C1692" t="s">
        <v>25</v>
      </c>
      <c r="D1692" t="s">
        <v>25</v>
      </c>
      <c r="E1692" t="str">
        <f t="shared" si="26"/>
        <v>Evrika2211400810</v>
      </c>
    </row>
    <row r="1693" spans="1:5" x14ac:dyDescent="0.3">
      <c r="A1693" t="s">
        <v>448</v>
      </c>
      <c r="B1693">
        <v>2211400880</v>
      </c>
      <c r="C1693" t="s">
        <v>1135</v>
      </c>
      <c r="D1693" t="s">
        <v>1135</v>
      </c>
      <c r="E1693" t="str">
        <f t="shared" si="26"/>
        <v>Evrika2211400880</v>
      </c>
    </row>
    <row r="1694" spans="1:5" x14ac:dyDescent="0.3">
      <c r="A1694" t="s">
        <v>448</v>
      </c>
      <c r="B1694">
        <v>2211400879</v>
      </c>
      <c r="C1694" t="s">
        <v>1122</v>
      </c>
      <c r="D1694" t="s">
        <v>1122</v>
      </c>
      <c r="E1694" t="str">
        <f t="shared" si="26"/>
        <v>Evrika2211400879</v>
      </c>
    </row>
    <row r="1695" spans="1:5" x14ac:dyDescent="0.3">
      <c r="A1695" t="s">
        <v>448</v>
      </c>
      <c r="B1695">
        <v>2211400372</v>
      </c>
      <c r="C1695" t="s">
        <v>851</v>
      </c>
      <c r="D1695" t="s">
        <v>851</v>
      </c>
      <c r="E1695" t="str">
        <f t="shared" si="26"/>
        <v>Evrika2211400372</v>
      </c>
    </row>
    <row r="1696" spans="1:5" x14ac:dyDescent="0.3">
      <c r="A1696" t="s">
        <v>448</v>
      </c>
      <c r="B1696">
        <v>2211400773</v>
      </c>
      <c r="C1696" t="s">
        <v>1124</v>
      </c>
      <c r="D1696" t="s">
        <v>1124</v>
      </c>
      <c r="E1696" t="str">
        <f t="shared" si="26"/>
        <v>Evrika2211400773</v>
      </c>
    </row>
    <row r="1697" spans="1:5" x14ac:dyDescent="0.3">
      <c r="A1697" t="s">
        <v>448</v>
      </c>
      <c r="B1697">
        <v>2211400615</v>
      </c>
      <c r="C1697" t="s">
        <v>1064</v>
      </c>
      <c r="D1697" t="s">
        <v>1064</v>
      </c>
      <c r="E1697" t="str">
        <f t="shared" si="26"/>
        <v>Evrika2211400615</v>
      </c>
    </row>
    <row r="1698" spans="1:5" x14ac:dyDescent="0.3">
      <c r="A1698" t="s">
        <v>448</v>
      </c>
      <c r="B1698">
        <v>2211400825</v>
      </c>
      <c r="C1698" t="s">
        <v>1277</v>
      </c>
      <c r="D1698" t="s">
        <v>1277</v>
      </c>
      <c r="E1698" t="str">
        <f t="shared" si="26"/>
        <v>Evrika2211400825</v>
      </c>
    </row>
    <row r="1699" spans="1:5" x14ac:dyDescent="0.3">
      <c r="A1699" t="s">
        <v>448</v>
      </c>
      <c r="B1699">
        <v>2211400824</v>
      </c>
      <c r="C1699" t="s">
        <v>1130</v>
      </c>
      <c r="D1699" t="s">
        <v>1130</v>
      </c>
      <c r="E1699" t="str">
        <f t="shared" si="26"/>
        <v>Evrika2211400824</v>
      </c>
    </row>
    <row r="1700" spans="1:5" x14ac:dyDescent="0.3">
      <c r="A1700" t="s">
        <v>448</v>
      </c>
      <c r="B1700">
        <v>2211400690</v>
      </c>
      <c r="C1700" t="s">
        <v>36</v>
      </c>
      <c r="D1700" t="s">
        <v>36</v>
      </c>
      <c r="E1700" t="str">
        <f t="shared" si="26"/>
        <v>Evrika2211400690</v>
      </c>
    </row>
    <row r="1701" spans="1:5" x14ac:dyDescent="0.3">
      <c r="A1701" t="s">
        <v>448</v>
      </c>
      <c r="B1701">
        <v>2211400886</v>
      </c>
      <c r="C1701" t="s">
        <v>1128</v>
      </c>
      <c r="D1701" t="s">
        <v>1128</v>
      </c>
      <c r="E1701" t="str">
        <f t="shared" si="26"/>
        <v>Evrika2211400886</v>
      </c>
    </row>
    <row r="1702" spans="1:5" x14ac:dyDescent="0.3">
      <c r="A1702" t="s">
        <v>448</v>
      </c>
      <c r="B1702">
        <v>2211400888</v>
      </c>
      <c r="C1702" t="s">
        <v>38</v>
      </c>
      <c r="D1702" t="s">
        <v>38</v>
      </c>
      <c r="E1702" t="str">
        <f t="shared" si="26"/>
        <v>Evrika2211400888</v>
      </c>
    </row>
    <row r="1703" spans="1:5" x14ac:dyDescent="0.3">
      <c r="A1703" t="s">
        <v>448</v>
      </c>
      <c r="B1703">
        <v>2211401132</v>
      </c>
      <c r="C1703" t="s">
        <v>373</v>
      </c>
      <c r="D1703" t="s">
        <v>373</v>
      </c>
      <c r="E1703" t="str">
        <f t="shared" si="26"/>
        <v>Evrika2211401132</v>
      </c>
    </row>
    <row r="1704" spans="1:5" x14ac:dyDescent="0.3">
      <c r="A1704" t="s">
        <v>448</v>
      </c>
      <c r="B1704">
        <v>2211400979</v>
      </c>
      <c r="C1704" t="s">
        <v>37</v>
      </c>
      <c r="D1704" t="s">
        <v>37</v>
      </c>
      <c r="E1704" t="str">
        <f t="shared" si="26"/>
        <v>Evrika2211400979</v>
      </c>
    </row>
    <row r="1705" spans="1:5" x14ac:dyDescent="0.3">
      <c r="A1705" t="s">
        <v>448</v>
      </c>
      <c r="B1705">
        <v>2820130131</v>
      </c>
      <c r="C1705" t="s">
        <v>517</v>
      </c>
      <c r="D1705" t="s">
        <v>517</v>
      </c>
      <c r="E1705" t="str">
        <f t="shared" si="26"/>
        <v>Evrika2820130131</v>
      </c>
    </row>
    <row r="1706" spans="1:5" x14ac:dyDescent="0.3">
      <c r="A1706" t="s">
        <v>448</v>
      </c>
      <c r="B1706">
        <v>1510001937</v>
      </c>
      <c r="C1706" t="s">
        <v>1655</v>
      </c>
      <c r="D1706" t="s">
        <v>1655</v>
      </c>
      <c r="E1706" t="str">
        <f t="shared" si="26"/>
        <v>Evrika1510001937</v>
      </c>
    </row>
    <row r="1707" spans="1:5" x14ac:dyDescent="0.3">
      <c r="A1707" t="s">
        <v>448</v>
      </c>
      <c r="B1707">
        <v>4100000622</v>
      </c>
      <c r="C1707" t="s">
        <v>2472</v>
      </c>
      <c r="D1707" t="s">
        <v>2472</v>
      </c>
      <c r="E1707" t="str">
        <f t="shared" si="26"/>
        <v>Evrika4100000622</v>
      </c>
    </row>
    <row r="1708" spans="1:5" x14ac:dyDescent="0.3">
      <c r="A1708" t="s">
        <v>448</v>
      </c>
      <c r="B1708">
        <v>4100000113</v>
      </c>
      <c r="C1708" t="s">
        <v>2473</v>
      </c>
      <c r="D1708" t="s">
        <v>2473</v>
      </c>
      <c r="E1708" t="str">
        <f t="shared" si="26"/>
        <v>Evrika4100000113</v>
      </c>
    </row>
    <row r="1709" spans="1:5" x14ac:dyDescent="0.3">
      <c r="A1709" t="s">
        <v>448</v>
      </c>
      <c r="B1709">
        <v>1830007687</v>
      </c>
      <c r="C1709" t="s">
        <v>1402</v>
      </c>
      <c r="D1709" t="s">
        <v>1402</v>
      </c>
      <c r="E1709" t="str">
        <f t="shared" si="26"/>
        <v>Evrika1830007687</v>
      </c>
    </row>
    <row r="1710" spans="1:5" x14ac:dyDescent="0.3">
      <c r="A1710" t="s">
        <v>448</v>
      </c>
      <c r="B1710">
        <v>4100000458</v>
      </c>
      <c r="C1710" t="s">
        <v>2474</v>
      </c>
      <c r="D1710" t="s">
        <v>2474</v>
      </c>
      <c r="E1710" t="str">
        <f t="shared" si="26"/>
        <v>Evrika4100000458</v>
      </c>
    </row>
    <row r="1711" spans="1:5" x14ac:dyDescent="0.3">
      <c r="A1711" t="s">
        <v>448</v>
      </c>
      <c r="B1711">
        <v>4100000679</v>
      </c>
      <c r="C1711" t="s">
        <v>2475</v>
      </c>
      <c r="D1711" t="s">
        <v>2475</v>
      </c>
      <c r="E1711" t="str">
        <f t="shared" si="26"/>
        <v>Evrika4100000679</v>
      </c>
    </row>
    <row r="1712" spans="1:5" x14ac:dyDescent="0.3">
      <c r="A1712" t="s">
        <v>448</v>
      </c>
      <c r="B1712">
        <v>1830006377</v>
      </c>
      <c r="C1712" t="s">
        <v>1810</v>
      </c>
      <c r="D1712" t="s">
        <v>1810</v>
      </c>
      <c r="E1712" t="str">
        <f t="shared" si="26"/>
        <v>Evrika1830006377</v>
      </c>
    </row>
    <row r="1713" spans="1:5" x14ac:dyDescent="0.3">
      <c r="A1713" t="s">
        <v>448</v>
      </c>
      <c r="B1713">
        <v>1830006444</v>
      </c>
      <c r="C1713" t="s">
        <v>1690</v>
      </c>
      <c r="D1713" t="s">
        <v>1690</v>
      </c>
      <c r="E1713" t="str">
        <f t="shared" si="26"/>
        <v>Evrika1830006444</v>
      </c>
    </row>
    <row r="1714" spans="1:5" x14ac:dyDescent="0.3">
      <c r="A1714" t="s">
        <v>448</v>
      </c>
      <c r="B1714">
        <v>7211003308</v>
      </c>
      <c r="C1714" t="s">
        <v>871</v>
      </c>
      <c r="D1714" t="s">
        <v>871</v>
      </c>
      <c r="E1714" t="str">
        <f t="shared" si="26"/>
        <v>Evrika7211003308</v>
      </c>
    </row>
    <row r="1715" spans="1:5" x14ac:dyDescent="0.3">
      <c r="A1715" t="s">
        <v>448</v>
      </c>
      <c r="B1715">
        <v>7211003840</v>
      </c>
      <c r="C1715" t="s">
        <v>1143</v>
      </c>
      <c r="D1715" t="s">
        <v>1143</v>
      </c>
      <c r="E1715" t="str">
        <f t="shared" si="26"/>
        <v>Evrika7211003840</v>
      </c>
    </row>
    <row r="1716" spans="1:5" x14ac:dyDescent="0.3">
      <c r="A1716" t="s">
        <v>448</v>
      </c>
      <c r="B1716">
        <v>2841851000</v>
      </c>
      <c r="C1716" t="s">
        <v>1874</v>
      </c>
      <c r="D1716" t="s">
        <v>1874</v>
      </c>
      <c r="E1716" t="str">
        <f t="shared" si="26"/>
        <v>Evrika2841851000</v>
      </c>
    </row>
    <row r="1717" spans="1:5" x14ac:dyDescent="0.3">
      <c r="A1717" t="s">
        <v>448</v>
      </c>
      <c r="B1717">
        <v>1600005372</v>
      </c>
      <c r="C1717" t="s">
        <v>2342</v>
      </c>
      <c r="D1717" t="s">
        <v>2342</v>
      </c>
      <c r="E1717" t="str">
        <f t="shared" si="26"/>
        <v>Evrika1600005372</v>
      </c>
    </row>
    <row r="1718" spans="1:5" x14ac:dyDescent="0.3">
      <c r="A1718" t="s">
        <v>448</v>
      </c>
      <c r="B1718">
        <v>1830004517</v>
      </c>
      <c r="C1718" t="s">
        <v>2476</v>
      </c>
      <c r="D1718" t="s">
        <v>2476</v>
      </c>
      <c r="E1718" t="str">
        <f t="shared" si="26"/>
        <v>Evrika1830004517</v>
      </c>
    </row>
    <row r="1719" spans="1:5" x14ac:dyDescent="0.3">
      <c r="A1719" t="s">
        <v>448</v>
      </c>
      <c r="B1719">
        <v>8010001013</v>
      </c>
      <c r="C1719" t="s">
        <v>2477</v>
      </c>
      <c r="D1719" t="s">
        <v>2477</v>
      </c>
      <c r="E1719" t="str">
        <f t="shared" si="26"/>
        <v>Evrika8010001013</v>
      </c>
    </row>
    <row r="1720" spans="1:5" x14ac:dyDescent="0.3">
      <c r="A1720" t="s">
        <v>448</v>
      </c>
      <c r="B1720">
        <v>1830007796</v>
      </c>
      <c r="C1720" t="s">
        <v>1726</v>
      </c>
      <c r="D1720" t="s">
        <v>1726</v>
      </c>
      <c r="E1720" t="str">
        <f t="shared" si="26"/>
        <v>Evrika1830007796</v>
      </c>
    </row>
    <row r="1721" spans="1:5" x14ac:dyDescent="0.3">
      <c r="A1721" t="s">
        <v>448</v>
      </c>
      <c r="B1721">
        <v>2210018825</v>
      </c>
      <c r="C1721" t="s">
        <v>606</v>
      </c>
      <c r="D1721" t="s">
        <v>606</v>
      </c>
      <c r="E1721" t="str">
        <f t="shared" si="26"/>
        <v>Evrika2210018825</v>
      </c>
    </row>
    <row r="1722" spans="1:5" x14ac:dyDescent="0.3">
      <c r="A1722" t="s">
        <v>448</v>
      </c>
      <c r="B1722">
        <v>2210019385</v>
      </c>
      <c r="C1722" t="s">
        <v>610</v>
      </c>
      <c r="D1722" t="s">
        <v>610</v>
      </c>
      <c r="E1722" t="str">
        <f t="shared" si="26"/>
        <v>Evrika2210019385</v>
      </c>
    </row>
    <row r="1723" spans="1:5" x14ac:dyDescent="0.3">
      <c r="A1723" t="s">
        <v>448</v>
      </c>
      <c r="B1723">
        <v>2211400056</v>
      </c>
      <c r="C1723" t="s">
        <v>837</v>
      </c>
      <c r="D1723" t="s">
        <v>837</v>
      </c>
      <c r="E1723" t="str">
        <f t="shared" si="26"/>
        <v>Evrika2211400056</v>
      </c>
    </row>
    <row r="1724" spans="1:5" x14ac:dyDescent="0.3">
      <c r="A1724" t="s">
        <v>448</v>
      </c>
      <c r="B1724">
        <v>2211400350</v>
      </c>
      <c r="C1724" t="s">
        <v>2327</v>
      </c>
      <c r="D1724" t="s">
        <v>2327</v>
      </c>
      <c r="E1724" t="str">
        <f t="shared" si="26"/>
        <v>Evrika2211400350</v>
      </c>
    </row>
    <row r="1725" spans="1:5" x14ac:dyDescent="0.3">
      <c r="A1725" t="s">
        <v>448</v>
      </c>
      <c r="B1725">
        <v>2211400849</v>
      </c>
      <c r="C1725" t="s">
        <v>2166</v>
      </c>
      <c r="D1725" t="s">
        <v>2166</v>
      </c>
      <c r="E1725" t="str">
        <f t="shared" si="26"/>
        <v>Evrika2211400849</v>
      </c>
    </row>
    <row r="1726" spans="1:5" x14ac:dyDescent="0.3">
      <c r="A1726" t="s">
        <v>448</v>
      </c>
      <c r="B1726">
        <v>2211400852</v>
      </c>
      <c r="C1726" t="s">
        <v>2168</v>
      </c>
      <c r="D1726" t="s">
        <v>2168</v>
      </c>
      <c r="E1726" t="str">
        <f t="shared" si="26"/>
        <v>Evrika2211400852</v>
      </c>
    </row>
    <row r="1727" spans="1:5" x14ac:dyDescent="0.3">
      <c r="A1727" t="s">
        <v>448</v>
      </c>
      <c r="B1727">
        <v>2210019196</v>
      </c>
      <c r="C1727" t="s">
        <v>612</v>
      </c>
      <c r="D1727" t="s">
        <v>612</v>
      </c>
      <c r="E1727" t="str">
        <f t="shared" si="26"/>
        <v>Evrika2210019196</v>
      </c>
    </row>
    <row r="1728" spans="1:5" x14ac:dyDescent="0.3">
      <c r="A1728" t="s">
        <v>448</v>
      </c>
      <c r="B1728">
        <v>2211400482</v>
      </c>
      <c r="C1728" t="s">
        <v>1507</v>
      </c>
      <c r="D1728" t="s">
        <v>1507</v>
      </c>
      <c r="E1728" t="str">
        <f t="shared" si="26"/>
        <v>Evrika2211400482</v>
      </c>
    </row>
    <row r="1729" spans="1:5" x14ac:dyDescent="0.3">
      <c r="A1729" t="s">
        <v>448</v>
      </c>
      <c r="B1729">
        <v>2211400757</v>
      </c>
      <c r="C1729" t="s">
        <v>1988</v>
      </c>
      <c r="D1729" t="s">
        <v>1988</v>
      </c>
      <c r="E1729" t="str">
        <f t="shared" si="26"/>
        <v>Evrika2211400757</v>
      </c>
    </row>
    <row r="1730" spans="1:5" x14ac:dyDescent="0.3">
      <c r="A1730" t="s">
        <v>448</v>
      </c>
      <c r="B1730">
        <v>2211400762</v>
      </c>
      <c r="C1730" t="s">
        <v>2171</v>
      </c>
      <c r="D1730" t="s">
        <v>2171</v>
      </c>
      <c r="E1730" t="str">
        <f t="shared" si="26"/>
        <v>Evrika2211400762</v>
      </c>
    </row>
    <row r="1731" spans="1:5" x14ac:dyDescent="0.3">
      <c r="A1731" t="s">
        <v>448</v>
      </c>
      <c r="B1731">
        <v>2211400764</v>
      </c>
      <c r="C1731" t="s">
        <v>1505</v>
      </c>
      <c r="D1731" t="s">
        <v>1505</v>
      </c>
      <c r="E1731" t="str">
        <f t="shared" ref="E1731:E1794" si="27">A1731&amp;B1731</f>
        <v>Evrika2211400764</v>
      </c>
    </row>
    <row r="1732" spans="1:5" x14ac:dyDescent="0.3">
      <c r="A1732" t="s">
        <v>448</v>
      </c>
      <c r="B1732">
        <v>2211401012</v>
      </c>
      <c r="C1732" t="s">
        <v>1703</v>
      </c>
      <c r="D1732" t="s">
        <v>1703</v>
      </c>
      <c r="E1732" t="str">
        <f t="shared" si="27"/>
        <v>Evrika2211401012</v>
      </c>
    </row>
    <row r="1733" spans="1:5" x14ac:dyDescent="0.3">
      <c r="A1733" t="s">
        <v>448</v>
      </c>
      <c r="B1733">
        <v>1600004831</v>
      </c>
      <c r="C1733" t="s">
        <v>604</v>
      </c>
      <c r="D1733" t="s">
        <v>604</v>
      </c>
      <c r="E1733" t="str">
        <f t="shared" si="27"/>
        <v>Evrika1600004831</v>
      </c>
    </row>
    <row r="1734" spans="1:5" x14ac:dyDescent="0.3">
      <c r="A1734" t="s">
        <v>448</v>
      </c>
      <c r="B1734">
        <v>1600005409</v>
      </c>
      <c r="C1734" t="s">
        <v>2320</v>
      </c>
      <c r="D1734" t="s">
        <v>2320</v>
      </c>
      <c r="E1734" t="str">
        <f t="shared" si="27"/>
        <v>Evrika1600005409</v>
      </c>
    </row>
    <row r="1735" spans="1:5" x14ac:dyDescent="0.3">
      <c r="A1735" t="s">
        <v>448</v>
      </c>
      <c r="B1735">
        <v>7211003245</v>
      </c>
      <c r="C1735" t="s">
        <v>72</v>
      </c>
      <c r="D1735" t="s">
        <v>72</v>
      </c>
      <c r="E1735" t="str">
        <f t="shared" si="27"/>
        <v>Evrika7211003245</v>
      </c>
    </row>
    <row r="1736" spans="1:5" x14ac:dyDescent="0.3">
      <c r="A1736" t="s">
        <v>448</v>
      </c>
      <c r="B1736">
        <v>7211003938</v>
      </c>
      <c r="C1736" t="s">
        <v>73</v>
      </c>
      <c r="D1736" t="s">
        <v>73</v>
      </c>
      <c r="E1736" t="str">
        <f t="shared" si="27"/>
        <v>Evrika7211003938</v>
      </c>
    </row>
    <row r="1737" spans="1:5" x14ac:dyDescent="0.3">
      <c r="A1737" t="s">
        <v>448</v>
      </c>
      <c r="B1737">
        <v>1600004924</v>
      </c>
      <c r="C1737" t="s">
        <v>2478</v>
      </c>
      <c r="D1737" t="s">
        <v>2479</v>
      </c>
      <c r="E1737" t="str">
        <f t="shared" si="27"/>
        <v>Evrika1600004924</v>
      </c>
    </row>
    <row r="1738" spans="1:5" x14ac:dyDescent="0.3">
      <c r="A1738" t="s">
        <v>448</v>
      </c>
      <c r="B1738">
        <v>3110600794</v>
      </c>
      <c r="C1738" t="s">
        <v>2480</v>
      </c>
      <c r="D1738" t="s">
        <v>2481</v>
      </c>
      <c r="E1738" t="str">
        <f t="shared" si="27"/>
        <v>Evrika3110600794</v>
      </c>
    </row>
    <row r="1739" spans="1:5" x14ac:dyDescent="0.3">
      <c r="A1739" t="s">
        <v>448</v>
      </c>
      <c r="B1739">
        <v>3100517052</v>
      </c>
      <c r="C1739">
        <v>517052</v>
      </c>
      <c r="D1739" t="s">
        <v>2482</v>
      </c>
      <c r="E1739" t="str">
        <f t="shared" si="27"/>
        <v>Evrika3100517052</v>
      </c>
    </row>
    <row r="1740" spans="1:5" x14ac:dyDescent="0.3">
      <c r="A1740" t="s">
        <v>448</v>
      </c>
      <c r="B1740">
        <v>3100517053</v>
      </c>
      <c r="C1740">
        <v>517053</v>
      </c>
      <c r="D1740" t="s">
        <v>2483</v>
      </c>
      <c r="E1740" t="str">
        <f t="shared" si="27"/>
        <v>Evrika3100517053</v>
      </c>
    </row>
    <row r="1741" spans="1:5" x14ac:dyDescent="0.3">
      <c r="A1741" t="s">
        <v>448</v>
      </c>
      <c r="B1741">
        <v>3100518098</v>
      </c>
      <c r="C1741">
        <v>518098</v>
      </c>
      <c r="D1741" t="s">
        <v>2484</v>
      </c>
      <c r="E1741" t="str">
        <f t="shared" si="27"/>
        <v>Evrika3100518098</v>
      </c>
    </row>
    <row r="1742" spans="1:5" x14ac:dyDescent="0.3">
      <c r="A1742" t="s">
        <v>448</v>
      </c>
      <c r="B1742">
        <v>3110600762</v>
      </c>
      <c r="C1742" t="s">
        <v>2485</v>
      </c>
      <c r="D1742" t="s">
        <v>2486</v>
      </c>
      <c r="E1742" t="str">
        <f t="shared" si="27"/>
        <v>Evrika3110600762</v>
      </c>
    </row>
    <row r="1743" spans="1:5" x14ac:dyDescent="0.3">
      <c r="A1743" t="s">
        <v>448</v>
      </c>
      <c r="B1743">
        <v>8000035583</v>
      </c>
      <c r="C1743" t="s">
        <v>1684</v>
      </c>
      <c r="D1743" t="s">
        <v>2487</v>
      </c>
      <c r="E1743" t="str">
        <f t="shared" si="27"/>
        <v>Evrika8000035583</v>
      </c>
    </row>
    <row r="1744" spans="1:5" x14ac:dyDescent="0.3">
      <c r="A1744" t="s">
        <v>448</v>
      </c>
      <c r="B1744">
        <v>8000035605</v>
      </c>
      <c r="C1744" t="s">
        <v>2488</v>
      </c>
      <c r="D1744" t="s">
        <v>2489</v>
      </c>
      <c r="E1744" t="str">
        <f t="shared" si="27"/>
        <v>Evrika8000035605</v>
      </c>
    </row>
    <row r="1745" spans="1:5" x14ac:dyDescent="0.3">
      <c r="A1745" t="s">
        <v>448</v>
      </c>
      <c r="B1745">
        <v>8000035604</v>
      </c>
      <c r="C1745" t="s">
        <v>2490</v>
      </c>
      <c r="D1745" t="s">
        <v>2491</v>
      </c>
      <c r="E1745" t="str">
        <f t="shared" si="27"/>
        <v>Evrika8000035604</v>
      </c>
    </row>
    <row r="1746" spans="1:5" x14ac:dyDescent="0.3">
      <c r="A1746" t="s">
        <v>448</v>
      </c>
      <c r="B1746">
        <v>8000035447</v>
      </c>
      <c r="C1746" t="s">
        <v>2492</v>
      </c>
      <c r="D1746" t="s">
        <v>2493</v>
      </c>
      <c r="E1746" t="str">
        <f t="shared" si="27"/>
        <v>Evrika8000035447</v>
      </c>
    </row>
    <row r="1747" spans="1:5" x14ac:dyDescent="0.3">
      <c r="A1747" t="s">
        <v>448</v>
      </c>
      <c r="B1747">
        <v>8000035596</v>
      </c>
      <c r="C1747" t="s">
        <v>2494</v>
      </c>
      <c r="D1747" t="s">
        <v>2495</v>
      </c>
      <c r="E1747" t="str">
        <f t="shared" si="27"/>
        <v>Evrika8000035596</v>
      </c>
    </row>
    <row r="1748" spans="1:5" x14ac:dyDescent="0.3">
      <c r="A1748" t="s">
        <v>448</v>
      </c>
      <c r="B1748">
        <v>3100513356</v>
      </c>
      <c r="C1748">
        <v>513356</v>
      </c>
      <c r="D1748" t="s">
        <v>2496</v>
      </c>
      <c r="E1748" t="str">
        <f t="shared" si="27"/>
        <v>Evrika3100513356</v>
      </c>
    </row>
    <row r="1749" spans="1:5" x14ac:dyDescent="0.3">
      <c r="A1749" t="s">
        <v>448</v>
      </c>
      <c r="B1749">
        <v>3100513548</v>
      </c>
      <c r="C1749">
        <v>513548</v>
      </c>
      <c r="D1749" t="s">
        <v>2497</v>
      </c>
      <c r="E1749" t="str">
        <f t="shared" si="27"/>
        <v>Evrika3100513548</v>
      </c>
    </row>
    <row r="1750" spans="1:5" x14ac:dyDescent="0.3">
      <c r="A1750" t="s">
        <v>448</v>
      </c>
      <c r="B1750">
        <v>3100515617</v>
      </c>
      <c r="C1750">
        <v>515617</v>
      </c>
      <c r="D1750" t="s">
        <v>2498</v>
      </c>
      <c r="E1750" t="str">
        <f t="shared" si="27"/>
        <v>Evrika3100515617</v>
      </c>
    </row>
    <row r="1751" spans="1:5" x14ac:dyDescent="0.3">
      <c r="A1751" t="s">
        <v>448</v>
      </c>
      <c r="B1751">
        <v>3100515618</v>
      </c>
      <c r="C1751">
        <v>515618</v>
      </c>
      <c r="D1751" t="s">
        <v>2499</v>
      </c>
      <c r="E1751" t="str">
        <f t="shared" si="27"/>
        <v>Evrika3100515618</v>
      </c>
    </row>
    <row r="1752" spans="1:5" x14ac:dyDescent="0.3">
      <c r="A1752" t="s">
        <v>448</v>
      </c>
      <c r="B1752">
        <v>3100515715</v>
      </c>
      <c r="C1752">
        <v>515715</v>
      </c>
      <c r="D1752" t="s">
        <v>2500</v>
      </c>
      <c r="E1752" t="str">
        <f t="shared" si="27"/>
        <v>Evrika3100515715</v>
      </c>
    </row>
    <row r="1753" spans="1:5" x14ac:dyDescent="0.3">
      <c r="A1753" t="s">
        <v>448</v>
      </c>
      <c r="B1753">
        <v>3100504234</v>
      </c>
      <c r="C1753">
        <v>504234</v>
      </c>
      <c r="D1753" t="s">
        <v>2501</v>
      </c>
      <c r="E1753" t="str">
        <f t="shared" si="27"/>
        <v>Evrika3100504234</v>
      </c>
    </row>
    <row r="1754" spans="1:5" x14ac:dyDescent="0.3">
      <c r="A1754" t="s">
        <v>448</v>
      </c>
      <c r="B1754">
        <v>3100600285</v>
      </c>
      <c r="C1754" t="s">
        <v>2502</v>
      </c>
      <c r="D1754" t="s">
        <v>2503</v>
      </c>
      <c r="E1754" t="str">
        <f t="shared" si="27"/>
        <v>Evrika3100600285</v>
      </c>
    </row>
    <row r="1755" spans="1:5" x14ac:dyDescent="0.3">
      <c r="A1755" t="s">
        <v>448</v>
      </c>
      <c r="B1755">
        <v>3100600287</v>
      </c>
      <c r="C1755" t="s">
        <v>2504</v>
      </c>
      <c r="D1755" t="s">
        <v>2505</v>
      </c>
      <c r="E1755" t="str">
        <f t="shared" si="27"/>
        <v>Evrika3100600287</v>
      </c>
    </row>
    <row r="1756" spans="1:5" x14ac:dyDescent="0.3">
      <c r="A1756" t="s">
        <v>445</v>
      </c>
      <c r="B1756">
        <v>2027441120</v>
      </c>
      <c r="C1756">
        <v>2744112</v>
      </c>
      <c r="D1756" t="s">
        <v>2506</v>
      </c>
      <c r="E1756" t="str">
        <f t="shared" si="27"/>
        <v>Technodom2027441120</v>
      </c>
    </row>
    <row r="1757" spans="1:5" x14ac:dyDescent="0.3">
      <c r="A1757" t="s">
        <v>445</v>
      </c>
      <c r="B1757">
        <v>2027449120</v>
      </c>
      <c r="C1757">
        <v>2744912</v>
      </c>
      <c r="D1757" t="s">
        <v>2507</v>
      </c>
      <c r="E1757" t="str">
        <f t="shared" si="27"/>
        <v>Technodom2027449120</v>
      </c>
    </row>
    <row r="1758" spans="1:5" x14ac:dyDescent="0.3">
      <c r="A1758" t="s">
        <v>445</v>
      </c>
      <c r="B1758">
        <v>2027455120</v>
      </c>
      <c r="C1758">
        <v>2745512</v>
      </c>
      <c r="D1758" t="s">
        <v>2508</v>
      </c>
      <c r="E1758" t="str">
        <f t="shared" si="27"/>
        <v>Technodom2027455120</v>
      </c>
    </row>
    <row r="1759" spans="1:5" x14ac:dyDescent="0.3">
      <c r="A1759" t="s">
        <v>445</v>
      </c>
      <c r="B1759">
        <v>2027443120</v>
      </c>
      <c r="C1759">
        <v>2744312</v>
      </c>
      <c r="D1759" t="s">
        <v>2509</v>
      </c>
      <c r="E1759" t="str">
        <f t="shared" si="27"/>
        <v>Technodom2027443120</v>
      </c>
    </row>
    <row r="1760" spans="1:5" x14ac:dyDescent="0.3">
      <c r="A1760" t="s">
        <v>445</v>
      </c>
      <c r="B1760">
        <v>2027445120</v>
      </c>
      <c r="C1760">
        <v>2744512</v>
      </c>
      <c r="D1760" t="s">
        <v>2510</v>
      </c>
      <c r="E1760" t="str">
        <f t="shared" si="27"/>
        <v>Technodom2027445120</v>
      </c>
    </row>
    <row r="1761" spans="1:5" x14ac:dyDescent="0.3">
      <c r="A1761" t="s">
        <v>445</v>
      </c>
      <c r="B1761">
        <v>2100068613</v>
      </c>
      <c r="C1761" t="s">
        <v>484</v>
      </c>
      <c r="D1761" t="s">
        <v>2511</v>
      </c>
      <c r="E1761" t="str">
        <f t="shared" si="27"/>
        <v>Technodom2100068613</v>
      </c>
    </row>
    <row r="1762" spans="1:5" x14ac:dyDescent="0.3">
      <c r="A1762" t="s">
        <v>445</v>
      </c>
      <c r="B1762">
        <v>7211000396</v>
      </c>
      <c r="C1762" t="s">
        <v>2392</v>
      </c>
      <c r="D1762" t="s">
        <v>2512</v>
      </c>
      <c r="E1762" t="str">
        <f t="shared" si="27"/>
        <v>Technodom7211000396</v>
      </c>
    </row>
    <row r="1763" spans="1:5" x14ac:dyDescent="0.3">
      <c r="A1763" t="s">
        <v>445</v>
      </c>
      <c r="B1763">
        <v>8000001814</v>
      </c>
      <c r="C1763" t="s">
        <v>515</v>
      </c>
      <c r="D1763" t="s">
        <v>2513</v>
      </c>
      <c r="E1763" t="str">
        <f t="shared" si="27"/>
        <v>Technodom8000001814</v>
      </c>
    </row>
    <row r="1764" spans="1:5" x14ac:dyDescent="0.3">
      <c r="A1764" t="s">
        <v>445</v>
      </c>
      <c r="B1764">
        <v>2027453120</v>
      </c>
      <c r="C1764">
        <v>2745312</v>
      </c>
      <c r="D1764" t="s">
        <v>2514</v>
      </c>
      <c r="E1764" t="str">
        <f t="shared" si="27"/>
        <v>Technodom2027453120</v>
      </c>
    </row>
    <row r="1765" spans="1:5" x14ac:dyDescent="0.3">
      <c r="A1765" t="s">
        <v>445</v>
      </c>
      <c r="B1765">
        <v>2027437120</v>
      </c>
      <c r="C1765">
        <v>2743712</v>
      </c>
      <c r="D1765" t="s">
        <v>2515</v>
      </c>
      <c r="E1765" t="str">
        <f t="shared" si="27"/>
        <v>Technodom2027437120</v>
      </c>
    </row>
    <row r="1766" spans="1:5" x14ac:dyDescent="0.3">
      <c r="A1766" t="s">
        <v>445</v>
      </c>
      <c r="B1766">
        <v>1830003217</v>
      </c>
      <c r="C1766" t="s">
        <v>476</v>
      </c>
      <c r="D1766" t="s">
        <v>2516</v>
      </c>
      <c r="E1766" t="str">
        <f t="shared" si="27"/>
        <v>Technodom1830003217</v>
      </c>
    </row>
    <row r="1767" spans="1:5" x14ac:dyDescent="0.3">
      <c r="A1767" t="s">
        <v>445</v>
      </c>
      <c r="B1767">
        <v>8010000350</v>
      </c>
      <c r="C1767" t="s">
        <v>478</v>
      </c>
      <c r="D1767" t="s">
        <v>2517</v>
      </c>
      <c r="E1767" t="str">
        <f t="shared" si="27"/>
        <v>Technodom8010000350</v>
      </c>
    </row>
    <row r="1768" spans="1:5" x14ac:dyDescent="0.3">
      <c r="A1768" t="s">
        <v>445</v>
      </c>
      <c r="B1768">
        <v>2820300830</v>
      </c>
      <c r="C1768" t="s">
        <v>944</v>
      </c>
      <c r="D1768" t="s">
        <v>2518</v>
      </c>
      <c r="E1768" t="str">
        <f t="shared" si="27"/>
        <v>Technodom2820300830</v>
      </c>
    </row>
    <row r="1769" spans="1:5" x14ac:dyDescent="0.3">
      <c r="A1769" t="s">
        <v>445</v>
      </c>
      <c r="B1769">
        <v>7211001108</v>
      </c>
      <c r="C1769" t="s">
        <v>488</v>
      </c>
      <c r="D1769" t="s">
        <v>2519</v>
      </c>
      <c r="E1769" t="str">
        <f t="shared" si="27"/>
        <v>Technodom7211001108</v>
      </c>
    </row>
    <row r="1770" spans="1:5" x14ac:dyDescent="0.3">
      <c r="A1770" t="s">
        <v>445</v>
      </c>
      <c r="B1770">
        <v>7211001107</v>
      </c>
      <c r="C1770" t="s">
        <v>2364</v>
      </c>
      <c r="D1770" t="s">
        <v>2520</v>
      </c>
      <c r="E1770" t="str">
        <f t="shared" si="27"/>
        <v>Technodom7211001107</v>
      </c>
    </row>
    <row r="1771" spans="1:5" x14ac:dyDescent="0.3">
      <c r="A1771" t="s">
        <v>445</v>
      </c>
      <c r="B1771">
        <v>7211001364</v>
      </c>
      <c r="C1771" t="s">
        <v>2521</v>
      </c>
      <c r="D1771" t="s">
        <v>2522</v>
      </c>
      <c r="E1771" t="str">
        <f t="shared" si="27"/>
        <v>Technodom7211001364</v>
      </c>
    </row>
    <row r="1772" spans="1:5" x14ac:dyDescent="0.3">
      <c r="A1772" t="s">
        <v>445</v>
      </c>
      <c r="B1772">
        <v>1110030521</v>
      </c>
      <c r="C1772" t="s">
        <v>2523</v>
      </c>
      <c r="D1772" t="s">
        <v>2524</v>
      </c>
      <c r="E1772" t="str">
        <f t="shared" si="27"/>
        <v>Technodom1110030521</v>
      </c>
    </row>
    <row r="1773" spans="1:5" x14ac:dyDescent="0.3">
      <c r="A1773" t="s">
        <v>445</v>
      </c>
      <c r="B1773">
        <v>7211001357</v>
      </c>
      <c r="C1773" t="s">
        <v>1379</v>
      </c>
      <c r="D1773" t="s">
        <v>2525</v>
      </c>
      <c r="E1773" t="str">
        <f t="shared" si="27"/>
        <v>Technodom7211001357</v>
      </c>
    </row>
    <row r="1774" spans="1:5" x14ac:dyDescent="0.3">
      <c r="A1774" t="s">
        <v>445</v>
      </c>
      <c r="B1774">
        <v>1830005072</v>
      </c>
      <c r="C1774" t="s">
        <v>2526</v>
      </c>
      <c r="D1774" t="s">
        <v>2527</v>
      </c>
      <c r="E1774" t="str">
        <f t="shared" si="27"/>
        <v>Technodom1830005072</v>
      </c>
    </row>
    <row r="1775" spans="1:5" x14ac:dyDescent="0.3">
      <c r="A1775" t="s">
        <v>445</v>
      </c>
      <c r="B1775">
        <v>1500814184</v>
      </c>
      <c r="C1775" t="s">
        <v>2528</v>
      </c>
      <c r="D1775" t="s">
        <v>2529</v>
      </c>
      <c r="E1775" t="str">
        <f t="shared" si="27"/>
        <v>Technodom1500814184</v>
      </c>
    </row>
    <row r="1776" spans="1:5" x14ac:dyDescent="0.3">
      <c r="A1776" t="s">
        <v>445</v>
      </c>
      <c r="B1776">
        <v>1500814185</v>
      </c>
      <c r="C1776" t="s">
        <v>2530</v>
      </c>
      <c r="D1776" t="s">
        <v>2531</v>
      </c>
      <c r="E1776" t="str">
        <f t="shared" si="27"/>
        <v>Technodom1500814185</v>
      </c>
    </row>
    <row r="1777" spans="1:5" x14ac:dyDescent="0.3">
      <c r="A1777" t="s">
        <v>445</v>
      </c>
      <c r="B1777">
        <v>9100004194</v>
      </c>
      <c r="C1777">
        <v>4090128</v>
      </c>
      <c r="D1777" t="s">
        <v>2532</v>
      </c>
      <c r="E1777" t="str">
        <f t="shared" si="27"/>
        <v>Technodom9100004194</v>
      </c>
    </row>
    <row r="1778" spans="1:5" x14ac:dyDescent="0.3">
      <c r="A1778" t="s">
        <v>445</v>
      </c>
      <c r="B1778">
        <v>9100004193</v>
      </c>
      <c r="C1778">
        <v>4090126</v>
      </c>
      <c r="D1778" t="s">
        <v>2533</v>
      </c>
      <c r="E1778" t="str">
        <f t="shared" si="27"/>
        <v>Technodom9100004193</v>
      </c>
    </row>
    <row r="1779" spans="1:5" x14ac:dyDescent="0.3">
      <c r="A1779" t="s">
        <v>445</v>
      </c>
      <c r="B1779">
        <v>9100004192</v>
      </c>
      <c r="C1779">
        <v>4090124</v>
      </c>
      <c r="D1779" t="s">
        <v>2534</v>
      </c>
      <c r="E1779" t="str">
        <f t="shared" si="27"/>
        <v>Technodom9100004192</v>
      </c>
    </row>
    <row r="1780" spans="1:5" x14ac:dyDescent="0.3">
      <c r="A1780" t="s">
        <v>445</v>
      </c>
      <c r="B1780">
        <v>1500636319</v>
      </c>
      <c r="C1780" t="s">
        <v>505</v>
      </c>
      <c r="D1780" t="s">
        <v>2535</v>
      </c>
      <c r="E1780" t="str">
        <f t="shared" si="27"/>
        <v>Technodom1500636319</v>
      </c>
    </row>
    <row r="1781" spans="1:5" x14ac:dyDescent="0.3">
      <c r="A1781" t="s">
        <v>445</v>
      </c>
      <c r="B1781">
        <v>1830005030</v>
      </c>
      <c r="C1781" t="s">
        <v>2536</v>
      </c>
      <c r="D1781" t="s">
        <v>2537</v>
      </c>
      <c r="E1781" t="str">
        <f t="shared" si="27"/>
        <v>Technodom1830005030</v>
      </c>
    </row>
    <row r="1782" spans="1:5" x14ac:dyDescent="0.3">
      <c r="A1782" t="s">
        <v>445</v>
      </c>
      <c r="B1782">
        <v>1510001153</v>
      </c>
      <c r="C1782" t="s">
        <v>68</v>
      </c>
      <c r="D1782" t="s">
        <v>177</v>
      </c>
      <c r="E1782" t="str">
        <f t="shared" si="27"/>
        <v>Technodom1510001153</v>
      </c>
    </row>
    <row r="1783" spans="1:5" x14ac:dyDescent="0.3">
      <c r="A1783" t="s">
        <v>445</v>
      </c>
      <c r="B1783">
        <v>1500869984</v>
      </c>
      <c r="C1783" t="s">
        <v>65</v>
      </c>
      <c r="D1783" t="s">
        <v>176</v>
      </c>
      <c r="E1783" t="str">
        <f t="shared" si="27"/>
        <v>Technodom1500869984</v>
      </c>
    </row>
    <row r="1784" spans="1:5" x14ac:dyDescent="0.3">
      <c r="A1784" t="s">
        <v>445</v>
      </c>
      <c r="B1784">
        <v>2100071038</v>
      </c>
      <c r="C1784" t="s">
        <v>2538</v>
      </c>
      <c r="D1784" t="s">
        <v>2539</v>
      </c>
      <c r="E1784" t="str">
        <f t="shared" si="27"/>
        <v>Technodom2100071038</v>
      </c>
    </row>
    <row r="1785" spans="1:5" x14ac:dyDescent="0.3">
      <c r="A1785" t="s">
        <v>445</v>
      </c>
      <c r="B1785">
        <v>2100071030</v>
      </c>
      <c r="C1785" t="s">
        <v>2540</v>
      </c>
      <c r="D1785" t="s">
        <v>2541</v>
      </c>
      <c r="E1785" t="str">
        <f t="shared" si="27"/>
        <v>Technodom2100071030</v>
      </c>
    </row>
    <row r="1786" spans="1:5" x14ac:dyDescent="0.3">
      <c r="A1786" t="s">
        <v>445</v>
      </c>
      <c r="B1786">
        <v>1500868890</v>
      </c>
      <c r="C1786" t="s">
        <v>1343</v>
      </c>
      <c r="D1786" t="s">
        <v>2542</v>
      </c>
      <c r="E1786" t="str">
        <f t="shared" si="27"/>
        <v>Technodom1500868890</v>
      </c>
    </row>
    <row r="1787" spans="1:5" x14ac:dyDescent="0.3">
      <c r="A1787" t="s">
        <v>445</v>
      </c>
      <c r="B1787">
        <v>7211001796</v>
      </c>
      <c r="C1787" t="s">
        <v>2543</v>
      </c>
      <c r="D1787" t="s">
        <v>2544</v>
      </c>
      <c r="E1787" t="str">
        <f t="shared" si="27"/>
        <v>Technodom7211001796</v>
      </c>
    </row>
    <row r="1788" spans="1:5" x14ac:dyDescent="0.3">
      <c r="A1788" t="s">
        <v>445</v>
      </c>
      <c r="B1788">
        <v>1510001009</v>
      </c>
      <c r="C1788" t="s">
        <v>2545</v>
      </c>
      <c r="D1788" t="s">
        <v>2546</v>
      </c>
      <c r="E1788" t="str">
        <f t="shared" si="27"/>
        <v>Technodom1510001009</v>
      </c>
    </row>
    <row r="1789" spans="1:5" x14ac:dyDescent="0.3">
      <c r="A1789" t="s">
        <v>445</v>
      </c>
      <c r="B1789">
        <v>7211001086</v>
      </c>
      <c r="C1789" t="s">
        <v>2547</v>
      </c>
      <c r="D1789" t="s">
        <v>2548</v>
      </c>
      <c r="E1789" t="str">
        <f t="shared" si="27"/>
        <v>Technodom7211001086</v>
      </c>
    </row>
    <row r="1790" spans="1:5" x14ac:dyDescent="0.3">
      <c r="A1790" t="s">
        <v>445</v>
      </c>
      <c r="B1790">
        <v>7211001804</v>
      </c>
      <c r="C1790" t="s">
        <v>2549</v>
      </c>
      <c r="D1790" t="s">
        <v>2550</v>
      </c>
      <c r="E1790" t="str">
        <f t="shared" si="27"/>
        <v>Technodom7211001804</v>
      </c>
    </row>
    <row r="1791" spans="1:5" x14ac:dyDescent="0.3">
      <c r="A1791" t="s">
        <v>445</v>
      </c>
      <c r="B1791">
        <v>7211002101</v>
      </c>
      <c r="C1791" t="s">
        <v>425</v>
      </c>
      <c r="D1791" t="s">
        <v>2551</v>
      </c>
      <c r="E1791" t="str">
        <f t="shared" si="27"/>
        <v>Technodom7211002101</v>
      </c>
    </row>
    <row r="1792" spans="1:5" x14ac:dyDescent="0.3">
      <c r="A1792" t="s">
        <v>445</v>
      </c>
      <c r="B1792">
        <v>9100015892</v>
      </c>
      <c r="C1792" t="s">
        <v>2552</v>
      </c>
      <c r="D1792" t="s">
        <v>2553</v>
      </c>
      <c r="E1792" t="str">
        <f t="shared" si="27"/>
        <v>Technodom9100015892</v>
      </c>
    </row>
    <row r="1793" spans="1:5" x14ac:dyDescent="0.3">
      <c r="A1793" t="s">
        <v>445</v>
      </c>
      <c r="B1793">
        <v>2100088993</v>
      </c>
      <c r="C1793" t="s">
        <v>539</v>
      </c>
      <c r="D1793" t="s">
        <v>2554</v>
      </c>
      <c r="E1793" t="str">
        <f t="shared" si="27"/>
        <v>Technodom2100088993</v>
      </c>
    </row>
    <row r="1794" spans="1:5" x14ac:dyDescent="0.3">
      <c r="A1794" t="s">
        <v>445</v>
      </c>
      <c r="B1794">
        <v>2100088987</v>
      </c>
      <c r="C1794" t="s">
        <v>535</v>
      </c>
      <c r="D1794" t="s">
        <v>2555</v>
      </c>
      <c r="E1794" t="str">
        <f t="shared" si="27"/>
        <v>Technodom2100088987</v>
      </c>
    </row>
    <row r="1795" spans="1:5" x14ac:dyDescent="0.3">
      <c r="A1795" t="s">
        <v>445</v>
      </c>
      <c r="B1795">
        <v>2100088991</v>
      </c>
      <c r="C1795" t="s">
        <v>533</v>
      </c>
      <c r="D1795" t="s">
        <v>2556</v>
      </c>
      <c r="E1795" t="str">
        <f t="shared" ref="E1795:E1858" si="28">A1795&amp;B1795</f>
        <v>Technodom2100088991</v>
      </c>
    </row>
    <row r="1796" spans="1:5" x14ac:dyDescent="0.3">
      <c r="A1796" t="s">
        <v>445</v>
      </c>
      <c r="B1796">
        <v>2100089955</v>
      </c>
      <c r="C1796" t="s">
        <v>537</v>
      </c>
      <c r="D1796" t="s">
        <v>2557</v>
      </c>
      <c r="E1796" t="str">
        <f t="shared" si="28"/>
        <v>Technodom2100089955</v>
      </c>
    </row>
    <row r="1797" spans="1:5" x14ac:dyDescent="0.3">
      <c r="A1797" t="s">
        <v>445</v>
      </c>
      <c r="B1797">
        <v>2100088990</v>
      </c>
      <c r="C1797" t="s">
        <v>788</v>
      </c>
      <c r="D1797" t="s">
        <v>2558</v>
      </c>
      <c r="E1797" t="str">
        <f t="shared" si="28"/>
        <v>Technodom2100088990</v>
      </c>
    </row>
    <row r="1798" spans="1:5" x14ac:dyDescent="0.3">
      <c r="A1798" t="s">
        <v>445</v>
      </c>
      <c r="B1798">
        <v>2100088989</v>
      </c>
      <c r="C1798" t="s">
        <v>531</v>
      </c>
      <c r="D1798" t="s">
        <v>2559</v>
      </c>
      <c r="E1798" t="str">
        <f t="shared" si="28"/>
        <v>Technodom2100088989</v>
      </c>
    </row>
    <row r="1799" spans="1:5" x14ac:dyDescent="0.3">
      <c r="A1799" t="s">
        <v>445</v>
      </c>
      <c r="B1799">
        <v>2100090226</v>
      </c>
      <c r="C1799" t="s">
        <v>2410</v>
      </c>
      <c r="D1799" t="s">
        <v>2560</v>
      </c>
      <c r="E1799" t="str">
        <f t="shared" si="28"/>
        <v>Technodom2100090226</v>
      </c>
    </row>
    <row r="1800" spans="1:5" x14ac:dyDescent="0.3">
      <c r="A1800" t="s">
        <v>445</v>
      </c>
      <c r="B1800">
        <v>2100090227</v>
      </c>
      <c r="C1800" t="s">
        <v>2561</v>
      </c>
      <c r="D1800" t="s">
        <v>2562</v>
      </c>
      <c r="E1800" t="str">
        <f t="shared" si="28"/>
        <v>Technodom2100090227</v>
      </c>
    </row>
    <row r="1801" spans="1:5" x14ac:dyDescent="0.3">
      <c r="A1801" t="s">
        <v>445</v>
      </c>
      <c r="B1801">
        <v>2100090229</v>
      </c>
      <c r="C1801" t="s">
        <v>2411</v>
      </c>
      <c r="D1801" t="s">
        <v>2563</v>
      </c>
      <c r="E1801" t="str">
        <f t="shared" si="28"/>
        <v>Technodom2100090229</v>
      </c>
    </row>
    <row r="1802" spans="1:5" x14ac:dyDescent="0.3">
      <c r="A1802" t="s">
        <v>445</v>
      </c>
      <c r="B1802">
        <v>2100090224</v>
      </c>
      <c r="C1802" t="s">
        <v>2412</v>
      </c>
      <c r="D1802" t="s">
        <v>2564</v>
      </c>
      <c r="E1802" t="str">
        <f t="shared" si="28"/>
        <v>Technodom2100090224</v>
      </c>
    </row>
    <row r="1803" spans="1:5" x14ac:dyDescent="0.3">
      <c r="A1803" t="s">
        <v>445</v>
      </c>
      <c r="B1803">
        <v>9100015789</v>
      </c>
      <c r="C1803" t="s">
        <v>2004</v>
      </c>
      <c r="D1803" t="s">
        <v>2565</v>
      </c>
      <c r="E1803" t="str">
        <f t="shared" si="28"/>
        <v>Technodom9100015789</v>
      </c>
    </row>
    <row r="1804" spans="1:5" x14ac:dyDescent="0.3">
      <c r="A1804" t="s">
        <v>445</v>
      </c>
      <c r="B1804">
        <v>2100090230</v>
      </c>
      <c r="C1804" t="s">
        <v>2566</v>
      </c>
      <c r="D1804" t="s">
        <v>2567</v>
      </c>
      <c r="E1804" t="str">
        <f t="shared" si="28"/>
        <v>Technodom2100090230</v>
      </c>
    </row>
    <row r="1805" spans="1:5" x14ac:dyDescent="0.3">
      <c r="A1805" t="s">
        <v>445</v>
      </c>
      <c r="B1805">
        <v>7211002133</v>
      </c>
      <c r="C1805" t="s">
        <v>2568</v>
      </c>
      <c r="D1805" t="s">
        <v>2569</v>
      </c>
      <c r="E1805" t="str">
        <f t="shared" si="28"/>
        <v>Technodom7211002133</v>
      </c>
    </row>
    <row r="1806" spans="1:5" x14ac:dyDescent="0.3">
      <c r="A1806" t="s">
        <v>445</v>
      </c>
      <c r="B1806">
        <v>2100089708</v>
      </c>
      <c r="C1806" t="s">
        <v>2570</v>
      </c>
      <c r="D1806" t="s">
        <v>2571</v>
      </c>
      <c r="E1806" t="str">
        <f t="shared" si="28"/>
        <v>Technodom2100089708</v>
      </c>
    </row>
    <row r="1807" spans="1:5" x14ac:dyDescent="0.3">
      <c r="A1807" t="s">
        <v>445</v>
      </c>
      <c r="B1807">
        <v>8000035556</v>
      </c>
      <c r="C1807" t="s">
        <v>2572</v>
      </c>
      <c r="D1807" t="s">
        <v>2573</v>
      </c>
      <c r="E1807" t="str">
        <f t="shared" si="28"/>
        <v>Technodom8000035556</v>
      </c>
    </row>
    <row r="1808" spans="1:5" x14ac:dyDescent="0.3">
      <c r="A1808" t="s">
        <v>445</v>
      </c>
      <c r="B1808">
        <v>1830005290</v>
      </c>
      <c r="C1808" t="s">
        <v>509</v>
      </c>
      <c r="D1808" t="s">
        <v>2574</v>
      </c>
      <c r="E1808" t="str">
        <f t="shared" si="28"/>
        <v>Technodom1830005290</v>
      </c>
    </row>
    <row r="1809" spans="1:5" x14ac:dyDescent="0.3">
      <c r="A1809" t="s">
        <v>445</v>
      </c>
      <c r="B1809">
        <v>1830005220</v>
      </c>
      <c r="C1809" t="s">
        <v>511</v>
      </c>
      <c r="D1809" t="s">
        <v>2575</v>
      </c>
      <c r="E1809" t="str">
        <f t="shared" si="28"/>
        <v>Technodom1830005220</v>
      </c>
    </row>
    <row r="1810" spans="1:5" x14ac:dyDescent="0.3">
      <c r="A1810" t="s">
        <v>445</v>
      </c>
      <c r="B1810">
        <v>2100089956</v>
      </c>
      <c r="C1810" t="s">
        <v>1003</v>
      </c>
      <c r="D1810" t="s">
        <v>2576</v>
      </c>
      <c r="E1810" t="str">
        <f t="shared" si="28"/>
        <v>Technodom2100089956</v>
      </c>
    </row>
    <row r="1811" spans="1:5" x14ac:dyDescent="0.3">
      <c r="A1811" t="s">
        <v>445</v>
      </c>
      <c r="B1811">
        <v>2100089958</v>
      </c>
      <c r="C1811" t="s">
        <v>786</v>
      </c>
      <c r="D1811" t="s">
        <v>2577</v>
      </c>
      <c r="E1811" t="str">
        <f t="shared" si="28"/>
        <v>Technodom2100089958</v>
      </c>
    </row>
    <row r="1812" spans="1:5" x14ac:dyDescent="0.3">
      <c r="A1812" t="s">
        <v>445</v>
      </c>
      <c r="B1812">
        <v>7211002287</v>
      </c>
      <c r="C1812" t="s">
        <v>2578</v>
      </c>
      <c r="D1812" t="s">
        <v>2579</v>
      </c>
      <c r="E1812" t="str">
        <f t="shared" si="28"/>
        <v>Technodom7211002287</v>
      </c>
    </row>
    <row r="1813" spans="1:5" x14ac:dyDescent="0.3">
      <c r="A1813" t="s">
        <v>445</v>
      </c>
      <c r="B1813">
        <v>7211002490</v>
      </c>
      <c r="C1813" t="s">
        <v>2580</v>
      </c>
      <c r="D1813" t="s">
        <v>2581</v>
      </c>
      <c r="E1813" t="str">
        <f t="shared" si="28"/>
        <v>Technodom7211002490</v>
      </c>
    </row>
    <row r="1814" spans="1:5" x14ac:dyDescent="0.3">
      <c r="A1814" t="s">
        <v>445</v>
      </c>
      <c r="B1814">
        <v>1500637540</v>
      </c>
      <c r="C1814" t="s">
        <v>859</v>
      </c>
      <c r="D1814" t="s">
        <v>2582</v>
      </c>
      <c r="E1814" t="str">
        <f t="shared" si="28"/>
        <v>Technodom1500637540</v>
      </c>
    </row>
    <row r="1815" spans="1:5" x14ac:dyDescent="0.3">
      <c r="A1815" t="s">
        <v>445</v>
      </c>
      <c r="B1815">
        <v>2100086098</v>
      </c>
      <c r="C1815" t="s">
        <v>2583</v>
      </c>
      <c r="D1815" t="s">
        <v>2584</v>
      </c>
      <c r="E1815" t="str">
        <f t="shared" si="28"/>
        <v>Technodom2100086098</v>
      </c>
    </row>
    <row r="1816" spans="1:5" x14ac:dyDescent="0.3">
      <c r="A1816" t="s">
        <v>445</v>
      </c>
      <c r="B1816">
        <v>2211400061</v>
      </c>
      <c r="C1816" t="s">
        <v>2585</v>
      </c>
      <c r="D1816" t="s">
        <v>2586</v>
      </c>
      <c r="E1816" t="str">
        <f t="shared" si="28"/>
        <v>Technodom2211400061</v>
      </c>
    </row>
    <row r="1817" spans="1:5" x14ac:dyDescent="0.3">
      <c r="A1817" t="s">
        <v>445</v>
      </c>
      <c r="B1817">
        <v>2100090373</v>
      </c>
      <c r="C1817" t="s">
        <v>2587</v>
      </c>
      <c r="D1817" t="s">
        <v>2588</v>
      </c>
      <c r="E1817" t="str">
        <f t="shared" si="28"/>
        <v>Technodom2100090373</v>
      </c>
    </row>
    <row r="1818" spans="1:5" x14ac:dyDescent="0.3">
      <c r="A1818" t="s">
        <v>445</v>
      </c>
      <c r="B1818">
        <v>2211400068</v>
      </c>
      <c r="C1818" t="s">
        <v>598</v>
      </c>
      <c r="D1818" t="s">
        <v>2589</v>
      </c>
      <c r="E1818" t="str">
        <f t="shared" si="28"/>
        <v>Technodom2211400068</v>
      </c>
    </row>
    <row r="1819" spans="1:5" x14ac:dyDescent="0.3">
      <c r="A1819" t="s">
        <v>445</v>
      </c>
      <c r="B1819">
        <v>2211400073</v>
      </c>
      <c r="C1819" t="s">
        <v>2590</v>
      </c>
      <c r="D1819" t="s">
        <v>2591</v>
      </c>
      <c r="E1819" t="str">
        <f t="shared" si="28"/>
        <v>Technodom2211400073</v>
      </c>
    </row>
    <row r="1820" spans="1:5" x14ac:dyDescent="0.3">
      <c r="A1820" t="s">
        <v>445</v>
      </c>
      <c r="B1820">
        <v>7211002505</v>
      </c>
      <c r="C1820" t="s">
        <v>680</v>
      </c>
      <c r="D1820" t="s">
        <v>2592</v>
      </c>
      <c r="E1820" t="str">
        <f t="shared" si="28"/>
        <v>Technodom7211002505</v>
      </c>
    </row>
    <row r="1821" spans="1:5" x14ac:dyDescent="0.3">
      <c r="A1821" t="s">
        <v>445</v>
      </c>
      <c r="B1821">
        <v>2100094926</v>
      </c>
      <c r="C1821" t="s">
        <v>630</v>
      </c>
      <c r="D1821" t="s">
        <v>2593</v>
      </c>
      <c r="E1821" t="str">
        <f t="shared" si="28"/>
        <v>Technodom2100094926</v>
      </c>
    </row>
    <row r="1822" spans="1:5" x14ac:dyDescent="0.3">
      <c r="A1822" t="s">
        <v>445</v>
      </c>
      <c r="B1822">
        <v>2100094923</v>
      </c>
      <c r="C1822" t="s">
        <v>636</v>
      </c>
      <c r="D1822" t="s">
        <v>2594</v>
      </c>
      <c r="E1822" t="str">
        <f t="shared" si="28"/>
        <v>Technodom2100094923</v>
      </c>
    </row>
    <row r="1823" spans="1:5" x14ac:dyDescent="0.3">
      <c r="A1823" t="s">
        <v>445</v>
      </c>
      <c r="B1823">
        <v>2100095879</v>
      </c>
      <c r="C1823" t="s">
        <v>2438</v>
      </c>
      <c r="D1823" t="s">
        <v>2595</v>
      </c>
      <c r="E1823" t="str">
        <f t="shared" si="28"/>
        <v>Technodom2100095879</v>
      </c>
    </row>
    <row r="1824" spans="1:5" x14ac:dyDescent="0.3">
      <c r="A1824" t="s">
        <v>445</v>
      </c>
      <c r="B1824">
        <v>2100094922</v>
      </c>
      <c r="C1824" t="s">
        <v>634</v>
      </c>
      <c r="D1824" t="s">
        <v>2596</v>
      </c>
      <c r="E1824" t="str">
        <f t="shared" si="28"/>
        <v>Technodom2100094922</v>
      </c>
    </row>
    <row r="1825" spans="1:5" x14ac:dyDescent="0.3">
      <c r="A1825" t="s">
        <v>445</v>
      </c>
      <c r="B1825">
        <v>2100094924</v>
      </c>
      <c r="C1825" t="s">
        <v>2159</v>
      </c>
      <c r="D1825" t="s">
        <v>2597</v>
      </c>
      <c r="E1825" t="str">
        <f t="shared" si="28"/>
        <v>Technodom2100094924</v>
      </c>
    </row>
    <row r="1826" spans="1:5" x14ac:dyDescent="0.3">
      <c r="A1826" t="s">
        <v>445</v>
      </c>
      <c r="B1826">
        <v>2100095878</v>
      </c>
      <c r="C1826" t="s">
        <v>632</v>
      </c>
      <c r="D1826" t="s">
        <v>2598</v>
      </c>
      <c r="E1826" t="str">
        <f t="shared" si="28"/>
        <v>Technodom2100095878</v>
      </c>
    </row>
    <row r="1827" spans="1:5" x14ac:dyDescent="0.3">
      <c r="A1827" t="s">
        <v>445</v>
      </c>
      <c r="B1827">
        <v>2100094925</v>
      </c>
      <c r="C1827" t="s">
        <v>798</v>
      </c>
      <c r="D1827" t="s">
        <v>2599</v>
      </c>
      <c r="E1827" t="str">
        <f t="shared" si="28"/>
        <v>Technodom2100094925</v>
      </c>
    </row>
    <row r="1828" spans="1:5" x14ac:dyDescent="0.3">
      <c r="A1828" t="s">
        <v>445</v>
      </c>
      <c r="B1828">
        <v>1110030485</v>
      </c>
      <c r="C1828" t="s">
        <v>835</v>
      </c>
      <c r="D1828" t="s">
        <v>2600</v>
      </c>
      <c r="E1828" t="str">
        <f t="shared" si="28"/>
        <v>Technodom1110030485</v>
      </c>
    </row>
    <row r="1829" spans="1:5" x14ac:dyDescent="0.3">
      <c r="A1829" t="s">
        <v>445</v>
      </c>
      <c r="B1829">
        <v>2100098628</v>
      </c>
      <c r="C1829" t="s">
        <v>638</v>
      </c>
      <c r="D1829" t="s">
        <v>2601</v>
      </c>
      <c r="E1829" t="str">
        <f t="shared" si="28"/>
        <v>Technodom2100098628</v>
      </c>
    </row>
    <row r="1830" spans="1:5" x14ac:dyDescent="0.3">
      <c r="A1830" t="s">
        <v>445</v>
      </c>
      <c r="B1830">
        <v>2100098972</v>
      </c>
      <c r="C1830" t="s">
        <v>983</v>
      </c>
      <c r="D1830" t="s">
        <v>2602</v>
      </c>
      <c r="E1830" t="str">
        <f t="shared" si="28"/>
        <v>Technodom2100098972</v>
      </c>
    </row>
    <row r="1831" spans="1:5" x14ac:dyDescent="0.3">
      <c r="A1831" t="s">
        <v>445</v>
      </c>
      <c r="B1831">
        <v>2100094126</v>
      </c>
      <c r="C1831" t="s">
        <v>433</v>
      </c>
      <c r="D1831" t="s">
        <v>2603</v>
      </c>
      <c r="E1831" t="str">
        <f t="shared" si="28"/>
        <v>Technodom2100094126</v>
      </c>
    </row>
    <row r="1832" spans="1:5" x14ac:dyDescent="0.3">
      <c r="A1832" t="s">
        <v>445</v>
      </c>
      <c r="B1832">
        <v>2100098647</v>
      </c>
      <c r="C1832" t="s">
        <v>2604</v>
      </c>
      <c r="D1832" t="s">
        <v>2605</v>
      </c>
      <c r="E1832" t="str">
        <f t="shared" si="28"/>
        <v>Technodom2100098647</v>
      </c>
    </row>
    <row r="1833" spans="1:5" x14ac:dyDescent="0.3">
      <c r="A1833" t="s">
        <v>445</v>
      </c>
      <c r="B1833">
        <v>2100094125</v>
      </c>
      <c r="C1833" t="s">
        <v>435</v>
      </c>
      <c r="D1833" t="s">
        <v>2606</v>
      </c>
      <c r="E1833" t="str">
        <f t="shared" si="28"/>
        <v>Technodom2100094125</v>
      </c>
    </row>
    <row r="1834" spans="1:5" x14ac:dyDescent="0.3">
      <c r="A1834" t="s">
        <v>445</v>
      </c>
      <c r="B1834">
        <v>7211002441</v>
      </c>
      <c r="C1834" t="s">
        <v>40</v>
      </c>
      <c r="D1834" t="s">
        <v>154</v>
      </c>
      <c r="E1834" t="str">
        <f t="shared" si="28"/>
        <v>Technodom7211002441</v>
      </c>
    </row>
    <row r="1835" spans="1:5" x14ac:dyDescent="0.3">
      <c r="A1835" t="s">
        <v>445</v>
      </c>
      <c r="B1835">
        <v>7211002459</v>
      </c>
      <c r="C1835" t="s">
        <v>41</v>
      </c>
      <c r="D1835" t="s">
        <v>156</v>
      </c>
      <c r="E1835" t="str">
        <f t="shared" si="28"/>
        <v>Technodom7211002459</v>
      </c>
    </row>
    <row r="1836" spans="1:5" x14ac:dyDescent="0.3">
      <c r="A1836" t="s">
        <v>445</v>
      </c>
      <c r="B1836">
        <v>1830006090</v>
      </c>
      <c r="C1836" t="s">
        <v>2607</v>
      </c>
      <c r="D1836" t="s">
        <v>2608</v>
      </c>
      <c r="E1836" t="str">
        <f t="shared" si="28"/>
        <v>Technodom1830006090</v>
      </c>
    </row>
    <row r="1837" spans="1:5" x14ac:dyDescent="0.3">
      <c r="A1837" t="s">
        <v>445</v>
      </c>
      <c r="B1837">
        <v>1830006356</v>
      </c>
      <c r="C1837" t="s">
        <v>2609</v>
      </c>
      <c r="D1837" t="s">
        <v>2610</v>
      </c>
      <c r="E1837" t="str">
        <f t="shared" si="28"/>
        <v>Technodom1830006356</v>
      </c>
    </row>
    <row r="1838" spans="1:5" x14ac:dyDescent="0.3">
      <c r="A1838" t="s">
        <v>445</v>
      </c>
      <c r="B1838">
        <v>2100094120</v>
      </c>
      <c r="C1838" t="s">
        <v>434</v>
      </c>
      <c r="D1838" t="s">
        <v>2611</v>
      </c>
      <c r="E1838" t="str">
        <f t="shared" si="28"/>
        <v>Technodom2100094120</v>
      </c>
    </row>
    <row r="1839" spans="1:5" x14ac:dyDescent="0.3">
      <c r="A1839" t="s">
        <v>445</v>
      </c>
      <c r="B1839">
        <v>1500888672</v>
      </c>
      <c r="C1839" t="s">
        <v>2612</v>
      </c>
      <c r="D1839" t="s">
        <v>2613</v>
      </c>
      <c r="E1839" t="str">
        <f t="shared" si="28"/>
        <v>Technodom1500888672</v>
      </c>
    </row>
    <row r="1840" spans="1:5" x14ac:dyDescent="0.3">
      <c r="A1840" t="s">
        <v>445</v>
      </c>
      <c r="B1840">
        <v>2100096667</v>
      </c>
      <c r="C1840" t="s">
        <v>2614</v>
      </c>
      <c r="D1840" t="s">
        <v>2615</v>
      </c>
      <c r="E1840" t="str">
        <f t="shared" si="28"/>
        <v>Technodom2100096667</v>
      </c>
    </row>
    <row r="1841" spans="1:5" x14ac:dyDescent="0.3">
      <c r="A1841" t="s">
        <v>445</v>
      </c>
      <c r="B1841">
        <v>1830006016</v>
      </c>
      <c r="C1841" t="s">
        <v>706</v>
      </c>
      <c r="D1841" t="s">
        <v>2616</v>
      </c>
      <c r="E1841" t="str">
        <f t="shared" si="28"/>
        <v>Technodom1830006016</v>
      </c>
    </row>
    <row r="1842" spans="1:5" x14ac:dyDescent="0.3">
      <c r="A1842" t="s">
        <v>445</v>
      </c>
      <c r="B1842">
        <v>9100023401</v>
      </c>
      <c r="C1842">
        <v>4166122</v>
      </c>
      <c r="D1842" t="s">
        <v>2617</v>
      </c>
      <c r="E1842" t="str">
        <f t="shared" si="28"/>
        <v>Technodom9100023401</v>
      </c>
    </row>
    <row r="1843" spans="1:5" x14ac:dyDescent="0.3">
      <c r="A1843" t="s">
        <v>445</v>
      </c>
      <c r="B1843">
        <v>9100023402</v>
      </c>
      <c r="C1843">
        <v>4166124</v>
      </c>
      <c r="D1843" t="s">
        <v>2618</v>
      </c>
      <c r="E1843" t="str">
        <f t="shared" si="28"/>
        <v>Technodom9100023402</v>
      </c>
    </row>
    <row r="1844" spans="1:5" x14ac:dyDescent="0.3">
      <c r="A1844" t="s">
        <v>445</v>
      </c>
      <c r="B1844">
        <v>9100023400</v>
      </c>
      <c r="C1844">
        <v>4166120</v>
      </c>
      <c r="D1844" t="s">
        <v>2619</v>
      </c>
      <c r="E1844" t="str">
        <f t="shared" si="28"/>
        <v>Technodom9100023400</v>
      </c>
    </row>
    <row r="1845" spans="1:5" x14ac:dyDescent="0.3">
      <c r="A1845" t="s">
        <v>445</v>
      </c>
      <c r="B1845">
        <v>9100023403</v>
      </c>
      <c r="C1845">
        <v>4166126</v>
      </c>
      <c r="D1845" t="s">
        <v>2620</v>
      </c>
      <c r="E1845" t="str">
        <f t="shared" si="28"/>
        <v>Technodom9100023403</v>
      </c>
    </row>
    <row r="1846" spans="1:5" x14ac:dyDescent="0.3">
      <c r="A1846" t="s">
        <v>445</v>
      </c>
      <c r="B1846">
        <v>9100023404</v>
      </c>
      <c r="C1846">
        <v>4166128</v>
      </c>
      <c r="D1846" t="s">
        <v>2621</v>
      </c>
      <c r="E1846" t="str">
        <f t="shared" si="28"/>
        <v>Technodom9100023404</v>
      </c>
    </row>
    <row r="1847" spans="1:5" x14ac:dyDescent="0.3">
      <c r="A1847" t="s">
        <v>445</v>
      </c>
      <c r="B1847">
        <v>9100023407</v>
      </c>
      <c r="C1847">
        <v>4166224</v>
      </c>
      <c r="D1847" t="s">
        <v>2622</v>
      </c>
      <c r="E1847" t="str">
        <f t="shared" si="28"/>
        <v>Technodom9100023407</v>
      </c>
    </row>
    <row r="1848" spans="1:5" x14ac:dyDescent="0.3">
      <c r="A1848" t="s">
        <v>445</v>
      </c>
      <c r="B1848">
        <v>1830006329</v>
      </c>
      <c r="C1848" t="s">
        <v>678</v>
      </c>
      <c r="D1848" t="s">
        <v>2623</v>
      </c>
      <c r="E1848" t="str">
        <f t="shared" si="28"/>
        <v>Technodom1830006329</v>
      </c>
    </row>
    <row r="1849" spans="1:5" x14ac:dyDescent="0.3">
      <c r="A1849" t="s">
        <v>445</v>
      </c>
      <c r="B1849">
        <v>1830006092</v>
      </c>
      <c r="C1849" t="s">
        <v>2624</v>
      </c>
      <c r="D1849" t="s">
        <v>2625</v>
      </c>
      <c r="E1849" t="str">
        <f t="shared" si="28"/>
        <v>Technodom1830006092</v>
      </c>
    </row>
    <row r="1850" spans="1:5" x14ac:dyDescent="0.3">
      <c r="A1850" t="s">
        <v>445</v>
      </c>
      <c r="B1850">
        <v>9100023408</v>
      </c>
      <c r="C1850">
        <v>4166418</v>
      </c>
      <c r="D1850" t="s">
        <v>2626</v>
      </c>
      <c r="E1850" t="str">
        <f t="shared" si="28"/>
        <v>Technodom9100023408</v>
      </c>
    </row>
    <row r="1851" spans="1:5" x14ac:dyDescent="0.3">
      <c r="A1851" t="s">
        <v>445</v>
      </c>
      <c r="B1851">
        <v>8000035826</v>
      </c>
      <c r="C1851" t="s">
        <v>362</v>
      </c>
      <c r="D1851" t="s">
        <v>364</v>
      </c>
      <c r="E1851" t="str">
        <f t="shared" si="28"/>
        <v>Technodom8000035826</v>
      </c>
    </row>
    <row r="1852" spans="1:5" x14ac:dyDescent="0.3">
      <c r="A1852" t="s">
        <v>445</v>
      </c>
      <c r="B1852">
        <v>9100023409</v>
      </c>
      <c r="C1852">
        <v>4166322</v>
      </c>
      <c r="D1852" t="s">
        <v>2627</v>
      </c>
      <c r="E1852" t="str">
        <f t="shared" si="28"/>
        <v>Technodom9100023409</v>
      </c>
    </row>
    <row r="1853" spans="1:5" x14ac:dyDescent="0.3">
      <c r="A1853" t="s">
        <v>445</v>
      </c>
      <c r="B1853">
        <v>9100023413</v>
      </c>
      <c r="C1853">
        <v>4166928</v>
      </c>
      <c r="D1853" t="s">
        <v>2628</v>
      </c>
      <c r="E1853" t="str">
        <f t="shared" si="28"/>
        <v>Technodom9100023413</v>
      </c>
    </row>
    <row r="1854" spans="1:5" x14ac:dyDescent="0.3">
      <c r="A1854" t="s">
        <v>445</v>
      </c>
      <c r="B1854">
        <v>9100023410</v>
      </c>
      <c r="C1854">
        <v>4166920</v>
      </c>
      <c r="D1854" t="s">
        <v>2629</v>
      </c>
      <c r="E1854" t="str">
        <f t="shared" si="28"/>
        <v>Technodom9100023410</v>
      </c>
    </row>
    <row r="1855" spans="1:5" x14ac:dyDescent="0.3">
      <c r="A1855" t="s">
        <v>445</v>
      </c>
      <c r="B1855">
        <v>9100023411</v>
      </c>
      <c r="C1855">
        <v>4166924</v>
      </c>
      <c r="D1855" t="s">
        <v>2630</v>
      </c>
      <c r="E1855" t="str">
        <f t="shared" si="28"/>
        <v>Technodom9100023411</v>
      </c>
    </row>
    <row r="1856" spans="1:5" x14ac:dyDescent="0.3">
      <c r="A1856" t="s">
        <v>445</v>
      </c>
      <c r="B1856">
        <v>1830006139</v>
      </c>
      <c r="C1856" t="s">
        <v>2631</v>
      </c>
      <c r="D1856" t="s">
        <v>2632</v>
      </c>
      <c r="E1856" t="str">
        <f t="shared" si="28"/>
        <v>Technodom1830006139</v>
      </c>
    </row>
    <row r="1857" spans="1:5" x14ac:dyDescent="0.3">
      <c r="A1857" t="s">
        <v>445</v>
      </c>
      <c r="B1857">
        <v>1600004831</v>
      </c>
      <c r="C1857" t="s">
        <v>604</v>
      </c>
      <c r="D1857" t="s">
        <v>2633</v>
      </c>
      <c r="E1857" t="str">
        <f t="shared" si="28"/>
        <v>Technodom1600004831</v>
      </c>
    </row>
    <row r="1858" spans="1:5" x14ac:dyDescent="0.3">
      <c r="A1858" t="s">
        <v>445</v>
      </c>
      <c r="B1858">
        <v>2210018825</v>
      </c>
      <c r="C1858" t="s">
        <v>606</v>
      </c>
      <c r="D1858" t="s">
        <v>2634</v>
      </c>
      <c r="E1858" t="str">
        <f t="shared" si="28"/>
        <v>Technodom2210018825</v>
      </c>
    </row>
    <row r="1859" spans="1:5" x14ac:dyDescent="0.3">
      <c r="A1859" t="s">
        <v>445</v>
      </c>
      <c r="B1859">
        <v>2210019385</v>
      </c>
      <c r="C1859" t="s">
        <v>610</v>
      </c>
      <c r="D1859" t="s">
        <v>2635</v>
      </c>
      <c r="E1859" t="str">
        <f t="shared" ref="E1859:E1922" si="29">A1859&amp;B1859</f>
        <v>Technodom2210019385</v>
      </c>
    </row>
    <row r="1860" spans="1:5" x14ac:dyDescent="0.3">
      <c r="A1860" t="s">
        <v>445</v>
      </c>
      <c r="B1860">
        <v>2211400159</v>
      </c>
      <c r="C1860" t="s">
        <v>708</v>
      </c>
      <c r="D1860" t="s">
        <v>2636</v>
      </c>
      <c r="E1860" t="str">
        <f t="shared" si="29"/>
        <v>Technodom2211400159</v>
      </c>
    </row>
    <row r="1861" spans="1:5" x14ac:dyDescent="0.3">
      <c r="A1861" t="s">
        <v>445</v>
      </c>
      <c r="B1861">
        <v>8000036188</v>
      </c>
      <c r="C1861" t="s">
        <v>2128</v>
      </c>
      <c r="D1861" t="s">
        <v>2637</v>
      </c>
      <c r="E1861" t="str">
        <f t="shared" si="29"/>
        <v>Technodom8000036188</v>
      </c>
    </row>
    <row r="1862" spans="1:5" x14ac:dyDescent="0.3">
      <c r="A1862" t="s">
        <v>445</v>
      </c>
      <c r="B1862">
        <v>9100024446</v>
      </c>
      <c r="C1862">
        <v>4170124</v>
      </c>
      <c r="D1862" t="s">
        <v>2638</v>
      </c>
      <c r="E1862" t="str">
        <f t="shared" si="29"/>
        <v>Technodom9100024446</v>
      </c>
    </row>
    <row r="1863" spans="1:5" x14ac:dyDescent="0.3">
      <c r="A1863" t="s">
        <v>445</v>
      </c>
      <c r="B1863">
        <v>9100024447</v>
      </c>
      <c r="C1863">
        <v>4170126</v>
      </c>
      <c r="D1863" t="s">
        <v>2639</v>
      </c>
      <c r="E1863" t="str">
        <f t="shared" si="29"/>
        <v>Technodom9100024447</v>
      </c>
    </row>
    <row r="1864" spans="1:5" x14ac:dyDescent="0.3">
      <c r="A1864" t="s">
        <v>445</v>
      </c>
      <c r="B1864">
        <v>7211002804</v>
      </c>
      <c r="C1864" t="s">
        <v>1790</v>
      </c>
      <c r="D1864" t="s">
        <v>2640</v>
      </c>
      <c r="E1864" t="str">
        <f t="shared" si="29"/>
        <v>Technodom7211002804</v>
      </c>
    </row>
    <row r="1865" spans="1:5" x14ac:dyDescent="0.3">
      <c r="A1865" t="s">
        <v>445</v>
      </c>
      <c r="B1865">
        <v>8000035883</v>
      </c>
      <c r="C1865" t="s">
        <v>2641</v>
      </c>
      <c r="D1865" t="s">
        <v>2642</v>
      </c>
      <c r="E1865" t="str">
        <f t="shared" si="29"/>
        <v>Technodom8000035883</v>
      </c>
    </row>
    <row r="1866" spans="1:5" x14ac:dyDescent="0.3">
      <c r="A1866" t="s">
        <v>445</v>
      </c>
      <c r="B1866">
        <v>9100024720</v>
      </c>
      <c r="C1866">
        <v>4171126</v>
      </c>
      <c r="D1866" t="s">
        <v>2643</v>
      </c>
      <c r="E1866" t="str">
        <f t="shared" si="29"/>
        <v>Technodom9100024720</v>
      </c>
    </row>
    <row r="1867" spans="1:5" x14ac:dyDescent="0.3">
      <c r="A1867" t="s">
        <v>445</v>
      </c>
      <c r="B1867">
        <v>9100024721</v>
      </c>
      <c r="C1867">
        <v>4171128</v>
      </c>
      <c r="D1867" t="s">
        <v>2644</v>
      </c>
      <c r="E1867" t="str">
        <f t="shared" si="29"/>
        <v>Technodom9100024721</v>
      </c>
    </row>
    <row r="1868" spans="1:5" x14ac:dyDescent="0.3">
      <c r="A1868" t="s">
        <v>445</v>
      </c>
      <c r="B1868">
        <v>7211002269</v>
      </c>
      <c r="C1868" t="s">
        <v>1079</v>
      </c>
      <c r="D1868" t="s">
        <v>2645</v>
      </c>
      <c r="E1868" t="str">
        <f t="shared" si="29"/>
        <v>Technodom7211002269</v>
      </c>
    </row>
    <row r="1869" spans="1:5" x14ac:dyDescent="0.3">
      <c r="A1869" t="s">
        <v>445</v>
      </c>
      <c r="B1869">
        <v>7211002289</v>
      </c>
      <c r="C1869" t="s">
        <v>1081</v>
      </c>
      <c r="D1869" t="s">
        <v>2646</v>
      </c>
      <c r="E1869" t="str">
        <f t="shared" si="29"/>
        <v>Technodom7211002289</v>
      </c>
    </row>
    <row r="1870" spans="1:5" x14ac:dyDescent="0.3">
      <c r="A1870" t="s">
        <v>445</v>
      </c>
      <c r="B1870">
        <v>2211400269</v>
      </c>
      <c r="C1870" t="s">
        <v>2647</v>
      </c>
      <c r="D1870" t="s">
        <v>2648</v>
      </c>
      <c r="E1870" t="str">
        <f t="shared" si="29"/>
        <v>Technodom2211400269</v>
      </c>
    </row>
    <row r="1871" spans="1:5" x14ac:dyDescent="0.3">
      <c r="A1871" t="s">
        <v>445</v>
      </c>
      <c r="B1871">
        <v>2100058891</v>
      </c>
      <c r="C1871" t="s">
        <v>586</v>
      </c>
      <c r="D1871" t="s">
        <v>2649</v>
      </c>
      <c r="E1871" t="str">
        <f t="shared" si="29"/>
        <v>Technodom2100058891</v>
      </c>
    </row>
    <row r="1872" spans="1:5" x14ac:dyDescent="0.3">
      <c r="A1872" t="s">
        <v>445</v>
      </c>
      <c r="B1872">
        <v>2100102542</v>
      </c>
      <c r="C1872" t="s">
        <v>507</v>
      </c>
      <c r="D1872" t="s">
        <v>2650</v>
      </c>
      <c r="E1872" t="str">
        <f t="shared" si="29"/>
        <v>Technodom2100102542</v>
      </c>
    </row>
    <row r="1873" spans="1:5" x14ac:dyDescent="0.3">
      <c r="A1873" t="s">
        <v>445</v>
      </c>
      <c r="B1873">
        <v>1830006274</v>
      </c>
      <c r="C1873" t="s">
        <v>923</v>
      </c>
      <c r="D1873" t="s">
        <v>2651</v>
      </c>
      <c r="E1873" t="str">
        <f t="shared" si="29"/>
        <v>Technodom1830006274</v>
      </c>
    </row>
    <row r="1874" spans="1:5" x14ac:dyDescent="0.3">
      <c r="A1874" t="s">
        <v>445</v>
      </c>
      <c r="B1874">
        <v>9100024448</v>
      </c>
      <c r="C1874">
        <v>4170128</v>
      </c>
      <c r="D1874" t="s">
        <v>2652</v>
      </c>
      <c r="E1874" t="str">
        <f t="shared" si="29"/>
        <v>Technodom9100024448</v>
      </c>
    </row>
    <row r="1875" spans="1:5" x14ac:dyDescent="0.3">
      <c r="A1875" t="s">
        <v>445</v>
      </c>
      <c r="B1875">
        <v>2100098782</v>
      </c>
      <c r="C1875" t="s">
        <v>2653</v>
      </c>
      <c r="D1875" t="s">
        <v>2654</v>
      </c>
      <c r="E1875" t="str">
        <f t="shared" si="29"/>
        <v>Technodom2100098782</v>
      </c>
    </row>
    <row r="1876" spans="1:5" x14ac:dyDescent="0.3">
      <c r="A1876" t="s">
        <v>445</v>
      </c>
      <c r="B1876">
        <v>8000036072</v>
      </c>
      <c r="C1876" t="s">
        <v>815</v>
      </c>
      <c r="D1876" t="s">
        <v>2655</v>
      </c>
      <c r="E1876" t="str">
        <f t="shared" si="29"/>
        <v>Technodom8000036072</v>
      </c>
    </row>
    <row r="1877" spans="1:5" x14ac:dyDescent="0.3">
      <c r="A1877" t="s">
        <v>445</v>
      </c>
      <c r="B1877">
        <v>7211001544</v>
      </c>
      <c r="C1877" t="s">
        <v>2379</v>
      </c>
      <c r="D1877" t="s">
        <v>2656</v>
      </c>
      <c r="E1877" t="str">
        <f t="shared" si="29"/>
        <v>Technodom7211001544</v>
      </c>
    </row>
    <row r="1878" spans="1:5" x14ac:dyDescent="0.3">
      <c r="A1878" t="s">
        <v>445</v>
      </c>
      <c r="B1878">
        <v>7211002130</v>
      </c>
      <c r="C1878" t="s">
        <v>2384</v>
      </c>
      <c r="D1878" t="s">
        <v>2657</v>
      </c>
      <c r="E1878" t="str">
        <f t="shared" si="29"/>
        <v>Technodom7211002130</v>
      </c>
    </row>
    <row r="1879" spans="1:5" x14ac:dyDescent="0.3">
      <c r="A1879" t="s">
        <v>445</v>
      </c>
      <c r="B1879">
        <v>9100024452</v>
      </c>
      <c r="C1879">
        <v>4170926</v>
      </c>
      <c r="D1879" t="s">
        <v>2658</v>
      </c>
      <c r="E1879" t="str">
        <f t="shared" si="29"/>
        <v>Technodom9100024452</v>
      </c>
    </row>
    <row r="1880" spans="1:5" x14ac:dyDescent="0.3">
      <c r="A1880" t="s">
        <v>445</v>
      </c>
      <c r="B1880">
        <v>9100024450</v>
      </c>
      <c r="C1880">
        <v>4170224</v>
      </c>
      <c r="D1880" t="s">
        <v>2659</v>
      </c>
      <c r="E1880" t="str">
        <f t="shared" si="29"/>
        <v>Technodom9100024450</v>
      </c>
    </row>
    <row r="1881" spans="1:5" x14ac:dyDescent="0.3">
      <c r="A1881" t="s">
        <v>445</v>
      </c>
      <c r="B1881">
        <v>2100088627</v>
      </c>
      <c r="C1881" t="s">
        <v>2660</v>
      </c>
      <c r="D1881" t="s">
        <v>2661</v>
      </c>
      <c r="E1881" t="str">
        <f t="shared" si="29"/>
        <v>Technodom2100088627</v>
      </c>
    </row>
    <row r="1882" spans="1:5" x14ac:dyDescent="0.3">
      <c r="A1882" t="s">
        <v>445</v>
      </c>
      <c r="B1882">
        <v>8000036182</v>
      </c>
      <c r="C1882" t="s">
        <v>80</v>
      </c>
      <c r="D1882" t="s">
        <v>184</v>
      </c>
      <c r="E1882" t="str">
        <f t="shared" si="29"/>
        <v>Technodom8000036182</v>
      </c>
    </row>
    <row r="1883" spans="1:5" x14ac:dyDescent="0.3">
      <c r="A1883" t="s">
        <v>445</v>
      </c>
      <c r="B1883">
        <v>9100024453</v>
      </c>
      <c r="C1883">
        <v>4170928</v>
      </c>
      <c r="D1883" t="s">
        <v>2662</v>
      </c>
      <c r="E1883" t="str">
        <f t="shared" si="29"/>
        <v>Technodom9100024453</v>
      </c>
    </row>
    <row r="1884" spans="1:5" x14ac:dyDescent="0.3">
      <c r="A1884" t="s">
        <v>445</v>
      </c>
      <c r="B1884">
        <v>2211400160</v>
      </c>
      <c r="C1884" t="s">
        <v>2663</v>
      </c>
      <c r="D1884" t="s">
        <v>2664</v>
      </c>
      <c r="E1884" t="str">
        <f t="shared" si="29"/>
        <v>Technodom2211400160</v>
      </c>
    </row>
    <row r="1885" spans="1:5" x14ac:dyDescent="0.3">
      <c r="A1885" t="s">
        <v>445</v>
      </c>
      <c r="B1885">
        <v>2211400056</v>
      </c>
      <c r="C1885" t="s">
        <v>837</v>
      </c>
      <c r="D1885" t="s">
        <v>2665</v>
      </c>
      <c r="E1885" t="str">
        <f t="shared" si="29"/>
        <v>Technodom2211400056</v>
      </c>
    </row>
    <row r="1886" spans="1:5" x14ac:dyDescent="0.3">
      <c r="A1886" t="s">
        <v>445</v>
      </c>
      <c r="B1886">
        <v>8010000043</v>
      </c>
      <c r="C1886" t="s">
        <v>2666</v>
      </c>
      <c r="D1886" t="s">
        <v>2667</v>
      </c>
      <c r="E1886" t="str">
        <f t="shared" si="29"/>
        <v>Technodom8010000043</v>
      </c>
    </row>
    <row r="1887" spans="1:5" x14ac:dyDescent="0.3">
      <c r="A1887" t="s">
        <v>445</v>
      </c>
      <c r="B1887">
        <v>2211400251</v>
      </c>
      <c r="C1887" t="s">
        <v>1197</v>
      </c>
      <c r="D1887" t="s">
        <v>2668</v>
      </c>
      <c r="E1887" t="str">
        <f t="shared" si="29"/>
        <v>Technodom2211400251</v>
      </c>
    </row>
    <row r="1888" spans="1:5" x14ac:dyDescent="0.3">
      <c r="A1888" t="s">
        <v>445</v>
      </c>
      <c r="B1888">
        <v>2211400233</v>
      </c>
      <c r="C1888" t="s">
        <v>849</v>
      </c>
      <c r="D1888" t="s">
        <v>2669</v>
      </c>
      <c r="E1888" t="str">
        <f t="shared" si="29"/>
        <v>Technodom2211400233</v>
      </c>
    </row>
    <row r="1889" spans="1:5" x14ac:dyDescent="0.3">
      <c r="A1889" t="s">
        <v>445</v>
      </c>
      <c r="B1889">
        <v>1830005197</v>
      </c>
      <c r="C1889" t="s">
        <v>529</v>
      </c>
      <c r="D1889" t="s">
        <v>2670</v>
      </c>
      <c r="E1889" t="str">
        <f t="shared" si="29"/>
        <v>Technodom1830005197</v>
      </c>
    </row>
    <row r="1890" spans="1:5" x14ac:dyDescent="0.3">
      <c r="A1890" t="s">
        <v>445</v>
      </c>
      <c r="B1890">
        <v>2100098052</v>
      </c>
      <c r="C1890" t="s">
        <v>2671</v>
      </c>
      <c r="D1890" t="s">
        <v>2672</v>
      </c>
      <c r="E1890" t="str">
        <f t="shared" si="29"/>
        <v>Technodom2100098052</v>
      </c>
    </row>
    <row r="1891" spans="1:5" x14ac:dyDescent="0.3">
      <c r="A1891" t="s">
        <v>445</v>
      </c>
      <c r="B1891">
        <v>2100098051</v>
      </c>
      <c r="C1891" t="s">
        <v>2673</v>
      </c>
      <c r="D1891" t="s">
        <v>2674</v>
      </c>
      <c r="E1891" t="str">
        <f t="shared" si="29"/>
        <v>Technodom2100098051</v>
      </c>
    </row>
    <row r="1892" spans="1:5" x14ac:dyDescent="0.3">
      <c r="A1892" t="s">
        <v>445</v>
      </c>
      <c r="B1892">
        <v>2100102477</v>
      </c>
      <c r="C1892" t="s">
        <v>2675</v>
      </c>
      <c r="D1892" t="s">
        <v>2676</v>
      </c>
      <c r="E1892" t="str">
        <f t="shared" si="29"/>
        <v>Technodom2100102477</v>
      </c>
    </row>
    <row r="1893" spans="1:5" x14ac:dyDescent="0.3">
      <c r="A1893" t="s">
        <v>445</v>
      </c>
      <c r="B1893">
        <v>8010000031</v>
      </c>
      <c r="C1893" t="s">
        <v>1686</v>
      </c>
      <c r="D1893" t="s">
        <v>2677</v>
      </c>
      <c r="E1893" t="str">
        <f t="shared" si="29"/>
        <v>Technodom8010000031</v>
      </c>
    </row>
    <row r="1894" spans="1:5" x14ac:dyDescent="0.3">
      <c r="A1894" t="s">
        <v>445</v>
      </c>
      <c r="B1894">
        <v>1510001948</v>
      </c>
      <c r="C1894" t="s">
        <v>857</v>
      </c>
      <c r="D1894" t="s">
        <v>2678</v>
      </c>
      <c r="E1894" t="str">
        <f t="shared" si="29"/>
        <v>Technodom1510001948</v>
      </c>
    </row>
    <row r="1895" spans="1:5" x14ac:dyDescent="0.3">
      <c r="A1895" t="s">
        <v>445</v>
      </c>
      <c r="B1895">
        <v>1830005958</v>
      </c>
      <c r="C1895" t="s">
        <v>902</v>
      </c>
      <c r="D1895" t="s">
        <v>2679</v>
      </c>
      <c r="E1895" t="str">
        <f t="shared" si="29"/>
        <v>Technodom1830005958</v>
      </c>
    </row>
    <row r="1896" spans="1:5" x14ac:dyDescent="0.3">
      <c r="A1896" t="s">
        <v>445</v>
      </c>
      <c r="B1896">
        <v>1830006013</v>
      </c>
      <c r="C1896" t="s">
        <v>423</v>
      </c>
      <c r="D1896" t="s">
        <v>2680</v>
      </c>
      <c r="E1896" t="str">
        <f t="shared" si="29"/>
        <v>Technodom1830006013</v>
      </c>
    </row>
    <row r="1897" spans="1:5" x14ac:dyDescent="0.3">
      <c r="A1897" t="s">
        <v>445</v>
      </c>
      <c r="B1897">
        <v>1830005921</v>
      </c>
      <c r="C1897" t="s">
        <v>618</v>
      </c>
      <c r="D1897" t="s">
        <v>2681</v>
      </c>
      <c r="E1897" t="str">
        <f t="shared" si="29"/>
        <v>Technodom1830005921</v>
      </c>
    </row>
    <row r="1898" spans="1:5" x14ac:dyDescent="0.3">
      <c r="A1898" t="s">
        <v>445</v>
      </c>
      <c r="B1898">
        <v>1830006239</v>
      </c>
      <c r="C1898" t="s">
        <v>2682</v>
      </c>
      <c r="D1898" t="s">
        <v>2683</v>
      </c>
      <c r="E1898" t="str">
        <f t="shared" si="29"/>
        <v>Technodom1830006239</v>
      </c>
    </row>
    <row r="1899" spans="1:5" x14ac:dyDescent="0.3">
      <c r="A1899" t="s">
        <v>445</v>
      </c>
      <c r="B1899">
        <v>1830005488</v>
      </c>
      <c r="C1899" t="s">
        <v>886</v>
      </c>
      <c r="D1899" t="s">
        <v>2684</v>
      </c>
      <c r="E1899" t="str">
        <f t="shared" si="29"/>
        <v>Technodom1830005488</v>
      </c>
    </row>
    <row r="1900" spans="1:5" x14ac:dyDescent="0.3">
      <c r="A1900" t="s">
        <v>445</v>
      </c>
      <c r="B1900">
        <v>1830006133</v>
      </c>
      <c r="C1900" t="s">
        <v>2415</v>
      </c>
      <c r="D1900" t="s">
        <v>2685</v>
      </c>
      <c r="E1900" t="str">
        <f t="shared" si="29"/>
        <v>Technodom1830006133</v>
      </c>
    </row>
    <row r="1901" spans="1:5" x14ac:dyDescent="0.3">
      <c r="A1901" t="s">
        <v>445</v>
      </c>
      <c r="B1901">
        <v>1830006342</v>
      </c>
      <c r="C1901" t="s">
        <v>2432</v>
      </c>
      <c r="D1901" t="s">
        <v>2686</v>
      </c>
      <c r="E1901" t="str">
        <f t="shared" si="29"/>
        <v>Technodom1830006342</v>
      </c>
    </row>
    <row r="1902" spans="1:5" x14ac:dyDescent="0.3">
      <c r="A1902" t="s">
        <v>445</v>
      </c>
      <c r="B1902">
        <v>1830005944</v>
      </c>
      <c r="C1902" t="s">
        <v>2687</v>
      </c>
      <c r="D1902" t="s">
        <v>2688</v>
      </c>
      <c r="E1902" t="str">
        <f t="shared" si="29"/>
        <v>Technodom1830005944</v>
      </c>
    </row>
    <row r="1903" spans="1:5" x14ac:dyDescent="0.3">
      <c r="A1903" t="s">
        <v>445</v>
      </c>
      <c r="B1903">
        <v>1830004371</v>
      </c>
      <c r="C1903" t="s">
        <v>2689</v>
      </c>
      <c r="D1903" t="s">
        <v>2690</v>
      </c>
      <c r="E1903" t="str">
        <f t="shared" si="29"/>
        <v>Technodom1830004371</v>
      </c>
    </row>
    <row r="1904" spans="1:5" x14ac:dyDescent="0.3">
      <c r="A1904" t="s">
        <v>445</v>
      </c>
      <c r="B1904">
        <v>2210019196</v>
      </c>
      <c r="C1904" t="s">
        <v>612</v>
      </c>
      <c r="D1904" t="s">
        <v>2691</v>
      </c>
      <c r="E1904" t="str">
        <f t="shared" si="29"/>
        <v>Technodom2210019196</v>
      </c>
    </row>
    <row r="1905" spans="1:5" x14ac:dyDescent="0.3">
      <c r="A1905" t="s">
        <v>445</v>
      </c>
      <c r="B1905">
        <v>1830006561</v>
      </c>
      <c r="C1905" t="s">
        <v>2692</v>
      </c>
      <c r="D1905" t="s">
        <v>2693</v>
      </c>
      <c r="E1905" t="str">
        <f t="shared" si="29"/>
        <v>Technodom1830006561</v>
      </c>
    </row>
    <row r="1906" spans="1:5" x14ac:dyDescent="0.3">
      <c r="A1906" t="s">
        <v>445</v>
      </c>
      <c r="B1906">
        <v>2100071025</v>
      </c>
      <c r="C1906" t="s">
        <v>2694</v>
      </c>
      <c r="D1906" t="s">
        <v>2695</v>
      </c>
      <c r="E1906" t="str">
        <f t="shared" si="29"/>
        <v>Technodom2100071025</v>
      </c>
    </row>
    <row r="1907" spans="1:5" x14ac:dyDescent="0.3">
      <c r="A1907" t="s">
        <v>445</v>
      </c>
      <c r="B1907">
        <v>7211002851</v>
      </c>
      <c r="C1907" t="s">
        <v>954</v>
      </c>
      <c r="D1907" t="s">
        <v>2696</v>
      </c>
      <c r="E1907" t="str">
        <f t="shared" si="29"/>
        <v>Technodom7211002851</v>
      </c>
    </row>
    <row r="1908" spans="1:5" x14ac:dyDescent="0.3">
      <c r="A1908" t="s">
        <v>445</v>
      </c>
      <c r="B1908">
        <v>1830005749</v>
      </c>
      <c r="C1908" t="s">
        <v>696</v>
      </c>
      <c r="D1908" t="s">
        <v>2697</v>
      </c>
      <c r="E1908" t="str">
        <f t="shared" si="29"/>
        <v>Technodom1830005749</v>
      </c>
    </row>
    <row r="1909" spans="1:5" x14ac:dyDescent="0.3">
      <c r="A1909" t="s">
        <v>445</v>
      </c>
      <c r="B1909">
        <v>1830005314</v>
      </c>
      <c r="C1909" t="s">
        <v>2698</v>
      </c>
      <c r="D1909" t="s">
        <v>2699</v>
      </c>
      <c r="E1909" t="str">
        <f t="shared" si="29"/>
        <v>Technodom1830005314</v>
      </c>
    </row>
    <row r="1910" spans="1:5" x14ac:dyDescent="0.3">
      <c r="A1910" t="s">
        <v>445</v>
      </c>
      <c r="B1910">
        <v>1830006026</v>
      </c>
      <c r="C1910" t="s">
        <v>356</v>
      </c>
      <c r="D1910" t="s">
        <v>2700</v>
      </c>
      <c r="E1910" t="str">
        <f t="shared" si="29"/>
        <v>Technodom1830006026</v>
      </c>
    </row>
    <row r="1911" spans="1:5" x14ac:dyDescent="0.3">
      <c r="A1911" t="s">
        <v>445</v>
      </c>
      <c r="B1911">
        <v>1830006775</v>
      </c>
      <c r="C1911" t="s">
        <v>2701</v>
      </c>
      <c r="D1911" t="s">
        <v>2702</v>
      </c>
      <c r="E1911" t="str">
        <f t="shared" si="29"/>
        <v>Technodom1830006775</v>
      </c>
    </row>
    <row r="1912" spans="1:5" x14ac:dyDescent="0.3">
      <c r="A1912" t="s">
        <v>445</v>
      </c>
      <c r="B1912">
        <v>2100099011</v>
      </c>
      <c r="C1912" t="s">
        <v>2703</v>
      </c>
      <c r="D1912" t="s">
        <v>2704</v>
      </c>
      <c r="E1912" t="str">
        <f t="shared" si="29"/>
        <v>Technodom2100099011</v>
      </c>
    </row>
    <row r="1913" spans="1:5" x14ac:dyDescent="0.3">
      <c r="A1913" t="s">
        <v>445</v>
      </c>
      <c r="B1913">
        <v>2100098995</v>
      </c>
      <c r="C1913" t="s">
        <v>654</v>
      </c>
      <c r="D1913" t="s">
        <v>2705</v>
      </c>
      <c r="E1913" t="str">
        <f t="shared" si="29"/>
        <v>Technodom2100098995</v>
      </c>
    </row>
    <row r="1914" spans="1:5" x14ac:dyDescent="0.3">
      <c r="A1914" t="s">
        <v>445</v>
      </c>
      <c r="B1914">
        <v>8010000033</v>
      </c>
      <c r="C1914" t="s">
        <v>64</v>
      </c>
      <c r="D1914" t="s">
        <v>175</v>
      </c>
      <c r="E1914" t="str">
        <f t="shared" si="29"/>
        <v>Technodom8010000033</v>
      </c>
    </row>
    <row r="1915" spans="1:5" x14ac:dyDescent="0.3">
      <c r="A1915" t="s">
        <v>445</v>
      </c>
      <c r="B1915">
        <v>8000036023</v>
      </c>
      <c r="C1915" t="s">
        <v>57</v>
      </c>
      <c r="D1915" t="s">
        <v>169</v>
      </c>
      <c r="E1915" t="str">
        <f t="shared" si="29"/>
        <v>Technodom8000036023</v>
      </c>
    </row>
    <row r="1916" spans="1:5" x14ac:dyDescent="0.3">
      <c r="A1916" t="s">
        <v>445</v>
      </c>
      <c r="B1916">
        <v>9100024728</v>
      </c>
      <c r="C1916">
        <v>4171928</v>
      </c>
      <c r="D1916" t="s">
        <v>2706</v>
      </c>
      <c r="E1916" t="str">
        <f t="shared" si="29"/>
        <v>Technodom9100024728</v>
      </c>
    </row>
    <row r="1917" spans="1:5" x14ac:dyDescent="0.3">
      <c r="A1917" t="s">
        <v>445</v>
      </c>
      <c r="B1917">
        <v>9100024727</v>
      </c>
      <c r="C1917">
        <v>4171926</v>
      </c>
      <c r="D1917" t="s">
        <v>2707</v>
      </c>
      <c r="E1917" t="str">
        <f t="shared" si="29"/>
        <v>Technodom9100024727</v>
      </c>
    </row>
    <row r="1918" spans="1:5" x14ac:dyDescent="0.3">
      <c r="A1918" t="s">
        <v>445</v>
      </c>
      <c r="B1918">
        <v>1830006629</v>
      </c>
      <c r="C1918" t="s">
        <v>946</v>
      </c>
      <c r="D1918" t="s">
        <v>2708</v>
      </c>
      <c r="E1918" t="str">
        <f t="shared" si="29"/>
        <v>Technodom1830006629</v>
      </c>
    </row>
    <row r="1919" spans="1:5" x14ac:dyDescent="0.3">
      <c r="A1919" t="s">
        <v>445</v>
      </c>
      <c r="B1919">
        <v>2100101301</v>
      </c>
      <c r="C1919" t="s">
        <v>2709</v>
      </c>
      <c r="D1919" t="s">
        <v>2710</v>
      </c>
      <c r="E1919" t="str">
        <f t="shared" si="29"/>
        <v>Technodom2100101301</v>
      </c>
    </row>
    <row r="1920" spans="1:5" x14ac:dyDescent="0.3">
      <c r="A1920" t="s">
        <v>445</v>
      </c>
      <c r="B1920">
        <v>9100024451</v>
      </c>
      <c r="C1920">
        <v>4170924</v>
      </c>
      <c r="D1920" t="s">
        <v>2711</v>
      </c>
      <c r="E1920" t="str">
        <f t="shared" si="29"/>
        <v>Technodom9100024451</v>
      </c>
    </row>
    <row r="1921" spans="1:5" x14ac:dyDescent="0.3">
      <c r="A1921" t="s">
        <v>445</v>
      </c>
      <c r="B1921">
        <v>9100024723</v>
      </c>
      <c r="C1921">
        <v>4171224</v>
      </c>
      <c r="D1921" t="s">
        <v>2712</v>
      </c>
      <c r="E1921" t="str">
        <f t="shared" si="29"/>
        <v>Technodom9100024723</v>
      </c>
    </row>
    <row r="1922" spans="1:5" x14ac:dyDescent="0.3">
      <c r="A1922" t="s">
        <v>445</v>
      </c>
      <c r="B1922">
        <v>1830006855</v>
      </c>
      <c r="C1922" t="s">
        <v>2260</v>
      </c>
      <c r="D1922" t="s">
        <v>2713</v>
      </c>
      <c r="E1922" t="str">
        <f t="shared" si="29"/>
        <v>Technodom1830006855</v>
      </c>
    </row>
    <row r="1923" spans="1:5" x14ac:dyDescent="0.3">
      <c r="A1923" t="s">
        <v>445</v>
      </c>
      <c r="B1923">
        <v>8010000095</v>
      </c>
      <c r="C1923" t="s">
        <v>819</v>
      </c>
      <c r="D1923" t="s">
        <v>2714</v>
      </c>
      <c r="E1923" t="str">
        <f t="shared" ref="E1923:E1986" si="30">A1923&amp;B1923</f>
        <v>Technodom8010000095</v>
      </c>
    </row>
    <row r="1924" spans="1:5" x14ac:dyDescent="0.3">
      <c r="A1924" t="s">
        <v>445</v>
      </c>
      <c r="B1924">
        <v>2211400223</v>
      </c>
      <c r="C1924" t="s">
        <v>853</v>
      </c>
      <c r="D1924" t="s">
        <v>2715</v>
      </c>
      <c r="E1924" t="str">
        <f t="shared" si="30"/>
        <v>Technodom2211400223</v>
      </c>
    </row>
    <row r="1925" spans="1:5" x14ac:dyDescent="0.3">
      <c r="A1925" t="s">
        <v>445</v>
      </c>
      <c r="B1925">
        <v>3100517987</v>
      </c>
      <c r="C1925" t="s">
        <v>2716</v>
      </c>
      <c r="D1925" t="s">
        <v>2717</v>
      </c>
      <c r="E1925" t="str">
        <f t="shared" si="30"/>
        <v>Technodom3100517987</v>
      </c>
    </row>
    <row r="1926" spans="1:5" x14ac:dyDescent="0.3">
      <c r="A1926" t="s">
        <v>445</v>
      </c>
      <c r="B1926">
        <v>3100518018</v>
      </c>
      <c r="C1926" t="s">
        <v>2718</v>
      </c>
      <c r="D1926" t="s">
        <v>2719</v>
      </c>
      <c r="E1926" t="str">
        <f t="shared" si="30"/>
        <v>Technodom3100518018</v>
      </c>
    </row>
    <row r="1927" spans="1:5" x14ac:dyDescent="0.3">
      <c r="A1927" t="s">
        <v>445</v>
      </c>
      <c r="B1927">
        <v>3100517990</v>
      </c>
      <c r="C1927" t="s">
        <v>2720</v>
      </c>
      <c r="D1927" t="s">
        <v>2721</v>
      </c>
      <c r="E1927" t="str">
        <f t="shared" si="30"/>
        <v>Technodom3100517990</v>
      </c>
    </row>
    <row r="1928" spans="1:5" x14ac:dyDescent="0.3">
      <c r="A1928" t="s">
        <v>445</v>
      </c>
      <c r="B1928">
        <v>3100518004</v>
      </c>
      <c r="C1928" t="s">
        <v>2722</v>
      </c>
      <c r="D1928" t="s">
        <v>2723</v>
      </c>
      <c r="E1928" t="str">
        <f t="shared" si="30"/>
        <v>Technodom3100518004</v>
      </c>
    </row>
    <row r="1929" spans="1:5" x14ac:dyDescent="0.3">
      <c r="A1929" t="s">
        <v>445</v>
      </c>
      <c r="B1929">
        <v>3100518005</v>
      </c>
      <c r="C1929" t="s">
        <v>2724</v>
      </c>
      <c r="D1929" t="s">
        <v>2725</v>
      </c>
      <c r="E1929" t="str">
        <f t="shared" si="30"/>
        <v>Technodom3100518005</v>
      </c>
    </row>
    <row r="1930" spans="1:5" x14ac:dyDescent="0.3">
      <c r="A1930" t="s">
        <v>445</v>
      </c>
      <c r="B1930">
        <v>3100518011</v>
      </c>
      <c r="C1930" t="s">
        <v>2726</v>
      </c>
      <c r="D1930" t="s">
        <v>2727</v>
      </c>
      <c r="E1930" t="str">
        <f t="shared" si="30"/>
        <v>Technodom3100518011</v>
      </c>
    </row>
    <row r="1931" spans="1:5" x14ac:dyDescent="0.3">
      <c r="A1931" t="s">
        <v>445</v>
      </c>
      <c r="B1931">
        <v>3100517986</v>
      </c>
      <c r="C1931" t="s">
        <v>2728</v>
      </c>
      <c r="D1931" t="s">
        <v>2729</v>
      </c>
      <c r="E1931" t="str">
        <f t="shared" si="30"/>
        <v>Technodom3100517986</v>
      </c>
    </row>
    <row r="1932" spans="1:5" x14ac:dyDescent="0.3">
      <c r="A1932" t="s">
        <v>445</v>
      </c>
      <c r="B1932">
        <v>3100518012</v>
      </c>
      <c r="C1932" t="s">
        <v>2730</v>
      </c>
      <c r="D1932" t="s">
        <v>2731</v>
      </c>
      <c r="E1932" t="str">
        <f t="shared" si="30"/>
        <v>Technodom3100518012</v>
      </c>
    </row>
    <row r="1933" spans="1:5" x14ac:dyDescent="0.3">
      <c r="A1933" t="s">
        <v>445</v>
      </c>
      <c r="B1933">
        <v>8010000022</v>
      </c>
      <c r="C1933" t="s">
        <v>125</v>
      </c>
      <c r="D1933" t="s">
        <v>189</v>
      </c>
      <c r="E1933" t="str">
        <f t="shared" si="30"/>
        <v>Technodom8010000022</v>
      </c>
    </row>
    <row r="1934" spans="1:5" x14ac:dyDescent="0.3">
      <c r="A1934" t="s">
        <v>445</v>
      </c>
      <c r="B1934">
        <v>7211002342</v>
      </c>
      <c r="C1934" t="s">
        <v>2732</v>
      </c>
      <c r="D1934" t="s">
        <v>2733</v>
      </c>
      <c r="E1934" t="str">
        <f t="shared" si="30"/>
        <v>Technodom7211002342</v>
      </c>
    </row>
    <row r="1935" spans="1:5" x14ac:dyDescent="0.3">
      <c r="A1935" t="s">
        <v>445</v>
      </c>
      <c r="B1935">
        <v>8000031569</v>
      </c>
      <c r="C1935" t="s">
        <v>1661</v>
      </c>
      <c r="D1935" t="s">
        <v>2734</v>
      </c>
      <c r="E1935" t="str">
        <f t="shared" si="30"/>
        <v>Technodom8000031569</v>
      </c>
    </row>
    <row r="1936" spans="1:5" x14ac:dyDescent="0.3">
      <c r="A1936" t="s">
        <v>445</v>
      </c>
      <c r="B1936">
        <v>3100518230</v>
      </c>
      <c r="C1936" t="s">
        <v>2735</v>
      </c>
      <c r="D1936" t="s">
        <v>2736</v>
      </c>
      <c r="E1936" t="str">
        <f t="shared" si="30"/>
        <v>Technodom3100518230</v>
      </c>
    </row>
    <row r="1937" spans="1:5" x14ac:dyDescent="0.3">
      <c r="A1937" t="s">
        <v>445</v>
      </c>
      <c r="B1937">
        <v>3100518250</v>
      </c>
      <c r="C1937" t="s">
        <v>2737</v>
      </c>
      <c r="D1937" t="s">
        <v>2738</v>
      </c>
      <c r="E1937" t="str">
        <f t="shared" si="30"/>
        <v>Technodom3100518250</v>
      </c>
    </row>
    <row r="1938" spans="1:5" x14ac:dyDescent="0.3">
      <c r="A1938" t="s">
        <v>445</v>
      </c>
      <c r="B1938">
        <v>3100518235</v>
      </c>
      <c r="C1938" t="s">
        <v>2739</v>
      </c>
      <c r="D1938" t="s">
        <v>2740</v>
      </c>
      <c r="E1938" t="str">
        <f t="shared" si="30"/>
        <v>Technodom3100518235</v>
      </c>
    </row>
    <row r="1939" spans="1:5" x14ac:dyDescent="0.3">
      <c r="A1939" t="s">
        <v>445</v>
      </c>
      <c r="B1939">
        <v>1830006444</v>
      </c>
      <c r="C1939" t="s">
        <v>1690</v>
      </c>
      <c r="D1939" t="s">
        <v>2741</v>
      </c>
      <c r="E1939" t="str">
        <f t="shared" si="30"/>
        <v>Technodom1830006444</v>
      </c>
    </row>
    <row r="1940" spans="1:5" x14ac:dyDescent="0.3">
      <c r="A1940" t="s">
        <v>445</v>
      </c>
      <c r="B1940">
        <v>1830006929</v>
      </c>
      <c r="C1940" t="s">
        <v>829</v>
      </c>
      <c r="D1940" t="s">
        <v>2742</v>
      </c>
      <c r="E1940" t="str">
        <f t="shared" si="30"/>
        <v>Technodom1830006929</v>
      </c>
    </row>
    <row r="1941" spans="1:5" x14ac:dyDescent="0.3">
      <c r="A1941" t="s">
        <v>445</v>
      </c>
      <c r="B1941">
        <v>2211400560</v>
      </c>
      <c r="C1941" t="s">
        <v>2101</v>
      </c>
      <c r="D1941" t="s">
        <v>2743</v>
      </c>
      <c r="E1941" t="str">
        <f t="shared" si="30"/>
        <v>Technodom2211400560</v>
      </c>
    </row>
    <row r="1942" spans="1:5" x14ac:dyDescent="0.3">
      <c r="A1942" t="s">
        <v>445</v>
      </c>
      <c r="B1942">
        <v>2211400565</v>
      </c>
      <c r="C1942" t="s">
        <v>2744</v>
      </c>
      <c r="D1942" t="s">
        <v>2745</v>
      </c>
      <c r="E1942" t="str">
        <f t="shared" si="30"/>
        <v>Technodom2211400565</v>
      </c>
    </row>
    <row r="1943" spans="1:5" x14ac:dyDescent="0.3">
      <c r="A1943" t="s">
        <v>445</v>
      </c>
      <c r="B1943">
        <v>2211400268</v>
      </c>
      <c r="C1943" t="s">
        <v>855</v>
      </c>
      <c r="D1943" t="s">
        <v>2746</v>
      </c>
      <c r="E1943" t="str">
        <f t="shared" si="30"/>
        <v>Technodom2211400268</v>
      </c>
    </row>
    <row r="1944" spans="1:5" x14ac:dyDescent="0.3">
      <c r="A1944" t="s">
        <v>445</v>
      </c>
      <c r="B1944">
        <v>1830006376</v>
      </c>
      <c r="C1944" t="s">
        <v>2747</v>
      </c>
      <c r="D1944" t="s">
        <v>2748</v>
      </c>
      <c r="E1944" t="str">
        <f t="shared" si="30"/>
        <v>Technodom1830006376</v>
      </c>
    </row>
    <row r="1945" spans="1:5" x14ac:dyDescent="0.3">
      <c r="A1945" t="s">
        <v>445</v>
      </c>
      <c r="B1945">
        <v>1830006984</v>
      </c>
      <c r="C1945" t="s">
        <v>869</v>
      </c>
      <c r="D1945" t="s">
        <v>2749</v>
      </c>
      <c r="E1945" t="str">
        <f t="shared" si="30"/>
        <v>Technodom1830006984</v>
      </c>
    </row>
    <row r="1946" spans="1:5" x14ac:dyDescent="0.3">
      <c r="A1946" t="s">
        <v>445</v>
      </c>
      <c r="B1946">
        <v>2100102194</v>
      </c>
      <c r="C1946" t="s">
        <v>2750</v>
      </c>
      <c r="D1946" t="s">
        <v>2751</v>
      </c>
      <c r="E1946" t="str">
        <f t="shared" si="30"/>
        <v>Technodom2100102194</v>
      </c>
    </row>
    <row r="1947" spans="1:5" x14ac:dyDescent="0.3">
      <c r="A1947" t="s">
        <v>445</v>
      </c>
      <c r="B1947">
        <v>2100102182</v>
      </c>
      <c r="C1947" t="s">
        <v>2752</v>
      </c>
      <c r="D1947" t="s">
        <v>2753</v>
      </c>
      <c r="E1947" t="str">
        <f t="shared" si="30"/>
        <v>Technodom2100102182</v>
      </c>
    </row>
    <row r="1948" spans="1:5" x14ac:dyDescent="0.3">
      <c r="A1948" t="s">
        <v>445</v>
      </c>
      <c r="B1948">
        <v>3100518274</v>
      </c>
      <c r="C1948" t="s">
        <v>2754</v>
      </c>
      <c r="D1948" t="s">
        <v>2755</v>
      </c>
      <c r="E1948" t="str">
        <f t="shared" si="30"/>
        <v>Technodom3100518274</v>
      </c>
    </row>
    <row r="1949" spans="1:5" x14ac:dyDescent="0.3">
      <c r="A1949" t="s">
        <v>445</v>
      </c>
      <c r="B1949">
        <v>3100518278</v>
      </c>
      <c r="C1949" t="s">
        <v>2756</v>
      </c>
      <c r="D1949" t="s">
        <v>2757</v>
      </c>
      <c r="E1949" t="str">
        <f t="shared" si="30"/>
        <v>Technodom3100518278</v>
      </c>
    </row>
    <row r="1950" spans="1:5" x14ac:dyDescent="0.3">
      <c r="A1950" t="s">
        <v>445</v>
      </c>
      <c r="B1950">
        <v>3100518272</v>
      </c>
      <c r="C1950" t="s">
        <v>2758</v>
      </c>
      <c r="D1950" t="s">
        <v>2759</v>
      </c>
      <c r="E1950" t="str">
        <f t="shared" si="30"/>
        <v>Technodom3100518272</v>
      </c>
    </row>
    <row r="1951" spans="1:5" x14ac:dyDescent="0.3">
      <c r="A1951" t="s">
        <v>445</v>
      </c>
      <c r="B1951">
        <v>2100102186</v>
      </c>
      <c r="C1951" t="s">
        <v>841</v>
      </c>
      <c r="D1951" t="s">
        <v>2760</v>
      </c>
      <c r="E1951" t="str">
        <f t="shared" si="30"/>
        <v>Technodom2100102186</v>
      </c>
    </row>
    <row r="1952" spans="1:5" x14ac:dyDescent="0.3">
      <c r="A1952" t="s">
        <v>445</v>
      </c>
      <c r="B1952">
        <v>3100518273</v>
      </c>
      <c r="C1952" t="s">
        <v>2761</v>
      </c>
      <c r="D1952" t="s">
        <v>2762</v>
      </c>
      <c r="E1952" t="str">
        <f t="shared" si="30"/>
        <v>Technodom3100518273</v>
      </c>
    </row>
    <row r="1953" spans="1:5" x14ac:dyDescent="0.3">
      <c r="A1953" t="s">
        <v>445</v>
      </c>
      <c r="B1953">
        <v>2100099031</v>
      </c>
      <c r="C1953" t="s">
        <v>2763</v>
      </c>
      <c r="D1953" t="s">
        <v>2764</v>
      </c>
      <c r="E1953" t="str">
        <f t="shared" si="30"/>
        <v>Technodom2100099031</v>
      </c>
    </row>
    <row r="1954" spans="1:5" x14ac:dyDescent="0.3">
      <c r="A1954" t="s">
        <v>445</v>
      </c>
      <c r="B1954">
        <v>3100518271</v>
      </c>
      <c r="C1954" t="s">
        <v>2765</v>
      </c>
      <c r="D1954" t="s">
        <v>2766</v>
      </c>
      <c r="E1954" t="str">
        <f t="shared" si="30"/>
        <v>Technodom3100518271</v>
      </c>
    </row>
    <row r="1955" spans="1:5" x14ac:dyDescent="0.3">
      <c r="A1955" t="s">
        <v>445</v>
      </c>
      <c r="B1955">
        <v>3100518275</v>
      </c>
      <c r="C1955" t="s">
        <v>2767</v>
      </c>
      <c r="D1955" t="s">
        <v>2768</v>
      </c>
      <c r="E1955" t="str">
        <f t="shared" si="30"/>
        <v>Technodom3100518275</v>
      </c>
    </row>
    <row r="1956" spans="1:5" x14ac:dyDescent="0.3">
      <c r="A1956" t="s">
        <v>445</v>
      </c>
      <c r="B1956">
        <v>3100518276</v>
      </c>
      <c r="C1956" t="s">
        <v>2769</v>
      </c>
      <c r="D1956" t="s">
        <v>2770</v>
      </c>
      <c r="E1956" t="str">
        <f t="shared" si="30"/>
        <v>Technodom3100518276</v>
      </c>
    </row>
    <row r="1957" spans="1:5" x14ac:dyDescent="0.3">
      <c r="A1957" t="s">
        <v>445</v>
      </c>
      <c r="B1957">
        <v>2100099034</v>
      </c>
      <c r="C1957" t="s">
        <v>2771</v>
      </c>
      <c r="D1957" t="s">
        <v>2772</v>
      </c>
      <c r="E1957" t="str">
        <f t="shared" si="30"/>
        <v>Technodom2100099034</v>
      </c>
    </row>
    <row r="1958" spans="1:5" x14ac:dyDescent="0.3">
      <c r="A1958" t="s">
        <v>445</v>
      </c>
      <c r="B1958">
        <v>2100099032</v>
      </c>
      <c r="C1958" t="s">
        <v>2773</v>
      </c>
      <c r="D1958" t="s">
        <v>2774</v>
      </c>
      <c r="E1958" t="str">
        <f t="shared" si="30"/>
        <v>Technodom2100099032</v>
      </c>
    </row>
    <row r="1959" spans="1:5" x14ac:dyDescent="0.3">
      <c r="A1959" t="s">
        <v>445</v>
      </c>
      <c r="B1959">
        <v>1830007146</v>
      </c>
      <c r="C1959" t="s">
        <v>5</v>
      </c>
      <c r="D1959" t="s">
        <v>131</v>
      </c>
      <c r="E1959" t="str">
        <f t="shared" si="30"/>
        <v>Technodom1830007146</v>
      </c>
    </row>
    <row r="1960" spans="1:5" x14ac:dyDescent="0.3">
      <c r="A1960" t="s">
        <v>445</v>
      </c>
      <c r="B1960">
        <v>1830005843</v>
      </c>
      <c r="C1960" t="s">
        <v>582</v>
      </c>
      <c r="D1960" t="s">
        <v>2775</v>
      </c>
      <c r="E1960" t="str">
        <f t="shared" si="30"/>
        <v>Technodom1830005843</v>
      </c>
    </row>
    <row r="1961" spans="1:5" x14ac:dyDescent="0.3">
      <c r="A1961" t="s">
        <v>445</v>
      </c>
      <c r="B1961">
        <v>2820950102</v>
      </c>
      <c r="C1961" t="s">
        <v>880</v>
      </c>
      <c r="D1961" t="s">
        <v>2776</v>
      </c>
      <c r="E1961" t="str">
        <f t="shared" si="30"/>
        <v>Technodom2820950102</v>
      </c>
    </row>
    <row r="1962" spans="1:5" x14ac:dyDescent="0.3">
      <c r="A1962" t="s">
        <v>445</v>
      </c>
      <c r="B1962">
        <v>7211002980</v>
      </c>
      <c r="C1962" t="s">
        <v>2777</v>
      </c>
      <c r="D1962" t="s">
        <v>2778</v>
      </c>
      <c r="E1962" t="str">
        <f t="shared" si="30"/>
        <v>Technodom7211002980</v>
      </c>
    </row>
    <row r="1963" spans="1:5" x14ac:dyDescent="0.3">
      <c r="A1963" t="s">
        <v>445</v>
      </c>
      <c r="B1963">
        <v>1110031282</v>
      </c>
      <c r="C1963" t="s">
        <v>2779</v>
      </c>
      <c r="D1963" t="s">
        <v>200</v>
      </c>
      <c r="E1963" t="str">
        <f t="shared" si="30"/>
        <v>Technodom1110031282</v>
      </c>
    </row>
    <row r="1964" spans="1:5" x14ac:dyDescent="0.3">
      <c r="A1964" t="s">
        <v>445</v>
      </c>
      <c r="B1964">
        <v>9100015891</v>
      </c>
      <c r="C1964">
        <v>4131820</v>
      </c>
      <c r="D1964" t="s">
        <v>2780</v>
      </c>
      <c r="E1964" t="str">
        <f t="shared" si="30"/>
        <v>Technodom9100015891</v>
      </c>
    </row>
    <row r="1965" spans="1:5" x14ac:dyDescent="0.3">
      <c r="A1965" t="s">
        <v>445</v>
      </c>
      <c r="B1965">
        <v>1830006922</v>
      </c>
      <c r="C1965" t="s">
        <v>2781</v>
      </c>
      <c r="D1965" t="s">
        <v>2782</v>
      </c>
      <c r="E1965" t="str">
        <f t="shared" si="30"/>
        <v>Technodom1830006922</v>
      </c>
    </row>
    <row r="1966" spans="1:5" x14ac:dyDescent="0.3">
      <c r="A1966" t="s">
        <v>445</v>
      </c>
      <c r="B1966">
        <v>1830006388</v>
      </c>
      <c r="C1966" t="s">
        <v>2462</v>
      </c>
      <c r="D1966" t="s">
        <v>2783</v>
      </c>
      <c r="E1966" t="str">
        <f t="shared" si="30"/>
        <v>Technodom1830006388</v>
      </c>
    </row>
    <row r="1967" spans="1:5" x14ac:dyDescent="0.3">
      <c r="A1967" t="s">
        <v>445</v>
      </c>
      <c r="B1967">
        <v>7211003308</v>
      </c>
      <c r="C1967" t="s">
        <v>871</v>
      </c>
      <c r="D1967" t="s">
        <v>2784</v>
      </c>
      <c r="E1967" t="str">
        <f t="shared" si="30"/>
        <v>Technodom7211003308</v>
      </c>
    </row>
    <row r="1968" spans="1:5" x14ac:dyDescent="0.3">
      <c r="A1968" t="s">
        <v>445</v>
      </c>
      <c r="B1968">
        <v>3100518067</v>
      </c>
      <c r="C1968" t="s">
        <v>2785</v>
      </c>
      <c r="D1968" t="s">
        <v>2786</v>
      </c>
      <c r="E1968" t="str">
        <f t="shared" si="30"/>
        <v>Technodom3100518067</v>
      </c>
    </row>
    <row r="1969" spans="1:5" x14ac:dyDescent="0.3">
      <c r="A1969" t="s">
        <v>445</v>
      </c>
      <c r="B1969">
        <v>3100517968</v>
      </c>
      <c r="C1969" t="s">
        <v>2787</v>
      </c>
      <c r="D1969" t="s">
        <v>2788</v>
      </c>
      <c r="E1969" t="str">
        <f t="shared" si="30"/>
        <v>Technodom3100517968</v>
      </c>
    </row>
    <row r="1970" spans="1:5" x14ac:dyDescent="0.3">
      <c r="A1970" t="s">
        <v>445</v>
      </c>
      <c r="B1970">
        <v>3100517968</v>
      </c>
      <c r="C1970" t="s">
        <v>2787</v>
      </c>
      <c r="D1970" t="s">
        <v>2789</v>
      </c>
      <c r="E1970" t="str">
        <f t="shared" si="30"/>
        <v>Technodom3100517968</v>
      </c>
    </row>
    <row r="1971" spans="1:5" x14ac:dyDescent="0.3">
      <c r="A1971" t="s">
        <v>445</v>
      </c>
      <c r="B1971">
        <v>2100076153</v>
      </c>
      <c r="C1971" t="s">
        <v>2413</v>
      </c>
      <c r="D1971" t="s">
        <v>2790</v>
      </c>
      <c r="E1971" t="str">
        <f t="shared" si="30"/>
        <v>Technodom2100076153</v>
      </c>
    </row>
    <row r="1972" spans="1:5" x14ac:dyDescent="0.3">
      <c r="A1972" t="s">
        <v>445</v>
      </c>
      <c r="B1972">
        <v>7211003314</v>
      </c>
      <c r="C1972" t="s">
        <v>1345</v>
      </c>
      <c r="D1972" t="s">
        <v>2791</v>
      </c>
      <c r="E1972" t="str">
        <f t="shared" si="30"/>
        <v>Technodom7211003314</v>
      </c>
    </row>
    <row r="1973" spans="1:5" x14ac:dyDescent="0.3">
      <c r="A1973" t="s">
        <v>445</v>
      </c>
      <c r="B1973">
        <v>1830005679</v>
      </c>
      <c r="C1973" t="s">
        <v>1894</v>
      </c>
      <c r="D1973" t="s">
        <v>2792</v>
      </c>
      <c r="E1973" t="str">
        <f t="shared" si="30"/>
        <v>Technodom1830005679</v>
      </c>
    </row>
    <row r="1974" spans="1:5" x14ac:dyDescent="0.3">
      <c r="A1974" t="s">
        <v>445</v>
      </c>
      <c r="B1974">
        <v>2100092977</v>
      </c>
      <c r="C1974" t="s">
        <v>2793</v>
      </c>
      <c r="D1974" t="s">
        <v>2794</v>
      </c>
      <c r="E1974" t="str">
        <f t="shared" si="30"/>
        <v>Technodom2100092977</v>
      </c>
    </row>
    <row r="1975" spans="1:5" x14ac:dyDescent="0.3">
      <c r="A1975" t="s">
        <v>445</v>
      </c>
      <c r="B1975">
        <v>2100092965</v>
      </c>
      <c r="C1975" t="s">
        <v>2795</v>
      </c>
      <c r="D1975" t="s">
        <v>2796</v>
      </c>
      <c r="E1975" t="str">
        <f t="shared" si="30"/>
        <v>Technodom2100092965</v>
      </c>
    </row>
    <row r="1976" spans="1:5" x14ac:dyDescent="0.3">
      <c r="A1976" t="s">
        <v>445</v>
      </c>
      <c r="B1976">
        <v>1830006695</v>
      </c>
      <c r="C1976" t="s">
        <v>1896</v>
      </c>
      <c r="D1976" t="s">
        <v>2797</v>
      </c>
      <c r="E1976" t="str">
        <f t="shared" si="30"/>
        <v>Technodom1830006695</v>
      </c>
    </row>
    <row r="1977" spans="1:5" x14ac:dyDescent="0.3">
      <c r="A1977" t="s">
        <v>445</v>
      </c>
      <c r="B1977">
        <v>2100092966</v>
      </c>
      <c r="C1977" t="s">
        <v>2798</v>
      </c>
      <c r="D1977" t="s">
        <v>2799</v>
      </c>
      <c r="E1977" t="str">
        <f t="shared" si="30"/>
        <v>Technodom2100092966</v>
      </c>
    </row>
    <row r="1978" spans="1:5" x14ac:dyDescent="0.3">
      <c r="A1978" t="s">
        <v>445</v>
      </c>
      <c r="B1978">
        <v>1830007075</v>
      </c>
      <c r="C1978" t="s">
        <v>878</v>
      </c>
      <c r="D1978" t="s">
        <v>2800</v>
      </c>
      <c r="E1978" t="str">
        <f t="shared" si="30"/>
        <v>Technodom1830007075</v>
      </c>
    </row>
    <row r="1979" spans="1:5" x14ac:dyDescent="0.3">
      <c r="A1979" t="s">
        <v>445</v>
      </c>
      <c r="B1979">
        <v>7211003109</v>
      </c>
      <c r="C1979" t="s">
        <v>48</v>
      </c>
      <c r="D1979" t="s">
        <v>161</v>
      </c>
      <c r="E1979" t="str">
        <f t="shared" si="30"/>
        <v>Technodom7211003109</v>
      </c>
    </row>
    <row r="1980" spans="1:5" x14ac:dyDescent="0.3">
      <c r="A1980" t="s">
        <v>445</v>
      </c>
      <c r="B1980">
        <v>1830006920</v>
      </c>
      <c r="C1980" t="s">
        <v>873</v>
      </c>
      <c r="D1980" t="s">
        <v>2801</v>
      </c>
      <c r="E1980" t="str">
        <f t="shared" si="30"/>
        <v>Technodom1830006920</v>
      </c>
    </row>
    <row r="1981" spans="1:5" x14ac:dyDescent="0.3">
      <c r="A1981" t="s">
        <v>445</v>
      </c>
      <c r="B1981">
        <v>1830006878</v>
      </c>
      <c r="C1981" t="s">
        <v>907</v>
      </c>
      <c r="D1981" t="s">
        <v>2802</v>
      </c>
      <c r="E1981" t="str">
        <f t="shared" si="30"/>
        <v>Technodom1830006878</v>
      </c>
    </row>
    <row r="1982" spans="1:5" x14ac:dyDescent="0.3">
      <c r="A1982" t="s">
        <v>445</v>
      </c>
      <c r="B1982">
        <v>7211003141</v>
      </c>
      <c r="C1982" t="s">
        <v>898</v>
      </c>
      <c r="D1982" t="s">
        <v>2803</v>
      </c>
      <c r="E1982" t="str">
        <f t="shared" si="30"/>
        <v>Technodom7211003141</v>
      </c>
    </row>
    <row r="1983" spans="1:5" x14ac:dyDescent="0.3">
      <c r="A1983" t="s">
        <v>445</v>
      </c>
      <c r="B1983">
        <v>1830005956</v>
      </c>
      <c r="C1983" t="s">
        <v>558</v>
      </c>
      <c r="D1983" t="s">
        <v>2804</v>
      </c>
      <c r="E1983" t="str">
        <f t="shared" si="30"/>
        <v>Technodom1830005956</v>
      </c>
    </row>
    <row r="1984" spans="1:5" x14ac:dyDescent="0.3">
      <c r="A1984" t="s">
        <v>445</v>
      </c>
      <c r="B1984">
        <v>1830005454</v>
      </c>
      <c r="C1984" t="s">
        <v>2805</v>
      </c>
      <c r="D1984" t="s">
        <v>2806</v>
      </c>
      <c r="E1984" t="str">
        <f t="shared" si="30"/>
        <v>Technodom1830005454</v>
      </c>
    </row>
    <row r="1985" spans="1:5" x14ac:dyDescent="0.3">
      <c r="A1985" t="s">
        <v>445</v>
      </c>
      <c r="B1985">
        <v>1830005259</v>
      </c>
      <c r="C1985" t="s">
        <v>2807</v>
      </c>
      <c r="D1985" t="s">
        <v>2808</v>
      </c>
      <c r="E1985" t="str">
        <f t="shared" si="30"/>
        <v>Technodom1830005259</v>
      </c>
    </row>
    <row r="1986" spans="1:5" x14ac:dyDescent="0.3">
      <c r="A1986" t="s">
        <v>445</v>
      </c>
      <c r="B1986">
        <v>2100105890</v>
      </c>
      <c r="C1986" t="s">
        <v>2809</v>
      </c>
      <c r="D1986" t="s">
        <v>2810</v>
      </c>
      <c r="E1986" t="str">
        <f t="shared" si="30"/>
        <v>Technodom2100105890</v>
      </c>
    </row>
    <row r="1987" spans="1:5" x14ac:dyDescent="0.3">
      <c r="A1987" t="s">
        <v>445</v>
      </c>
      <c r="B1987">
        <v>2100101763</v>
      </c>
      <c r="C1987" t="s">
        <v>2811</v>
      </c>
      <c r="D1987" t="s">
        <v>2812</v>
      </c>
      <c r="E1987" t="str">
        <f t="shared" ref="E1987:E2050" si="31">A1987&amp;B1987</f>
        <v>Technodom2100101763</v>
      </c>
    </row>
    <row r="1988" spans="1:5" x14ac:dyDescent="0.3">
      <c r="A1988" t="s">
        <v>445</v>
      </c>
      <c r="B1988">
        <v>2100101768</v>
      </c>
      <c r="C1988" t="s">
        <v>2813</v>
      </c>
      <c r="D1988" t="s">
        <v>2814</v>
      </c>
      <c r="E1988" t="str">
        <f t="shared" si="31"/>
        <v>Technodom2100101768</v>
      </c>
    </row>
    <row r="1989" spans="1:5" x14ac:dyDescent="0.3">
      <c r="A1989" t="s">
        <v>445</v>
      </c>
      <c r="B1989">
        <v>2100101764</v>
      </c>
      <c r="C1989" t="s">
        <v>2815</v>
      </c>
      <c r="D1989" t="s">
        <v>2816</v>
      </c>
      <c r="E1989" t="str">
        <f t="shared" si="31"/>
        <v>Technodom2100101764</v>
      </c>
    </row>
    <row r="1990" spans="1:5" x14ac:dyDescent="0.3">
      <c r="A1990" t="s">
        <v>445</v>
      </c>
      <c r="B1990">
        <v>2100101765</v>
      </c>
      <c r="C1990" t="s">
        <v>2817</v>
      </c>
      <c r="D1990" t="s">
        <v>2818</v>
      </c>
      <c r="E1990" t="str">
        <f t="shared" si="31"/>
        <v>Technodom2100101765</v>
      </c>
    </row>
    <row r="1991" spans="1:5" x14ac:dyDescent="0.3">
      <c r="A1991" t="s">
        <v>445</v>
      </c>
      <c r="B1991">
        <v>2100101766</v>
      </c>
      <c r="C1991" t="s">
        <v>2819</v>
      </c>
      <c r="D1991" t="s">
        <v>2820</v>
      </c>
      <c r="E1991" t="str">
        <f t="shared" si="31"/>
        <v>Technodom2100101766</v>
      </c>
    </row>
    <row r="1992" spans="1:5" x14ac:dyDescent="0.3">
      <c r="A1992" t="s">
        <v>445</v>
      </c>
      <c r="B1992">
        <v>2100101762</v>
      </c>
      <c r="C1992" t="s">
        <v>2821</v>
      </c>
      <c r="D1992" t="s">
        <v>2822</v>
      </c>
      <c r="E1992" t="str">
        <f t="shared" si="31"/>
        <v>Technodom2100101762</v>
      </c>
    </row>
    <row r="1993" spans="1:5" x14ac:dyDescent="0.3">
      <c r="A1993" t="s">
        <v>445</v>
      </c>
      <c r="B1993">
        <v>2100107961</v>
      </c>
      <c r="C1993" t="s">
        <v>1878</v>
      </c>
      <c r="D1993" t="s">
        <v>2823</v>
      </c>
      <c r="E1993" t="str">
        <f t="shared" si="31"/>
        <v>Technodom2100107961</v>
      </c>
    </row>
    <row r="1994" spans="1:5" x14ac:dyDescent="0.3">
      <c r="A1994" t="s">
        <v>445</v>
      </c>
      <c r="B1994">
        <v>2100104928</v>
      </c>
      <c r="C1994" t="s">
        <v>2824</v>
      </c>
      <c r="D1994" t="s">
        <v>2825</v>
      </c>
      <c r="E1994" t="str">
        <f t="shared" si="31"/>
        <v>Technodom2100104928</v>
      </c>
    </row>
    <row r="1995" spans="1:5" x14ac:dyDescent="0.3">
      <c r="A1995" t="s">
        <v>445</v>
      </c>
      <c r="B1995">
        <v>2100105435</v>
      </c>
      <c r="C1995" t="s">
        <v>2826</v>
      </c>
      <c r="D1995" t="s">
        <v>2827</v>
      </c>
      <c r="E1995" t="str">
        <f t="shared" si="31"/>
        <v>Technodom2100105435</v>
      </c>
    </row>
    <row r="1996" spans="1:5" x14ac:dyDescent="0.3">
      <c r="A1996" t="s">
        <v>445</v>
      </c>
      <c r="B1996">
        <v>2100104170</v>
      </c>
      <c r="C1996" t="s">
        <v>2828</v>
      </c>
      <c r="D1996" t="s">
        <v>2829</v>
      </c>
      <c r="E1996" t="str">
        <f t="shared" si="31"/>
        <v>Technodom2100104170</v>
      </c>
    </row>
    <row r="1997" spans="1:5" x14ac:dyDescent="0.3">
      <c r="A1997" t="s">
        <v>445</v>
      </c>
      <c r="B1997">
        <v>2100104168</v>
      </c>
      <c r="C1997" t="s">
        <v>2830</v>
      </c>
      <c r="D1997" t="s">
        <v>2831</v>
      </c>
      <c r="E1997" t="str">
        <f t="shared" si="31"/>
        <v>Technodom2100104168</v>
      </c>
    </row>
    <row r="1998" spans="1:5" x14ac:dyDescent="0.3">
      <c r="A1998" t="s">
        <v>445</v>
      </c>
      <c r="B1998">
        <v>2100104533</v>
      </c>
      <c r="C1998" t="s">
        <v>2832</v>
      </c>
      <c r="D1998" t="s">
        <v>2833</v>
      </c>
      <c r="E1998" t="str">
        <f t="shared" si="31"/>
        <v>Technodom2100104533</v>
      </c>
    </row>
    <row r="1999" spans="1:5" x14ac:dyDescent="0.3">
      <c r="A1999" t="s">
        <v>445</v>
      </c>
      <c r="B1999">
        <v>2100104167</v>
      </c>
      <c r="C1999" t="s">
        <v>2834</v>
      </c>
      <c r="D1999" t="s">
        <v>2835</v>
      </c>
      <c r="E1999" t="str">
        <f t="shared" si="31"/>
        <v>Technodom2100104167</v>
      </c>
    </row>
    <row r="2000" spans="1:5" x14ac:dyDescent="0.3">
      <c r="A2000" t="s">
        <v>445</v>
      </c>
      <c r="B2000">
        <v>2100104169</v>
      </c>
      <c r="C2000" t="s">
        <v>2836</v>
      </c>
      <c r="D2000" t="s">
        <v>2837</v>
      </c>
      <c r="E2000" t="str">
        <f t="shared" si="31"/>
        <v>Technodom2100104169</v>
      </c>
    </row>
    <row r="2001" spans="1:5" x14ac:dyDescent="0.3">
      <c r="A2001" t="s">
        <v>445</v>
      </c>
      <c r="B2001">
        <v>2100104676</v>
      </c>
      <c r="C2001" t="s">
        <v>839</v>
      </c>
      <c r="D2001" t="s">
        <v>2838</v>
      </c>
      <c r="E2001" t="str">
        <f t="shared" si="31"/>
        <v>Technodom2100104676</v>
      </c>
    </row>
    <row r="2002" spans="1:5" x14ac:dyDescent="0.3">
      <c r="A2002" t="s">
        <v>445</v>
      </c>
      <c r="B2002">
        <v>2100104642</v>
      </c>
      <c r="C2002" t="s">
        <v>2839</v>
      </c>
      <c r="D2002" t="s">
        <v>2840</v>
      </c>
      <c r="E2002" t="str">
        <f t="shared" si="31"/>
        <v>Technodom2100104642</v>
      </c>
    </row>
    <row r="2003" spans="1:5" x14ac:dyDescent="0.3">
      <c r="A2003" t="s">
        <v>445</v>
      </c>
      <c r="B2003">
        <v>7211004683</v>
      </c>
      <c r="C2003" t="s">
        <v>118</v>
      </c>
      <c r="D2003" t="s">
        <v>185</v>
      </c>
      <c r="E2003" t="str">
        <f t="shared" si="31"/>
        <v>Technodom7211004683</v>
      </c>
    </row>
    <row r="2004" spans="1:5" x14ac:dyDescent="0.3">
      <c r="A2004" t="s">
        <v>445</v>
      </c>
      <c r="B2004">
        <v>7211004682</v>
      </c>
      <c r="C2004" t="s">
        <v>119</v>
      </c>
      <c r="D2004" t="s">
        <v>186</v>
      </c>
      <c r="E2004" t="str">
        <f t="shared" si="31"/>
        <v>Technodom7211004682</v>
      </c>
    </row>
    <row r="2005" spans="1:5" x14ac:dyDescent="0.3">
      <c r="A2005" t="s">
        <v>445</v>
      </c>
      <c r="B2005">
        <v>2211400297</v>
      </c>
      <c r="C2005" t="s">
        <v>964</v>
      </c>
      <c r="D2005" t="s">
        <v>2841</v>
      </c>
      <c r="E2005" t="str">
        <f t="shared" si="31"/>
        <v>Technodom2211400297</v>
      </c>
    </row>
    <row r="2006" spans="1:5" x14ac:dyDescent="0.3">
      <c r="A2006" t="s">
        <v>445</v>
      </c>
      <c r="B2006">
        <v>1830007156</v>
      </c>
      <c r="C2006" t="s">
        <v>411</v>
      </c>
      <c r="D2006" t="s">
        <v>2842</v>
      </c>
      <c r="E2006" t="str">
        <f t="shared" si="31"/>
        <v>Technodom1830007156</v>
      </c>
    </row>
    <row r="2007" spans="1:5" x14ac:dyDescent="0.3">
      <c r="A2007" t="s">
        <v>445</v>
      </c>
      <c r="B2007">
        <v>2100100305</v>
      </c>
      <c r="C2007" t="s">
        <v>2843</v>
      </c>
      <c r="D2007" t="s">
        <v>2844</v>
      </c>
      <c r="E2007" t="str">
        <f t="shared" si="31"/>
        <v>Technodom2100100305</v>
      </c>
    </row>
    <row r="2008" spans="1:5" x14ac:dyDescent="0.3">
      <c r="A2008" t="s">
        <v>445</v>
      </c>
      <c r="B2008">
        <v>3100513548</v>
      </c>
      <c r="C2008">
        <v>513548</v>
      </c>
      <c r="D2008" t="s">
        <v>2845</v>
      </c>
      <c r="E2008" t="str">
        <f t="shared" si="31"/>
        <v>Technodom3100513548</v>
      </c>
    </row>
    <row r="2009" spans="1:5" x14ac:dyDescent="0.3">
      <c r="A2009" t="s">
        <v>445</v>
      </c>
      <c r="B2009">
        <v>3100513357</v>
      </c>
      <c r="C2009">
        <v>513357</v>
      </c>
      <c r="D2009" t="s">
        <v>2846</v>
      </c>
      <c r="E2009" t="str">
        <f t="shared" si="31"/>
        <v>Technodom3100513357</v>
      </c>
    </row>
    <row r="2010" spans="1:5" x14ac:dyDescent="0.3">
      <c r="A2010" t="s">
        <v>445</v>
      </c>
      <c r="B2010">
        <v>3100513359</v>
      </c>
      <c r="C2010">
        <v>513359</v>
      </c>
      <c r="D2010" t="s">
        <v>2847</v>
      </c>
      <c r="E2010" t="str">
        <f t="shared" si="31"/>
        <v>Technodom3100513359</v>
      </c>
    </row>
    <row r="2011" spans="1:5" x14ac:dyDescent="0.3">
      <c r="A2011" t="s">
        <v>445</v>
      </c>
      <c r="B2011">
        <v>3100513361</v>
      </c>
      <c r="C2011">
        <v>513361</v>
      </c>
      <c r="D2011" t="s">
        <v>2848</v>
      </c>
      <c r="E2011" t="str">
        <f t="shared" si="31"/>
        <v>Technodom3100513361</v>
      </c>
    </row>
    <row r="2012" spans="1:5" x14ac:dyDescent="0.3">
      <c r="A2012" t="s">
        <v>445</v>
      </c>
      <c r="B2012">
        <v>3100515108</v>
      </c>
      <c r="C2012">
        <v>515108</v>
      </c>
      <c r="D2012" t="s">
        <v>2849</v>
      </c>
      <c r="E2012" t="str">
        <f t="shared" si="31"/>
        <v>Technodom3100515108</v>
      </c>
    </row>
    <row r="2013" spans="1:5" x14ac:dyDescent="0.3">
      <c r="A2013" t="s">
        <v>445</v>
      </c>
      <c r="B2013">
        <v>3100515614</v>
      </c>
      <c r="C2013">
        <v>515614</v>
      </c>
      <c r="D2013" t="s">
        <v>2850</v>
      </c>
      <c r="E2013" t="str">
        <f t="shared" si="31"/>
        <v>Technodom3100515614</v>
      </c>
    </row>
    <row r="2014" spans="1:5" x14ac:dyDescent="0.3">
      <c r="A2014" t="s">
        <v>445</v>
      </c>
      <c r="B2014">
        <v>3100515618</v>
      </c>
      <c r="C2014">
        <v>515618</v>
      </c>
      <c r="D2014" t="s">
        <v>2851</v>
      </c>
      <c r="E2014" t="str">
        <f t="shared" si="31"/>
        <v>Technodom3100515618</v>
      </c>
    </row>
    <row r="2015" spans="1:5" x14ac:dyDescent="0.3">
      <c r="A2015" t="s">
        <v>445</v>
      </c>
      <c r="B2015">
        <v>3100515615</v>
      </c>
      <c r="C2015">
        <v>515615</v>
      </c>
      <c r="D2015" t="s">
        <v>2852</v>
      </c>
      <c r="E2015" t="str">
        <f t="shared" si="31"/>
        <v>Technodom3100515615</v>
      </c>
    </row>
    <row r="2016" spans="1:5" x14ac:dyDescent="0.3">
      <c r="A2016" t="s">
        <v>445</v>
      </c>
      <c r="B2016">
        <v>3100515711</v>
      </c>
      <c r="C2016">
        <v>515711</v>
      </c>
      <c r="D2016" t="s">
        <v>2853</v>
      </c>
      <c r="E2016" t="str">
        <f t="shared" si="31"/>
        <v>Technodom3100515711</v>
      </c>
    </row>
    <row r="2017" spans="1:5" x14ac:dyDescent="0.3">
      <c r="A2017" t="s">
        <v>445</v>
      </c>
      <c r="B2017">
        <v>3100515712</v>
      </c>
      <c r="C2017">
        <v>515712</v>
      </c>
      <c r="D2017" t="s">
        <v>2854</v>
      </c>
      <c r="E2017" t="str">
        <f t="shared" si="31"/>
        <v>Technodom3100515712</v>
      </c>
    </row>
    <row r="2018" spans="1:5" x14ac:dyDescent="0.3">
      <c r="A2018" t="s">
        <v>445</v>
      </c>
      <c r="B2018">
        <v>3100515715</v>
      </c>
      <c r="C2018">
        <v>515715</v>
      </c>
      <c r="D2018" t="s">
        <v>2855</v>
      </c>
      <c r="E2018" t="str">
        <f t="shared" si="31"/>
        <v>Technodom3100515715</v>
      </c>
    </row>
    <row r="2019" spans="1:5" x14ac:dyDescent="0.3">
      <c r="A2019" t="s">
        <v>445</v>
      </c>
      <c r="B2019">
        <v>2820102010</v>
      </c>
      <c r="C2019" t="s">
        <v>900</v>
      </c>
      <c r="D2019" t="s">
        <v>2856</v>
      </c>
      <c r="E2019" t="str">
        <f t="shared" si="31"/>
        <v>Technodom2820102010</v>
      </c>
    </row>
    <row r="2020" spans="1:5" x14ac:dyDescent="0.3">
      <c r="A2020" t="s">
        <v>445</v>
      </c>
      <c r="B2020">
        <v>1830006922</v>
      </c>
      <c r="C2020" t="s">
        <v>2781</v>
      </c>
      <c r="D2020" t="s">
        <v>2857</v>
      </c>
      <c r="E2020" t="str">
        <f t="shared" si="31"/>
        <v>Technodom1830006922</v>
      </c>
    </row>
    <row r="2021" spans="1:5" x14ac:dyDescent="0.3">
      <c r="A2021" t="s">
        <v>445</v>
      </c>
      <c r="B2021">
        <v>1830006563</v>
      </c>
      <c r="C2021" t="s">
        <v>2858</v>
      </c>
      <c r="D2021" t="s">
        <v>2859</v>
      </c>
      <c r="E2021" t="str">
        <f t="shared" si="31"/>
        <v>Technodom1830006563</v>
      </c>
    </row>
    <row r="2022" spans="1:5" x14ac:dyDescent="0.3">
      <c r="A2022" t="s">
        <v>445</v>
      </c>
      <c r="B2022">
        <v>2100098634</v>
      </c>
      <c r="C2022" t="s">
        <v>2860</v>
      </c>
      <c r="D2022" t="s">
        <v>2861</v>
      </c>
      <c r="E2022" t="str">
        <f t="shared" si="31"/>
        <v>Technodom2100098634</v>
      </c>
    </row>
    <row r="2023" spans="1:5" x14ac:dyDescent="0.3">
      <c r="A2023" t="s">
        <v>445</v>
      </c>
      <c r="B2023">
        <v>1830004589</v>
      </c>
      <c r="C2023" t="s">
        <v>491</v>
      </c>
      <c r="D2023" t="s">
        <v>2862</v>
      </c>
      <c r="E2023" t="str">
        <f t="shared" si="31"/>
        <v>Technodom1830004589</v>
      </c>
    </row>
    <row r="2024" spans="1:5" x14ac:dyDescent="0.3">
      <c r="A2024" t="s">
        <v>445</v>
      </c>
      <c r="B2024">
        <v>1830006534</v>
      </c>
      <c r="C2024" t="s">
        <v>1168</v>
      </c>
      <c r="D2024" t="s">
        <v>2863</v>
      </c>
      <c r="E2024" t="str">
        <f t="shared" si="31"/>
        <v>Technodom1830006534</v>
      </c>
    </row>
    <row r="2025" spans="1:5" x14ac:dyDescent="0.3">
      <c r="A2025" t="s">
        <v>445</v>
      </c>
      <c r="B2025">
        <v>2100102192</v>
      </c>
      <c r="C2025" t="s">
        <v>2864</v>
      </c>
      <c r="D2025" t="s">
        <v>2865</v>
      </c>
      <c r="E2025" t="str">
        <f t="shared" si="31"/>
        <v>Technodom2100102192</v>
      </c>
    </row>
    <row r="2026" spans="1:5" x14ac:dyDescent="0.3">
      <c r="A2026" t="s">
        <v>445</v>
      </c>
      <c r="B2026">
        <v>2100107962</v>
      </c>
      <c r="C2026" t="s">
        <v>2866</v>
      </c>
      <c r="D2026" t="s">
        <v>2867</v>
      </c>
      <c r="E2026" t="str">
        <f t="shared" si="31"/>
        <v>Technodom2100107962</v>
      </c>
    </row>
    <row r="2027" spans="1:5" x14ac:dyDescent="0.3">
      <c r="A2027" t="s">
        <v>445</v>
      </c>
      <c r="B2027">
        <v>9100023406</v>
      </c>
      <c r="C2027">
        <v>4166628</v>
      </c>
      <c r="D2027" t="s">
        <v>2868</v>
      </c>
      <c r="E2027" t="str">
        <f t="shared" si="31"/>
        <v>Technodom9100023406</v>
      </c>
    </row>
    <row r="2028" spans="1:5" x14ac:dyDescent="0.3">
      <c r="A2028" t="s">
        <v>445</v>
      </c>
      <c r="B2028">
        <v>8000033616</v>
      </c>
      <c r="C2028" t="s">
        <v>1663</v>
      </c>
      <c r="D2028" t="s">
        <v>2869</v>
      </c>
      <c r="E2028" t="str">
        <f t="shared" si="31"/>
        <v>Technodom8000033616</v>
      </c>
    </row>
    <row r="2029" spans="1:5" x14ac:dyDescent="0.3">
      <c r="A2029" t="s">
        <v>445</v>
      </c>
      <c r="B2029">
        <v>8000034736</v>
      </c>
      <c r="C2029" t="s">
        <v>2870</v>
      </c>
      <c r="D2029" t="s">
        <v>2871</v>
      </c>
      <c r="E2029" t="str">
        <f t="shared" si="31"/>
        <v>Technodom8000034736</v>
      </c>
    </row>
    <row r="2030" spans="1:5" x14ac:dyDescent="0.3">
      <c r="A2030" t="s">
        <v>445</v>
      </c>
      <c r="B2030">
        <v>7211002463</v>
      </c>
      <c r="C2030" t="s">
        <v>2388</v>
      </c>
      <c r="D2030" t="s">
        <v>2872</v>
      </c>
      <c r="E2030" t="str">
        <f t="shared" si="31"/>
        <v>Technodom7211002463</v>
      </c>
    </row>
    <row r="2031" spans="1:5" x14ac:dyDescent="0.3">
      <c r="A2031" t="s">
        <v>445</v>
      </c>
      <c r="B2031">
        <v>8010000465</v>
      </c>
      <c r="C2031" t="s">
        <v>894</v>
      </c>
      <c r="D2031" t="s">
        <v>2873</v>
      </c>
      <c r="E2031" t="str">
        <f t="shared" si="31"/>
        <v>Technodom8010000465</v>
      </c>
    </row>
    <row r="2032" spans="1:5" x14ac:dyDescent="0.3">
      <c r="A2032" t="s">
        <v>445</v>
      </c>
      <c r="B2032">
        <v>8000003687</v>
      </c>
      <c r="C2032" t="s">
        <v>1659</v>
      </c>
      <c r="D2032" t="s">
        <v>2874</v>
      </c>
      <c r="E2032" t="str">
        <f t="shared" si="31"/>
        <v>Technodom8000003687</v>
      </c>
    </row>
    <row r="2033" spans="1:5" x14ac:dyDescent="0.3">
      <c r="A2033" t="s">
        <v>445</v>
      </c>
      <c r="B2033">
        <v>2820130131</v>
      </c>
      <c r="C2033" t="s">
        <v>517</v>
      </c>
      <c r="D2033" t="s">
        <v>2875</v>
      </c>
      <c r="E2033" t="str">
        <f t="shared" si="31"/>
        <v>Technodom2820130131</v>
      </c>
    </row>
    <row r="2034" spans="1:5" x14ac:dyDescent="0.3">
      <c r="A2034" t="s">
        <v>445</v>
      </c>
      <c r="B2034">
        <v>7211002933</v>
      </c>
      <c r="C2034" t="s">
        <v>942</v>
      </c>
      <c r="D2034" t="s">
        <v>2876</v>
      </c>
      <c r="E2034" t="str">
        <f t="shared" si="31"/>
        <v>Technodom7211002933</v>
      </c>
    </row>
    <row r="2035" spans="1:5" x14ac:dyDescent="0.3">
      <c r="A2035" t="s">
        <v>445</v>
      </c>
      <c r="B2035">
        <v>7211003245</v>
      </c>
      <c r="C2035" t="s">
        <v>72</v>
      </c>
      <c r="D2035" t="s">
        <v>179</v>
      </c>
      <c r="E2035" t="str">
        <f t="shared" si="31"/>
        <v>Technodom7211003245</v>
      </c>
    </row>
    <row r="2036" spans="1:5" x14ac:dyDescent="0.3">
      <c r="A2036" t="s">
        <v>445</v>
      </c>
      <c r="B2036">
        <v>7211002608</v>
      </c>
      <c r="C2036" t="s">
        <v>54</v>
      </c>
      <c r="D2036" t="s">
        <v>167</v>
      </c>
      <c r="E2036" t="str">
        <f t="shared" si="31"/>
        <v>Technodom7211002608</v>
      </c>
    </row>
    <row r="2037" spans="1:5" x14ac:dyDescent="0.3">
      <c r="A2037" t="s">
        <v>445</v>
      </c>
      <c r="B2037">
        <v>1830006540</v>
      </c>
      <c r="C2037" t="s">
        <v>890</v>
      </c>
      <c r="D2037" t="s">
        <v>2877</v>
      </c>
      <c r="E2037" t="str">
        <f t="shared" si="31"/>
        <v>Technodom1830006540</v>
      </c>
    </row>
    <row r="2038" spans="1:5" x14ac:dyDescent="0.3">
      <c r="A2038" t="s">
        <v>445</v>
      </c>
      <c r="B2038">
        <v>1830006638</v>
      </c>
      <c r="C2038" t="s">
        <v>2878</v>
      </c>
      <c r="D2038" t="s">
        <v>2879</v>
      </c>
      <c r="E2038" t="str">
        <f t="shared" si="31"/>
        <v>Technodom1830006638</v>
      </c>
    </row>
    <row r="2039" spans="1:5" x14ac:dyDescent="0.3">
      <c r="A2039" t="s">
        <v>445</v>
      </c>
      <c r="B2039">
        <v>1830006821</v>
      </c>
      <c r="C2039" t="s">
        <v>2880</v>
      </c>
      <c r="D2039" t="s">
        <v>2881</v>
      </c>
      <c r="E2039" t="str">
        <f t="shared" si="31"/>
        <v>Technodom1830006821</v>
      </c>
    </row>
    <row r="2040" spans="1:5" x14ac:dyDescent="0.3">
      <c r="A2040" t="s">
        <v>445</v>
      </c>
      <c r="B2040">
        <v>1830007354</v>
      </c>
      <c r="C2040" t="s">
        <v>2882</v>
      </c>
      <c r="D2040" t="s">
        <v>2883</v>
      </c>
      <c r="E2040" t="str">
        <f t="shared" si="31"/>
        <v>Technodom1830007354</v>
      </c>
    </row>
    <row r="2041" spans="1:5" x14ac:dyDescent="0.3">
      <c r="A2041" t="s">
        <v>445</v>
      </c>
      <c r="B2041">
        <v>2100106637</v>
      </c>
      <c r="C2041" t="s">
        <v>2884</v>
      </c>
      <c r="D2041" t="s">
        <v>2885</v>
      </c>
      <c r="E2041" t="str">
        <f t="shared" si="31"/>
        <v>Technodom2100106637</v>
      </c>
    </row>
    <row r="2042" spans="1:5" x14ac:dyDescent="0.3">
      <c r="A2042" t="s">
        <v>445</v>
      </c>
      <c r="B2042">
        <v>7211002932</v>
      </c>
      <c r="C2042" t="s">
        <v>44</v>
      </c>
      <c r="D2042" t="s">
        <v>159</v>
      </c>
      <c r="E2042" t="str">
        <f t="shared" si="31"/>
        <v>Technodom7211002932</v>
      </c>
    </row>
    <row r="2043" spans="1:5" x14ac:dyDescent="0.3">
      <c r="A2043" t="s">
        <v>445</v>
      </c>
      <c r="B2043">
        <v>2100093085</v>
      </c>
      <c r="C2043" t="s">
        <v>576</v>
      </c>
      <c r="D2043" t="s">
        <v>2886</v>
      </c>
      <c r="E2043" t="str">
        <f t="shared" si="31"/>
        <v>Technodom2100093085</v>
      </c>
    </row>
    <row r="2044" spans="1:5" x14ac:dyDescent="0.3">
      <c r="A2044" t="s">
        <v>445</v>
      </c>
      <c r="B2044">
        <v>2100093086</v>
      </c>
      <c r="C2044" t="s">
        <v>1579</v>
      </c>
      <c r="D2044" t="s">
        <v>2887</v>
      </c>
      <c r="E2044" t="str">
        <f t="shared" si="31"/>
        <v>Technodom2100093086</v>
      </c>
    </row>
    <row r="2045" spans="1:5" x14ac:dyDescent="0.3">
      <c r="A2045" t="s">
        <v>445</v>
      </c>
      <c r="B2045">
        <v>1830006939</v>
      </c>
      <c r="C2045" t="s">
        <v>2888</v>
      </c>
      <c r="D2045" t="s">
        <v>2889</v>
      </c>
      <c r="E2045" t="str">
        <f t="shared" si="31"/>
        <v>Technodom1830006939</v>
      </c>
    </row>
    <row r="2046" spans="1:5" x14ac:dyDescent="0.3">
      <c r="A2046" t="s">
        <v>445</v>
      </c>
      <c r="B2046">
        <v>1830007359</v>
      </c>
      <c r="C2046" t="s">
        <v>19</v>
      </c>
      <c r="D2046" t="s">
        <v>2890</v>
      </c>
      <c r="E2046" t="str">
        <f t="shared" si="31"/>
        <v>Technodom1830007359</v>
      </c>
    </row>
    <row r="2047" spans="1:5" x14ac:dyDescent="0.3">
      <c r="A2047" t="s">
        <v>445</v>
      </c>
      <c r="B2047">
        <v>2820267510</v>
      </c>
      <c r="C2047" t="s">
        <v>2249</v>
      </c>
      <c r="D2047" t="s">
        <v>2891</v>
      </c>
      <c r="E2047" t="str">
        <f t="shared" si="31"/>
        <v>Technodom2820267510</v>
      </c>
    </row>
    <row r="2048" spans="1:5" x14ac:dyDescent="0.3">
      <c r="A2048" t="s">
        <v>445</v>
      </c>
      <c r="B2048">
        <v>1830006518</v>
      </c>
      <c r="C2048" t="s">
        <v>927</v>
      </c>
      <c r="D2048" t="s">
        <v>2892</v>
      </c>
      <c r="E2048" t="str">
        <f t="shared" si="31"/>
        <v>Technodom1830006518</v>
      </c>
    </row>
    <row r="2049" spans="1:5" x14ac:dyDescent="0.3">
      <c r="A2049" t="s">
        <v>445</v>
      </c>
      <c r="B2049">
        <v>7211003316</v>
      </c>
      <c r="C2049" t="s">
        <v>60</v>
      </c>
      <c r="D2049" t="s">
        <v>172</v>
      </c>
      <c r="E2049" t="str">
        <f t="shared" si="31"/>
        <v>Technodom7211003316</v>
      </c>
    </row>
    <row r="2050" spans="1:5" x14ac:dyDescent="0.3">
      <c r="A2050" t="s">
        <v>445</v>
      </c>
      <c r="B2050">
        <v>8010000170</v>
      </c>
      <c r="C2050" t="s">
        <v>2187</v>
      </c>
      <c r="D2050" t="s">
        <v>2893</v>
      </c>
      <c r="E2050" t="str">
        <f t="shared" si="31"/>
        <v>Technodom8010000170</v>
      </c>
    </row>
    <row r="2051" spans="1:5" x14ac:dyDescent="0.3">
      <c r="A2051" t="s">
        <v>445</v>
      </c>
      <c r="B2051">
        <v>2211400444</v>
      </c>
      <c r="C2051" t="s">
        <v>2894</v>
      </c>
      <c r="D2051" t="s">
        <v>2895</v>
      </c>
      <c r="E2051" t="str">
        <f t="shared" ref="E2051:E2114" si="32">A2051&amp;B2051</f>
        <v>Technodom2211400444</v>
      </c>
    </row>
    <row r="2052" spans="1:5" x14ac:dyDescent="0.3">
      <c r="A2052" t="s">
        <v>445</v>
      </c>
      <c r="B2052">
        <v>2211400433</v>
      </c>
      <c r="C2052" t="s">
        <v>1059</v>
      </c>
      <c r="D2052" t="s">
        <v>2896</v>
      </c>
      <c r="E2052" t="str">
        <f t="shared" si="32"/>
        <v>Technodom2211400433</v>
      </c>
    </row>
    <row r="2053" spans="1:5" x14ac:dyDescent="0.3">
      <c r="A2053" t="s">
        <v>445</v>
      </c>
      <c r="B2053">
        <v>2211400535</v>
      </c>
      <c r="C2053" t="s">
        <v>968</v>
      </c>
      <c r="D2053" t="s">
        <v>2897</v>
      </c>
      <c r="E2053" t="str">
        <f t="shared" si="32"/>
        <v>Technodom2211400535</v>
      </c>
    </row>
    <row r="2054" spans="1:5" x14ac:dyDescent="0.3">
      <c r="A2054" t="s">
        <v>445</v>
      </c>
      <c r="B2054">
        <v>2211401055</v>
      </c>
      <c r="C2054" t="s">
        <v>2898</v>
      </c>
      <c r="D2054" t="s">
        <v>2899</v>
      </c>
      <c r="E2054" t="str">
        <f t="shared" si="32"/>
        <v>Technodom2211401055</v>
      </c>
    </row>
    <row r="2055" spans="1:5" x14ac:dyDescent="0.3">
      <c r="A2055" t="s">
        <v>445</v>
      </c>
      <c r="B2055">
        <v>2100105195</v>
      </c>
      <c r="C2055" t="s">
        <v>2900</v>
      </c>
      <c r="D2055" t="s">
        <v>2901</v>
      </c>
      <c r="E2055" t="str">
        <f t="shared" si="32"/>
        <v>Technodom2100105195</v>
      </c>
    </row>
    <row r="2056" spans="1:5" x14ac:dyDescent="0.3">
      <c r="A2056" t="s">
        <v>445</v>
      </c>
      <c r="B2056">
        <v>2100112991</v>
      </c>
      <c r="C2056" t="s">
        <v>948</v>
      </c>
      <c r="D2056" t="s">
        <v>2902</v>
      </c>
      <c r="E2056" t="str">
        <f t="shared" si="32"/>
        <v>Technodom2100112991</v>
      </c>
    </row>
    <row r="2057" spans="1:5" x14ac:dyDescent="0.3">
      <c r="A2057" t="s">
        <v>445</v>
      </c>
      <c r="B2057">
        <v>1830007247</v>
      </c>
      <c r="C2057" t="s">
        <v>2204</v>
      </c>
      <c r="D2057" t="s">
        <v>2903</v>
      </c>
      <c r="E2057" t="str">
        <f t="shared" si="32"/>
        <v>Technodom1830007247</v>
      </c>
    </row>
    <row r="2058" spans="1:5" x14ac:dyDescent="0.3">
      <c r="A2058" t="s">
        <v>445</v>
      </c>
      <c r="B2058">
        <v>1830007003</v>
      </c>
      <c r="C2058" t="s">
        <v>2206</v>
      </c>
      <c r="D2058" t="s">
        <v>2904</v>
      </c>
      <c r="E2058" t="str">
        <f t="shared" si="32"/>
        <v>Technodom1830007003</v>
      </c>
    </row>
    <row r="2059" spans="1:5" x14ac:dyDescent="0.3">
      <c r="A2059" t="s">
        <v>445</v>
      </c>
      <c r="B2059">
        <v>2211400533</v>
      </c>
      <c r="C2059" t="s">
        <v>966</v>
      </c>
      <c r="D2059" t="s">
        <v>2905</v>
      </c>
      <c r="E2059" t="str">
        <f t="shared" si="32"/>
        <v>Technodom2211400533</v>
      </c>
    </row>
    <row r="2060" spans="1:5" x14ac:dyDescent="0.3">
      <c r="A2060" t="s">
        <v>445</v>
      </c>
      <c r="B2060">
        <v>1110031221</v>
      </c>
      <c r="C2060" t="s">
        <v>929</v>
      </c>
      <c r="D2060" t="s">
        <v>2906</v>
      </c>
      <c r="E2060" t="str">
        <f t="shared" si="32"/>
        <v>Technodom1110031221</v>
      </c>
    </row>
    <row r="2061" spans="1:5" x14ac:dyDescent="0.3">
      <c r="A2061" t="s">
        <v>445</v>
      </c>
      <c r="B2061">
        <v>8010000501</v>
      </c>
      <c r="C2061" t="s">
        <v>2907</v>
      </c>
      <c r="D2061" t="s">
        <v>2908</v>
      </c>
      <c r="E2061" t="str">
        <f t="shared" si="32"/>
        <v>Technodom8010000501</v>
      </c>
    </row>
    <row r="2062" spans="1:5" x14ac:dyDescent="0.3">
      <c r="A2062" t="s">
        <v>445</v>
      </c>
      <c r="B2062">
        <v>3200000492</v>
      </c>
      <c r="C2062">
        <v>414090711</v>
      </c>
      <c r="D2062" t="s">
        <v>2909</v>
      </c>
      <c r="E2062" t="str">
        <f t="shared" si="32"/>
        <v>Technodom3200000492</v>
      </c>
    </row>
    <row r="2063" spans="1:5" x14ac:dyDescent="0.3">
      <c r="A2063" t="s">
        <v>445</v>
      </c>
      <c r="B2063">
        <v>3200000463</v>
      </c>
      <c r="C2063">
        <v>415090711</v>
      </c>
      <c r="D2063" t="s">
        <v>2910</v>
      </c>
      <c r="E2063" t="str">
        <f t="shared" si="32"/>
        <v>Technodom3200000463</v>
      </c>
    </row>
    <row r="2064" spans="1:5" x14ac:dyDescent="0.3">
      <c r="A2064" t="s">
        <v>445</v>
      </c>
      <c r="B2064">
        <v>3200000458</v>
      </c>
      <c r="C2064">
        <v>415260711</v>
      </c>
      <c r="D2064" t="s">
        <v>2911</v>
      </c>
      <c r="E2064" t="str">
        <f t="shared" si="32"/>
        <v>Technodom3200000458</v>
      </c>
    </row>
    <row r="2065" spans="1:5" x14ac:dyDescent="0.3">
      <c r="A2065" t="s">
        <v>445</v>
      </c>
      <c r="B2065">
        <v>3200000493</v>
      </c>
      <c r="C2065">
        <v>413130711</v>
      </c>
      <c r="D2065" t="s">
        <v>2912</v>
      </c>
      <c r="E2065" t="str">
        <f t="shared" si="32"/>
        <v>Technodom3200000493</v>
      </c>
    </row>
    <row r="2066" spans="1:5" x14ac:dyDescent="0.3">
      <c r="A2066" t="s">
        <v>445</v>
      </c>
      <c r="B2066">
        <v>3200000483</v>
      </c>
      <c r="C2066">
        <v>416350711</v>
      </c>
      <c r="D2066" t="s">
        <v>2913</v>
      </c>
      <c r="E2066" t="str">
        <f t="shared" si="32"/>
        <v>Technodom3200000483</v>
      </c>
    </row>
    <row r="2067" spans="1:5" x14ac:dyDescent="0.3">
      <c r="A2067" t="s">
        <v>445</v>
      </c>
      <c r="B2067">
        <v>3200000469</v>
      </c>
      <c r="C2067">
        <v>416530711</v>
      </c>
      <c r="D2067" t="s">
        <v>2914</v>
      </c>
      <c r="E2067" t="str">
        <f t="shared" si="32"/>
        <v>Technodom3200000469</v>
      </c>
    </row>
    <row r="2068" spans="1:5" x14ac:dyDescent="0.3">
      <c r="A2068" t="s">
        <v>445</v>
      </c>
      <c r="B2068">
        <v>3200000484</v>
      </c>
      <c r="C2068">
        <v>413150711</v>
      </c>
      <c r="D2068" t="s">
        <v>2915</v>
      </c>
      <c r="E2068" t="str">
        <f t="shared" si="32"/>
        <v>Technodom3200000484</v>
      </c>
    </row>
    <row r="2069" spans="1:5" x14ac:dyDescent="0.3">
      <c r="A2069" t="s">
        <v>445</v>
      </c>
      <c r="B2069">
        <v>1830007579</v>
      </c>
      <c r="C2069" t="s">
        <v>2916</v>
      </c>
      <c r="D2069" t="s">
        <v>2917</v>
      </c>
      <c r="E2069" t="str">
        <f t="shared" si="32"/>
        <v>Technodom1830007579</v>
      </c>
    </row>
    <row r="2070" spans="1:5" x14ac:dyDescent="0.3">
      <c r="A2070" t="s">
        <v>445</v>
      </c>
      <c r="B2070">
        <v>1830007347</v>
      </c>
      <c r="C2070" t="s">
        <v>2918</v>
      </c>
      <c r="D2070" t="s">
        <v>2919</v>
      </c>
      <c r="E2070" t="str">
        <f t="shared" si="32"/>
        <v>Technodom1830007347</v>
      </c>
    </row>
    <row r="2071" spans="1:5" x14ac:dyDescent="0.3">
      <c r="A2071" t="s">
        <v>445</v>
      </c>
      <c r="B2071">
        <v>2100108698</v>
      </c>
      <c r="C2071" t="s">
        <v>2920</v>
      </c>
      <c r="D2071" t="s">
        <v>2921</v>
      </c>
      <c r="E2071" t="str">
        <f t="shared" si="32"/>
        <v>Technodom2100108698</v>
      </c>
    </row>
    <row r="2072" spans="1:5" x14ac:dyDescent="0.3">
      <c r="A2072" t="s">
        <v>445</v>
      </c>
      <c r="B2072">
        <v>1830006555</v>
      </c>
      <c r="C2072" t="s">
        <v>694</v>
      </c>
      <c r="D2072" t="s">
        <v>2922</v>
      </c>
      <c r="E2072" t="str">
        <f t="shared" si="32"/>
        <v>Technodom1830006555</v>
      </c>
    </row>
    <row r="2073" spans="1:5" x14ac:dyDescent="0.3">
      <c r="A2073" t="s">
        <v>445</v>
      </c>
      <c r="B2073">
        <v>9100036415</v>
      </c>
      <c r="C2073">
        <v>4190224</v>
      </c>
      <c r="D2073" t="s">
        <v>2923</v>
      </c>
      <c r="E2073" t="str">
        <f t="shared" si="32"/>
        <v>Technodom9100036415</v>
      </c>
    </row>
    <row r="2074" spans="1:5" x14ac:dyDescent="0.3">
      <c r="A2074" t="s">
        <v>445</v>
      </c>
      <c r="B2074">
        <v>9100036409</v>
      </c>
      <c r="C2074">
        <v>4190122</v>
      </c>
      <c r="D2074" t="s">
        <v>2924</v>
      </c>
      <c r="E2074" t="str">
        <f t="shared" si="32"/>
        <v>Technodom9100036409</v>
      </c>
    </row>
    <row r="2075" spans="1:5" x14ac:dyDescent="0.3">
      <c r="A2075" t="s">
        <v>445</v>
      </c>
      <c r="B2075">
        <v>9100036410</v>
      </c>
      <c r="C2075">
        <v>4190124</v>
      </c>
      <c r="D2075" t="s">
        <v>2925</v>
      </c>
      <c r="E2075" t="str">
        <f t="shared" si="32"/>
        <v>Technodom9100036410</v>
      </c>
    </row>
    <row r="2076" spans="1:5" x14ac:dyDescent="0.3">
      <c r="A2076" t="s">
        <v>445</v>
      </c>
      <c r="B2076">
        <v>9100036413</v>
      </c>
      <c r="C2076">
        <v>4190525</v>
      </c>
      <c r="D2076" t="s">
        <v>2926</v>
      </c>
      <c r="E2076" t="str">
        <f t="shared" si="32"/>
        <v>Technodom9100036413</v>
      </c>
    </row>
    <row r="2077" spans="1:5" x14ac:dyDescent="0.3">
      <c r="A2077" t="s">
        <v>445</v>
      </c>
      <c r="B2077">
        <v>1830007453</v>
      </c>
      <c r="C2077" t="s">
        <v>1783</v>
      </c>
      <c r="D2077" t="s">
        <v>2927</v>
      </c>
      <c r="E2077" t="str">
        <f t="shared" si="32"/>
        <v>Technodom1830007453</v>
      </c>
    </row>
    <row r="2078" spans="1:5" x14ac:dyDescent="0.3">
      <c r="A2078" t="s">
        <v>445</v>
      </c>
      <c r="B2078">
        <v>9100036417</v>
      </c>
      <c r="C2078">
        <v>4190320</v>
      </c>
      <c r="D2078" t="s">
        <v>2928</v>
      </c>
      <c r="E2078" t="str">
        <f t="shared" si="32"/>
        <v>Technodom9100036417</v>
      </c>
    </row>
    <row r="2079" spans="1:5" x14ac:dyDescent="0.3">
      <c r="A2079" t="s">
        <v>445</v>
      </c>
      <c r="B2079">
        <v>9100036416</v>
      </c>
      <c r="C2079">
        <v>4190416</v>
      </c>
      <c r="D2079" t="s">
        <v>2929</v>
      </c>
      <c r="E2079" t="str">
        <f t="shared" si="32"/>
        <v>Technodom9100036416</v>
      </c>
    </row>
    <row r="2080" spans="1:5" x14ac:dyDescent="0.3">
      <c r="A2080" t="s">
        <v>445</v>
      </c>
      <c r="B2080">
        <v>9100036411</v>
      </c>
      <c r="C2080">
        <v>4190126</v>
      </c>
      <c r="D2080" t="s">
        <v>2930</v>
      </c>
      <c r="E2080" t="str">
        <f t="shared" si="32"/>
        <v>Technodom9100036411</v>
      </c>
    </row>
    <row r="2081" spans="1:5" x14ac:dyDescent="0.3">
      <c r="A2081" t="s">
        <v>445</v>
      </c>
      <c r="B2081">
        <v>9100036412</v>
      </c>
      <c r="C2081">
        <v>4190128</v>
      </c>
      <c r="D2081" t="s">
        <v>2931</v>
      </c>
      <c r="E2081" t="str">
        <f t="shared" si="32"/>
        <v>Technodom9100036412</v>
      </c>
    </row>
    <row r="2082" spans="1:5" x14ac:dyDescent="0.3">
      <c r="A2082" t="s">
        <v>445</v>
      </c>
      <c r="B2082">
        <v>9100036414</v>
      </c>
      <c r="C2082">
        <v>4190628</v>
      </c>
      <c r="D2082" t="s">
        <v>2932</v>
      </c>
      <c r="E2082" t="str">
        <f t="shared" si="32"/>
        <v>Technodom9100036414</v>
      </c>
    </row>
    <row r="2083" spans="1:5" x14ac:dyDescent="0.3">
      <c r="A2083" t="s">
        <v>445</v>
      </c>
      <c r="B2083">
        <v>3200000456</v>
      </c>
      <c r="C2083">
        <v>415020711</v>
      </c>
      <c r="D2083" t="s">
        <v>2933</v>
      </c>
      <c r="E2083" t="str">
        <f t="shared" si="32"/>
        <v>Technodom3200000456</v>
      </c>
    </row>
    <row r="2084" spans="1:5" x14ac:dyDescent="0.3">
      <c r="A2084" t="s">
        <v>445</v>
      </c>
      <c r="B2084">
        <v>3200001153</v>
      </c>
      <c r="C2084">
        <v>416630711</v>
      </c>
      <c r="D2084" t="s">
        <v>2934</v>
      </c>
      <c r="E2084" t="str">
        <f t="shared" si="32"/>
        <v>Technodom3200001153</v>
      </c>
    </row>
    <row r="2085" spans="1:5" x14ac:dyDescent="0.3">
      <c r="A2085" t="s">
        <v>445</v>
      </c>
      <c r="B2085">
        <v>1830006532</v>
      </c>
      <c r="C2085" t="s">
        <v>888</v>
      </c>
      <c r="D2085" t="s">
        <v>2935</v>
      </c>
      <c r="E2085" t="str">
        <f t="shared" si="32"/>
        <v>Technodom1830006532</v>
      </c>
    </row>
    <row r="2086" spans="1:5" x14ac:dyDescent="0.3">
      <c r="A2086" t="s">
        <v>445</v>
      </c>
      <c r="B2086">
        <v>1830006533</v>
      </c>
      <c r="C2086" t="s">
        <v>892</v>
      </c>
      <c r="D2086" t="s">
        <v>2936</v>
      </c>
      <c r="E2086" t="str">
        <f t="shared" si="32"/>
        <v>Technodom1830006533</v>
      </c>
    </row>
    <row r="2087" spans="1:5" x14ac:dyDescent="0.3">
      <c r="A2087" t="s">
        <v>445</v>
      </c>
      <c r="B2087">
        <v>1830006520</v>
      </c>
      <c r="C2087" t="s">
        <v>2937</v>
      </c>
      <c r="D2087" t="s">
        <v>2938</v>
      </c>
      <c r="E2087" t="str">
        <f t="shared" si="32"/>
        <v>Technodom1830006520</v>
      </c>
    </row>
    <row r="2088" spans="1:5" x14ac:dyDescent="0.3">
      <c r="A2088" t="s">
        <v>445</v>
      </c>
      <c r="B2088">
        <v>3200000548</v>
      </c>
      <c r="C2088">
        <v>416320771</v>
      </c>
      <c r="D2088" t="s">
        <v>2939</v>
      </c>
      <c r="E2088" t="str">
        <f t="shared" si="32"/>
        <v>Technodom3200000548</v>
      </c>
    </row>
    <row r="2089" spans="1:5" x14ac:dyDescent="0.3">
      <c r="A2089" t="s">
        <v>445</v>
      </c>
      <c r="B2089">
        <v>2211400649</v>
      </c>
      <c r="C2089" t="s">
        <v>432</v>
      </c>
      <c r="D2089" t="s">
        <v>2940</v>
      </c>
      <c r="E2089" t="str">
        <f t="shared" si="32"/>
        <v>Technodom2211400649</v>
      </c>
    </row>
    <row r="2090" spans="1:5" x14ac:dyDescent="0.3">
      <c r="A2090" t="s">
        <v>445</v>
      </c>
      <c r="B2090">
        <v>1110030485</v>
      </c>
      <c r="C2090" t="s">
        <v>835</v>
      </c>
      <c r="D2090" t="s">
        <v>2941</v>
      </c>
      <c r="E2090" t="str">
        <f t="shared" si="32"/>
        <v>Technodom1110030485</v>
      </c>
    </row>
    <row r="2091" spans="1:5" x14ac:dyDescent="0.3">
      <c r="A2091" t="s">
        <v>445</v>
      </c>
      <c r="B2091">
        <v>3200001158</v>
      </c>
      <c r="C2091">
        <v>412320711</v>
      </c>
      <c r="D2091" t="s">
        <v>2942</v>
      </c>
      <c r="E2091" t="str">
        <f t="shared" si="32"/>
        <v>Technodom3200001158</v>
      </c>
    </row>
    <row r="2092" spans="1:5" x14ac:dyDescent="0.3">
      <c r="A2092" t="s">
        <v>445</v>
      </c>
      <c r="B2092">
        <v>1830007590</v>
      </c>
      <c r="C2092" t="s">
        <v>2270</v>
      </c>
      <c r="D2092" t="s">
        <v>2943</v>
      </c>
      <c r="E2092" t="str">
        <f t="shared" si="32"/>
        <v>Technodom1830007590</v>
      </c>
    </row>
    <row r="2093" spans="1:5" x14ac:dyDescent="0.3">
      <c r="A2093" t="s">
        <v>445</v>
      </c>
      <c r="B2093">
        <v>9100036470</v>
      </c>
      <c r="C2093">
        <v>4192224</v>
      </c>
      <c r="D2093" t="s">
        <v>2944</v>
      </c>
      <c r="E2093" t="str">
        <f t="shared" si="32"/>
        <v>Technodom9100036470</v>
      </c>
    </row>
    <row r="2094" spans="1:5" x14ac:dyDescent="0.3">
      <c r="A2094" t="s">
        <v>445</v>
      </c>
      <c r="B2094">
        <v>9100036465</v>
      </c>
      <c r="C2094">
        <v>4192124</v>
      </c>
      <c r="D2094" t="s">
        <v>2945</v>
      </c>
      <c r="E2094" t="str">
        <f t="shared" si="32"/>
        <v>Technodom9100036465</v>
      </c>
    </row>
    <row r="2095" spans="1:5" x14ac:dyDescent="0.3">
      <c r="A2095" t="s">
        <v>445</v>
      </c>
      <c r="B2095">
        <v>9100036466</v>
      </c>
      <c r="C2095">
        <v>4192126</v>
      </c>
      <c r="D2095" t="s">
        <v>2946</v>
      </c>
      <c r="E2095" t="str">
        <f t="shared" si="32"/>
        <v>Technodom9100036466</v>
      </c>
    </row>
    <row r="2096" spans="1:5" x14ac:dyDescent="0.3">
      <c r="A2096" t="s">
        <v>445</v>
      </c>
      <c r="B2096">
        <v>9100036467</v>
      </c>
      <c r="C2096">
        <v>4192128</v>
      </c>
      <c r="D2096" t="s">
        <v>2947</v>
      </c>
      <c r="E2096" t="str">
        <f t="shared" si="32"/>
        <v>Technodom9100036467</v>
      </c>
    </row>
    <row r="2097" spans="1:5" x14ac:dyDescent="0.3">
      <c r="A2097" t="s">
        <v>445</v>
      </c>
      <c r="B2097">
        <v>9100036468</v>
      </c>
      <c r="C2097">
        <v>4192525</v>
      </c>
      <c r="D2097" t="s">
        <v>2948</v>
      </c>
      <c r="E2097" t="str">
        <f t="shared" si="32"/>
        <v>Technodom9100036468</v>
      </c>
    </row>
    <row r="2098" spans="1:5" x14ac:dyDescent="0.3">
      <c r="A2098" t="s">
        <v>445</v>
      </c>
      <c r="B2098">
        <v>9100036469</v>
      </c>
      <c r="C2098">
        <v>4192628</v>
      </c>
      <c r="D2098" t="s">
        <v>2949</v>
      </c>
      <c r="E2098" t="str">
        <f t="shared" si="32"/>
        <v>Technodom9100036469</v>
      </c>
    </row>
    <row r="2099" spans="1:5" x14ac:dyDescent="0.3">
      <c r="A2099" t="s">
        <v>445</v>
      </c>
      <c r="B2099">
        <v>2841851000</v>
      </c>
      <c r="C2099" t="s">
        <v>1874</v>
      </c>
      <c r="D2099" t="s">
        <v>2950</v>
      </c>
      <c r="E2099" t="str">
        <f t="shared" si="32"/>
        <v>Technodom2841851000</v>
      </c>
    </row>
    <row r="2100" spans="1:5" x14ac:dyDescent="0.3">
      <c r="A2100" t="s">
        <v>445</v>
      </c>
      <c r="B2100">
        <v>2211400615</v>
      </c>
      <c r="C2100" t="s">
        <v>1064</v>
      </c>
      <c r="D2100" t="s">
        <v>2951</v>
      </c>
      <c r="E2100" t="str">
        <f t="shared" si="32"/>
        <v>Technodom2211400615</v>
      </c>
    </row>
    <row r="2101" spans="1:5" x14ac:dyDescent="0.3">
      <c r="A2101" t="s">
        <v>445</v>
      </c>
      <c r="B2101">
        <v>1830007629</v>
      </c>
      <c r="C2101" t="s">
        <v>1073</v>
      </c>
      <c r="D2101" t="s">
        <v>2952</v>
      </c>
      <c r="E2101" t="str">
        <f t="shared" si="32"/>
        <v>Technodom1830007629</v>
      </c>
    </row>
    <row r="2102" spans="1:5" x14ac:dyDescent="0.3">
      <c r="A2102" t="s">
        <v>445</v>
      </c>
      <c r="B2102">
        <v>3200001210</v>
      </c>
      <c r="C2102">
        <v>415140711</v>
      </c>
      <c r="D2102" t="s">
        <v>2953</v>
      </c>
      <c r="E2102" t="str">
        <f t="shared" si="32"/>
        <v>Technodom3200001210</v>
      </c>
    </row>
    <row r="2103" spans="1:5" x14ac:dyDescent="0.3">
      <c r="A2103" t="s">
        <v>445</v>
      </c>
      <c r="B2103">
        <v>1510001319</v>
      </c>
      <c r="C2103" t="s">
        <v>69</v>
      </c>
      <c r="D2103" t="s">
        <v>178</v>
      </c>
      <c r="E2103" t="str">
        <f t="shared" si="32"/>
        <v>Technodom1510001319</v>
      </c>
    </row>
    <row r="2104" spans="1:5" x14ac:dyDescent="0.3">
      <c r="A2104" t="s">
        <v>445</v>
      </c>
      <c r="B2104">
        <v>1600005409</v>
      </c>
      <c r="C2104" t="s">
        <v>2320</v>
      </c>
      <c r="D2104" t="s">
        <v>2954</v>
      </c>
      <c r="E2104" t="str">
        <f t="shared" si="32"/>
        <v>Technodom1600005409</v>
      </c>
    </row>
    <row r="2105" spans="1:5" x14ac:dyDescent="0.3">
      <c r="A2105" t="s">
        <v>445</v>
      </c>
      <c r="B2105">
        <v>1830007105</v>
      </c>
      <c r="C2105" t="s">
        <v>355</v>
      </c>
      <c r="D2105" t="s">
        <v>367</v>
      </c>
      <c r="E2105" t="str">
        <f t="shared" si="32"/>
        <v>Technodom1830007105</v>
      </c>
    </row>
    <row r="2106" spans="1:5" x14ac:dyDescent="0.3">
      <c r="A2106" t="s">
        <v>445</v>
      </c>
      <c r="B2106">
        <v>1830006572</v>
      </c>
      <c r="C2106" t="s">
        <v>1851</v>
      </c>
      <c r="D2106" t="s">
        <v>2955</v>
      </c>
      <c r="E2106" t="str">
        <f t="shared" si="32"/>
        <v>Technodom1830006572</v>
      </c>
    </row>
    <row r="2107" spans="1:5" x14ac:dyDescent="0.3">
      <c r="A2107" t="s">
        <v>445</v>
      </c>
      <c r="B2107">
        <v>7211003267</v>
      </c>
      <c r="C2107" t="s">
        <v>1102</v>
      </c>
      <c r="D2107" t="s">
        <v>2956</v>
      </c>
      <c r="E2107" t="str">
        <f t="shared" si="32"/>
        <v>Technodom7211003267</v>
      </c>
    </row>
    <row r="2108" spans="1:5" x14ac:dyDescent="0.3">
      <c r="A2108" t="s">
        <v>445</v>
      </c>
      <c r="B2108">
        <v>8010000431</v>
      </c>
      <c r="C2108" t="s">
        <v>79</v>
      </c>
      <c r="D2108" t="s">
        <v>183</v>
      </c>
      <c r="E2108" t="str">
        <f t="shared" si="32"/>
        <v>Technodom8010000431</v>
      </c>
    </row>
    <row r="2109" spans="1:5" x14ac:dyDescent="0.3">
      <c r="A2109" t="s">
        <v>445</v>
      </c>
      <c r="B2109">
        <v>2211400823</v>
      </c>
      <c r="C2109" t="s">
        <v>1324</v>
      </c>
      <c r="D2109" t="s">
        <v>2957</v>
      </c>
      <c r="E2109" t="str">
        <f t="shared" si="32"/>
        <v>Technodom2211400823</v>
      </c>
    </row>
    <row r="2110" spans="1:5" x14ac:dyDescent="0.3">
      <c r="A2110" t="s">
        <v>445</v>
      </c>
      <c r="B2110">
        <v>2211400690</v>
      </c>
      <c r="C2110" t="s">
        <v>36</v>
      </c>
      <c r="D2110" t="s">
        <v>151</v>
      </c>
      <c r="E2110" t="str">
        <f t="shared" si="32"/>
        <v>Technodom2211400690</v>
      </c>
    </row>
    <row r="2111" spans="1:5" x14ac:dyDescent="0.3">
      <c r="A2111" t="s">
        <v>445</v>
      </c>
      <c r="B2111">
        <v>1830007299</v>
      </c>
      <c r="C2111" t="s">
        <v>96</v>
      </c>
      <c r="D2111" t="s">
        <v>202</v>
      </c>
      <c r="E2111" t="str">
        <f t="shared" si="32"/>
        <v>Technodom1830007299</v>
      </c>
    </row>
    <row r="2112" spans="1:5" x14ac:dyDescent="0.3">
      <c r="A2112" t="s">
        <v>445</v>
      </c>
      <c r="B2112">
        <v>1830007626</v>
      </c>
      <c r="C2112" t="s">
        <v>94</v>
      </c>
      <c r="D2112" t="s">
        <v>199</v>
      </c>
      <c r="E2112" t="str">
        <f t="shared" si="32"/>
        <v>Technodom1830007626</v>
      </c>
    </row>
    <row r="2113" spans="1:5" x14ac:dyDescent="0.3">
      <c r="A2113" t="s">
        <v>445</v>
      </c>
      <c r="B2113">
        <v>1830007031</v>
      </c>
      <c r="C2113" t="s">
        <v>1088</v>
      </c>
      <c r="D2113" t="s">
        <v>2958</v>
      </c>
      <c r="E2113" t="str">
        <f t="shared" si="32"/>
        <v>Technodom1830007031</v>
      </c>
    </row>
    <row r="2114" spans="1:5" x14ac:dyDescent="0.3">
      <c r="A2114" t="s">
        <v>445</v>
      </c>
      <c r="B2114">
        <v>1830007120</v>
      </c>
      <c r="C2114" t="s">
        <v>2959</v>
      </c>
      <c r="D2114" t="s">
        <v>2960</v>
      </c>
      <c r="E2114" t="str">
        <f t="shared" si="32"/>
        <v>Technodom1830007120</v>
      </c>
    </row>
    <row r="2115" spans="1:5" x14ac:dyDescent="0.3">
      <c r="A2115" t="s">
        <v>445</v>
      </c>
      <c r="B2115">
        <v>1830007750</v>
      </c>
      <c r="C2115" t="s">
        <v>1090</v>
      </c>
      <c r="D2115" t="s">
        <v>2961</v>
      </c>
      <c r="E2115" t="str">
        <f t="shared" ref="E2115:E2178" si="33">A2115&amp;B2115</f>
        <v>Technodom1830007750</v>
      </c>
    </row>
    <row r="2116" spans="1:5" x14ac:dyDescent="0.3">
      <c r="A2116" t="s">
        <v>445</v>
      </c>
      <c r="B2116">
        <v>1830007748</v>
      </c>
      <c r="C2116" t="s">
        <v>2031</v>
      </c>
      <c r="D2116" t="s">
        <v>2962</v>
      </c>
      <c r="E2116" t="str">
        <f t="shared" si="33"/>
        <v>Technodom1830007748</v>
      </c>
    </row>
    <row r="2117" spans="1:5" x14ac:dyDescent="0.3">
      <c r="A2117" t="s">
        <v>445</v>
      </c>
      <c r="B2117">
        <v>1830006595</v>
      </c>
      <c r="C2117" t="s">
        <v>1417</v>
      </c>
      <c r="D2117" t="s">
        <v>2963</v>
      </c>
      <c r="E2117" t="str">
        <f t="shared" si="33"/>
        <v>Technodom1830006595</v>
      </c>
    </row>
    <row r="2118" spans="1:5" x14ac:dyDescent="0.3">
      <c r="A2118" t="s">
        <v>445</v>
      </c>
      <c r="B2118">
        <v>1830007173</v>
      </c>
      <c r="C2118" t="s">
        <v>2964</v>
      </c>
      <c r="D2118" t="s">
        <v>2965</v>
      </c>
      <c r="E2118" t="str">
        <f t="shared" si="33"/>
        <v>Technodom1830007173</v>
      </c>
    </row>
    <row r="2119" spans="1:5" x14ac:dyDescent="0.3">
      <c r="A2119" t="s">
        <v>445</v>
      </c>
      <c r="B2119">
        <v>1830007159</v>
      </c>
      <c r="C2119" t="s">
        <v>2966</v>
      </c>
      <c r="D2119" t="s">
        <v>2967</v>
      </c>
      <c r="E2119" t="str">
        <f t="shared" si="33"/>
        <v>Technodom1830007159</v>
      </c>
    </row>
    <row r="2120" spans="1:5" x14ac:dyDescent="0.3">
      <c r="A2120" t="s">
        <v>445</v>
      </c>
      <c r="B2120">
        <v>1830007269</v>
      </c>
      <c r="C2120" t="s">
        <v>1092</v>
      </c>
      <c r="D2120" t="s">
        <v>2968</v>
      </c>
      <c r="E2120" t="str">
        <f t="shared" si="33"/>
        <v>Technodom1830007269</v>
      </c>
    </row>
    <row r="2121" spans="1:5" x14ac:dyDescent="0.3">
      <c r="A2121" t="s">
        <v>445</v>
      </c>
      <c r="B2121">
        <v>1500636334</v>
      </c>
      <c r="C2121" t="s">
        <v>1106</v>
      </c>
      <c r="D2121" t="s">
        <v>2969</v>
      </c>
      <c r="E2121" t="str">
        <f t="shared" si="33"/>
        <v>Technodom1500636334</v>
      </c>
    </row>
    <row r="2122" spans="1:5" x14ac:dyDescent="0.3">
      <c r="A2122" t="s">
        <v>445</v>
      </c>
      <c r="B2122">
        <v>2820802112</v>
      </c>
      <c r="C2122" t="s">
        <v>51</v>
      </c>
      <c r="D2122" t="s">
        <v>164</v>
      </c>
      <c r="E2122" t="str">
        <f t="shared" si="33"/>
        <v>Technodom2820802112</v>
      </c>
    </row>
    <row r="2123" spans="1:5" x14ac:dyDescent="0.3">
      <c r="A2123" t="s">
        <v>445</v>
      </c>
      <c r="B2123">
        <v>1830006254</v>
      </c>
      <c r="C2123" t="s">
        <v>931</v>
      </c>
      <c r="D2123" t="s">
        <v>2970</v>
      </c>
      <c r="E2123" t="str">
        <f t="shared" si="33"/>
        <v>Technodom1830006254</v>
      </c>
    </row>
    <row r="2124" spans="1:5" x14ac:dyDescent="0.3">
      <c r="A2124" t="s">
        <v>445</v>
      </c>
      <c r="B2124">
        <v>1830007697</v>
      </c>
      <c r="C2124" t="s">
        <v>1174</v>
      </c>
      <c r="D2124" t="s">
        <v>2971</v>
      </c>
      <c r="E2124" t="str">
        <f t="shared" si="33"/>
        <v>Technodom1830007697</v>
      </c>
    </row>
    <row r="2125" spans="1:5" x14ac:dyDescent="0.3">
      <c r="A2125" t="s">
        <v>445</v>
      </c>
      <c r="B2125">
        <v>1830007565</v>
      </c>
      <c r="C2125" t="s">
        <v>1170</v>
      </c>
      <c r="D2125" t="s">
        <v>2972</v>
      </c>
      <c r="E2125" t="str">
        <f t="shared" si="33"/>
        <v>Technodom1830007565</v>
      </c>
    </row>
    <row r="2126" spans="1:5" x14ac:dyDescent="0.3">
      <c r="A2126" t="s">
        <v>445</v>
      </c>
      <c r="B2126">
        <v>7211003740</v>
      </c>
      <c r="C2126" t="s">
        <v>42</v>
      </c>
      <c r="D2126" t="s">
        <v>157</v>
      </c>
      <c r="E2126" t="str">
        <f t="shared" si="33"/>
        <v>Technodom7211003740</v>
      </c>
    </row>
    <row r="2127" spans="1:5" x14ac:dyDescent="0.3">
      <c r="A2127" t="s">
        <v>445</v>
      </c>
      <c r="B2127">
        <v>7211003840</v>
      </c>
      <c r="C2127" t="s">
        <v>1143</v>
      </c>
      <c r="D2127" t="s">
        <v>2973</v>
      </c>
      <c r="E2127" t="str">
        <f t="shared" si="33"/>
        <v>Technodom7211003840</v>
      </c>
    </row>
    <row r="2128" spans="1:5" x14ac:dyDescent="0.3">
      <c r="A2128" t="s">
        <v>445</v>
      </c>
      <c r="B2128">
        <v>1510001501</v>
      </c>
      <c r="C2128" t="s">
        <v>1108</v>
      </c>
      <c r="D2128" t="s">
        <v>2974</v>
      </c>
      <c r="E2128" t="str">
        <f t="shared" si="33"/>
        <v>Technodom1510001501</v>
      </c>
    </row>
    <row r="2129" spans="1:5" x14ac:dyDescent="0.3">
      <c r="A2129" t="s">
        <v>445</v>
      </c>
      <c r="B2129">
        <v>8010000405</v>
      </c>
      <c r="C2129" t="s">
        <v>1110</v>
      </c>
      <c r="D2129" t="s">
        <v>2975</v>
      </c>
      <c r="E2129" t="str">
        <f t="shared" si="33"/>
        <v>Technodom8010000405</v>
      </c>
    </row>
    <row r="2130" spans="1:5" x14ac:dyDescent="0.3">
      <c r="A2130" t="s">
        <v>445</v>
      </c>
      <c r="B2130">
        <v>7211003938</v>
      </c>
      <c r="C2130" t="s">
        <v>73</v>
      </c>
      <c r="D2130" t="s">
        <v>180</v>
      </c>
      <c r="E2130" t="str">
        <f t="shared" si="33"/>
        <v>Technodom7211003938</v>
      </c>
    </row>
    <row r="2131" spans="1:5" x14ac:dyDescent="0.3">
      <c r="A2131" t="s">
        <v>445</v>
      </c>
      <c r="B2131">
        <v>7211004054</v>
      </c>
      <c r="C2131" t="s">
        <v>58</v>
      </c>
      <c r="D2131" t="s">
        <v>170</v>
      </c>
      <c r="E2131" t="str">
        <f t="shared" si="33"/>
        <v>Technodom7211004054</v>
      </c>
    </row>
    <row r="2132" spans="1:5" x14ac:dyDescent="0.3">
      <c r="A2132" t="s">
        <v>445</v>
      </c>
      <c r="B2132">
        <v>2211400703</v>
      </c>
      <c r="C2132" t="s">
        <v>1120</v>
      </c>
      <c r="D2132" t="s">
        <v>2976</v>
      </c>
      <c r="E2132" t="str">
        <f t="shared" si="33"/>
        <v>Technodom2211400703</v>
      </c>
    </row>
    <row r="2133" spans="1:5" x14ac:dyDescent="0.3">
      <c r="A2133" t="s">
        <v>445</v>
      </c>
      <c r="B2133">
        <v>2211400704</v>
      </c>
      <c r="C2133" t="s">
        <v>2460</v>
      </c>
      <c r="D2133" t="s">
        <v>2977</v>
      </c>
      <c r="E2133" t="str">
        <f t="shared" si="33"/>
        <v>Technodom2211400704</v>
      </c>
    </row>
    <row r="2134" spans="1:5" x14ac:dyDescent="0.3">
      <c r="A2134" t="s">
        <v>445</v>
      </c>
      <c r="B2134">
        <v>2211400921</v>
      </c>
      <c r="C2134" t="s">
        <v>33</v>
      </c>
      <c r="D2134" t="s">
        <v>148</v>
      </c>
      <c r="E2134" t="str">
        <f t="shared" si="33"/>
        <v>Technodom2211400921</v>
      </c>
    </row>
    <row r="2135" spans="1:5" x14ac:dyDescent="0.3">
      <c r="A2135" t="s">
        <v>445</v>
      </c>
      <c r="B2135">
        <v>2211400922</v>
      </c>
      <c r="C2135" t="s">
        <v>34</v>
      </c>
      <c r="D2135" t="s">
        <v>149</v>
      </c>
      <c r="E2135" t="str">
        <f t="shared" si="33"/>
        <v>Technodom2211400922</v>
      </c>
    </row>
    <row r="2136" spans="1:5" x14ac:dyDescent="0.3">
      <c r="A2136" t="s">
        <v>445</v>
      </c>
      <c r="B2136">
        <v>7211003983</v>
      </c>
      <c r="C2136" t="s">
        <v>1436</v>
      </c>
      <c r="D2136" t="s">
        <v>2978</v>
      </c>
      <c r="E2136" t="str">
        <f t="shared" si="33"/>
        <v>Technodom7211003983</v>
      </c>
    </row>
    <row r="2137" spans="1:5" x14ac:dyDescent="0.3">
      <c r="A2137" t="s">
        <v>445</v>
      </c>
      <c r="B2137">
        <v>7211004002</v>
      </c>
      <c r="C2137" t="s">
        <v>2979</v>
      </c>
      <c r="D2137" t="s">
        <v>2980</v>
      </c>
      <c r="E2137" t="str">
        <f t="shared" si="33"/>
        <v>Technodom7211004002</v>
      </c>
    </row>
    <row r="2138" spans="1:5" x14ac:dyDescent="0.3">
      <c r="A2138" t="s">
        <v>445</v>
      </c>
      <c r="B2138">
        <v>2211400824</v>
      </c>
      <c r="C2138" t="s">
        <v>1130</v>
      </c>
      <c r="D2138" t="s">
        <v>2981</v>
      </c>
      <c r="E2138" t="str">
        <f t="shared" si="33"/>
        <v>Technodom2211400824</v>
      </c>
    </row>
    <row r="2139" spans="1:5" x14ac:dyDescent="0.3">
      <c r="A2139" t="s">
        <v>445</v>
      </c>
      <c r="B2139">
        <v>1830007634</v>
      </c>
      <c r="C2139" t="s">
        <v>2202</v>
      </c>
      <c r="D2139" t="s">
        <v>2982</v>
      </c>
      <c r="E2139" t="str">
        <f t="shared" si="33"/>
        <v>Technodom1830007634</v>
      </c>
    </row>
    <row r="2140" spans="1:5" x14ac:dyDescent="0.3">
      <c r="A2140" t="s">
        <v>445</v>
      </c>
      <c r="B2140">
        <v>1830006479</v>
      </c>
      <c r="C2140" t="s">
        <v>1166</v>
      </c>
      <c r="D2140" t="s">
        <v>2983</v>
      </c>
      <c r="E2140" t="str">
        <f t="shared" si="33"/>
        <v>Technodom1830006479</v>
      </c>
    </row>
    <row r="2141" spans="1:5" x14ac:dyDescent="0.3">
      <c r="A2141" t="s">
        <v>445</v>
      </c>
      <c r="B2141">
        <v>1830004998</v>
      </c>
      <c r="C2141" t="s">
        <v>1022</v>
      </c>
      <c r="D2141" t="s">
        <v>2984</v>
      </c>
      <c r="E2141" t="str">
        <f t="shared" si="33"/>
        <v>Technodom1830004998</v>
      </c>
    </row>
    <row r="2142" spans="1:5" x14ac:dyDescent="0.3">
      <c r="A2142" t="s">
        <v>445</v>
      </c>
      <c r="B2142">
        <v>2100060368</v>
      </c>
      <c r="C2142" t="s">
        <v>1798</v>
      </c>
      <c r="D2142" t="s">
        <v>2985</v>
      </c>
      <c r="E2142" t="str">
        <f t="shared" si="33"/>
        <v>Technodom2100060368</v>
      </c>
    </row>
    <row r="2143" spans="1:5" x14ac:dyDescent="0.3">
      <c r="A2143" t="s">
        <v>445</v>
      </c>
      <c r="B2143">
        <v>1510001945</v>
      </c>
      <c r="C2143" t="s">
        <v>2986</v>
      </c>
      <c r="D2143" t="s">
        <v>2987</v>
      </c>
      <c r="E2143" t="str">
        <f t="shared" si="33"/>
        <v>Technodom1510001945</v>
      </c>
    </row>
    <row r="2144" spans="1:5" x14ac:dyDescent="0.3">
      <c r="A2144" t="s">
        <v>445</v>
      </c>
      <c r="B2144">
        <v>1500635821</v>
      </c>
      <c r="C2144" t="s">
        <v>1373</v>
      </c>
      <c r="D2144" t="s">
        <v>2988</v>
      </c>
      <c r="E2144" t="str">
        <f t="shared" si="33"/>
        <v>Technodom1500635821</v>
      </c>
    </row>
    <row r="2145" spans="1:5" x14ac:dyDescent="0.3">
      <c r="A2145" t="s">
        <v>445</v>
      </c>
      <c r="B2145">
        <v>2100106018</v>
      </c>
      <c r="C2145" t="s">
        <v>2989</v>
      </c>
      <c r="D2145" t="s">
        <v>2990</v>
      </c>
      <c r="E2145" t="str">
        <f t="shared" si="33"/>
        <v>Technodom2100106018</v>
      </c>
    </row>
    <row r="2146" spans="1:5" x14ac:dyDescent="0.3">
      <c r="A2146" t="s">
        <v>445</v>
      </c>
      <c r="B2146">
        <v>2100115224</v>
      </c>
      <c r="C2146" t="s">
        <v>1889</v>
      </c>
      <c r="D2146" t="s">
        <v>2991</v>
      </c>
      <c r="E2146" t="str">
        <f t="shared" si="33"/>
        <v>Technodom2100115224</v>
      </c>
    </row>
    <row r="2147" spans="1:5" x14ac:dyDescent="0.3">
      <c r="A2147" t="s">
        <v>445</v>
      </c>
      <c r="B2147">
        <v>2100115225</v>
      </c>
      <c r="C2147" t="s">
        <v>1891</v>
      </c>
      <c r="D2147" t="s">
        <v>2992</v>
      </c>
      <c r="E2147" t="str">
        <f t="shared" si="33"/>
        <v>Technodom2100115225</v>
      </c>
    </row>
    <row r="2148" spans="1:5" x14ac:dyDescent="0.3">
      <c r="A2148" t="s">
        <v>445</v>
      </c>
      <c r="B2148">
        <v>2100115791</v>
      </c>
      <c r="C2148" t="s">
        <v>2993</v>
      </c>
      <c r="D2148" t="s">
        <v>2994</v>
      </c>
      <c r="E2148" t="str">
        <f t="shared" si="33"/>
        <v>Technodom2100115791</v>
      </c>
    </row>
    <row r="2149" spans="1:5" x14ac:dyDescent="0.3">
      <c r="A2149" t="s">
        <v>445</v>
      </c>
      <c r="B2149">
        <v>2100115792</v>
      </c>
      <c r="C2149" t="s">
        <v>2995</v>
      </c>
      <c r="D2149" t="s">
        <v>2996</v>
      </c>
      <c r="E2149" t="str">
        <f t="shared" si="33"/>
        <v>Technodom2100115792</v>
      </c>
    </row>
    <row r="2150" spans="1:5" x14ac:dyDescent="0.3">
      <c r="A2150" t="s">
        <v>445</v>
      </c>
      <c r="B2150">
        <v>1830007851</v>
      </c>
      <c r="C2150" t="s">
        <v>1195</v>
      </c>
      <c r="D2150" t="s">
        <v>2997</v>
      </c>
      <c r="E2150" t="str">
        <f t="shared" si="33"/>
        <v>Technodom1830007851</v>
      </c>
    </row>
    <row r="2151" spans="1:5" x14ac:dyDescent="0.3">
      <c r="A2151" t="s">
        <v>445</v>
      </c>
      <c r="B2151">
        <v>1830007854</v>
      </c>
      <c r="C2151" t="s">
        <v>497</v>
      </c>
      <c r="D2151" t="s">
        <v>2998</v>
      </c>
      <c r="E2151" t="str">
        <f t="shared" si="33"/>
        <v>Technodom1830007854</v>
      </c>
    </row>
    <row r="2152" spans="1:5" x14ac:dyDescent="0.3">
      <c r="A2152" t="s">
        <v>445</v>
      </c>
      <c r="B2152">
        <v>1830007830</v>
      </c>
      <c r="C2152" t="s">
        <v>698</v>
      </c>
      <c r="D2152" t="s">
        <v>2999</v>
      </c>
      <c r="E2152" t="str">
        <f t="shared" si="33"/>
        <v>Technodom1830007830</v>
      </c>
    </row>
    <row r="2153" spans="1:5" x14ac:dyDescent="0.3">
      <c r="A2153" t="s">
        <v>445</v>
      </c>
      <c r="B2153">
        <v>2100098780</v>
      </c>
      <c r="C2153" t="s">
        <v>3000</v>
      </c>
      <c r="D2153" t="s">
        <v>3001</v>
      </c>
      <c r="E2153" t="str">
        <f t="shared" si="33"/>
        <v>Technodom2100098780</v>
      </c>
    </row>
    <row r="2154" spans="1:5" x14ac:dyDescent="0.3">
      <c r="A2154" t="s">
        <v>445</v>
      </c>
      <c r="B2154">
        <v>2100087317</v>
      </c>
      <c r="C2154" t="s">
        <v>3002</v>
      </c>
      <c r="D2154" t="s">
        <v>3003</v>
      </c>
      <c r="E2154" t="str">
        <f t="shared" si="33"/>
        <v>Technodom2100087317</v>
      </c>
    </row>
    <row r="2155" spans="1:5" x14ac:dyDescent="0.3">
      <c r="A2155" t="s">
        <v>445</v>
      </c>
      <c r="B2155">
        <v>2100087330</v>
      </c>
      <c r="C2155" t="s">
        <v>1301</v>
      </c>
      <c r="D2155" t="s">
        <v>3004</v>
      </c>
      <c r="E2155" t="str">
        <f t="shared" si="33"/>
        <v>Technodom2100087330</v>
      </c>
    </row>
    <row r="2156" spans="1:5" x14ac:dyDescent="0.3">
      <c r="A2156" t="s">
        <v>445</v>
      </c>
      <c r="B2156">
        <v>2100104352</v>
      </c>
      <c r="C2156" t="s">
        <v>2442</v>
      </c>
      <c r="D2156" t="s">
        <v>3005</v>
      </c>
      <c r="E2156" t="str">
        <f t="shared" si="33"/>
        <v>Technodom2100104352</v>
      </c>
    </row>
    <row r="2157" spans="1:5" x14ac:dyDescent="0.3">
      <c r="A2157" t="s">
        <v>445</v>
      </c>
      <c r="B2157">
        <v>2100104351</v>
      </c>
      <c r="C2157" t="s">
        <v>3006</v>
      </c>
      <c r="D2157" t="s">
        <v>3007</v>
      </c>
      <c r="E2157" t="str">
        <f t="shared" si="33"/>
        <v>Technodom2100104351</v>
      </c>
    </row>
    <row r="2158" spans="1:5" x14ac:dyDescent="0.3">
      <c r="A2158" t="s">
        <v>445</v>
      </c>
      <c r="B2158">
        <v>2100104350</v>
      </c>
      <c r="C2158" t="s">
        <v>2444</v>
      </c>
      <c r="D2158" t="s">
        <v>3008</v>
      </c>
      <c r="E2158" t="str">
        <f t="shared" si="33"/>
        <v>Technodom2100104350</v>
      </c>
    </row>
    <row r="2159" spans="1:5" x14ac:dyDescent="0.3">
      <c r="A2159" t="s">
        <v>445</v>
      </c>
      <c r="B2159">
        <v>2100104354</v>
      </c>
      <c r="C2159" t="s">
        <v>2446</v>
      </c>
      <c r="D2159" t="s">
        <v>3009</v>
      </c>
      <c r="E2159" t="str">
        <f t="shared" si="33"/>
        <v>Technodom2100104354</v>
      </c>
    </row>
    <row r="2160" spans="1:5" x14ac:dyDescent="0.3">
      <c r="A2160" t="s">
        <v>445</v>
      </c>
      <c r="B2160">
        <v>2100104348</v>
      </c>
      <c r="C2160" t="s">
        <v>2021</v>
      </c>
      <c r="D2160" t="s">
        <v>3010</v>
      </c>
      <c r="E2160" t="str">
        <f t="shared" si="33"/>
        <v>Technodom2100104348</v>
      </c>
    </row>
    <row r="2161" spans="1:5" x14ac:dyDescent="0.3">
      <c r="A2161" t="s">
        <v>445</v>
      </c>
      <c r="B2161">
        <v>2100104353</v>
      </c>
      <c r="C2161" t="s">
        <v>2023</v>
      </c>
      <c r="D2161" t="s">
        <v>3011</v>
      </c>
      <c r="E2161" t="str">
        <f t="shared" si="33"/>
        <v>Technodom2100104353</v>
      </c>
    </row>
    <row r="2162" spans="1:5" x14ac:dyDescent="0.3">
      <c r="A2162" t="s">
        <v>445</v>
      </c>
      <c r="B2162">
        <v>2100104349</v>
      </c>
      <c r="C2162" t="s">
        <v>3012</v>
      </c>
      <c r="D2162" t="s">
        <v>3013</v>
      </c>
      <c r="E2162" t="str">
        <f t="shared" si="33"/>
        <v>Technodom2100104349</v>
      </c>
    </row>
    <row r="2163" spans="1:5" x14ac:dyDescent="0.3">
      <c r="A2163" t="s">
        <v>445</v>
      </c>
      <c r="B2163">
        <v>2100110589</v>
      </c>
      <c r="C2163" t="s">
        <v>1488</v>
      </c>
      <c r="D2163" t="s">
        <v>3014</v>
      </c>
      <c r="E2163" t="str">
        <f t="shared" si="33"/>
        <v>Technodom2100110589</v>
      </c>
    </row>
    <row r="2164" spans="1:5" x14ac:dyDescent="0.3">
      <c r="A2164" t="s">
        <v>445</v>
      </c>
      <c r="B2164">
        <v>2100084562</v>
      </c>
      <c r="C2164" t="s">
        <v>2350</v>
      </c>
      <c r="D2164" t="s">
        <v>3015</v>
      </c>
      <c r="E2164" t="str">
        <f t="shared" si="33"/>
        <v>Technodom2100084562</v>
      </c>
    </row>
    <row r="2165" spans="1:5" x14ac:dyDescent="0.3">
      <c r="A2165" t="s">
        <v>445</v>
      </c>
      <c r="B2165">
        <v>2100106332</v>
      </c>
      <c r="C2165" t="s">
        <v>3016</v>
      </c>
      <c r="D2165" t="s">
        <v>3017</v>
      </c>
      <c r="E2165" t="str">
        <f t="shared" si="33"/>
        <v>Technodom2100106332</v>
      </c>
    </row>
    <row r="2166" spans="1:5" x14ac:dyDescent="0.3">
      <c r="A2166" t="s">
        <v>445</v>
      </c>
      <c r="B2166">
        <v>2100115981</v>
      </c>
      <c r="C2166" t="s">
        <v>1184</v>
      </c>
      <c r="D2166" t="s">
        <v>3018</v>
      </c>
      <c r="E2166" t="str">
        <f t="shared" si="33"/>
        <v>Technodom2100115981</v>
      </c>
    </row>
    <row r="2167" spans="1:5" x14ac:dyDescent="0.3">
      <c r="A2167" t="s">
        <v>445</v>
      </c>
      <c r="B2167">
        <v>2100115982</v>
      </c>
      <c r="C2167" t="s">
        <v>85</v>
      </c>
      <c r="D2167" t="s">
        <v>192</v>
      </c>
      <c r="E2167" t="str">
        <f t="shared" si="33"/>
        <v>Technodom2100115982</v>
      </c>
    </row>
    <row r="2168" spans="1:5" x14ac:dyDescent="0.3">
      <c r="A2168" t="s">
        <v>445</v>
      </c>
      <c r="B2168">
        <v>2100116195</v>
      </c>
      <c r="C2168" t="s">
        <v>84</v>
      </c>
      <c r="D2168" t="s">
        <v>191</v>
      </c>
      <c r="E2168" t="str">
        <f t="shared" si="33"/>
        <v>Technodom2100116195</v>
      </c>
    </row>
    <row r="2169" spans="1:5" x14ac:dyDescent="0.3">
      <c r="A2169" t="s">
        <v>445</v>
      </c>
      <c r="B2169">
        <v>2100115963</v>
      </c>
      <c r="C2169" t="s">
        <v>1187</v>
      </c>
      <c r="D2169" t="s">
        <v>3019</v>
      </c>
      <c r="E2169" t="str">
        <f t="shared" si="33"/>
        <v>Technodom2100115963</v>
      </c>
    </row>
    <row r="2170" spans="1:5" x14ac:dyDescent="0.3">
      <c r="A2170" t="s">
        <v>445</v>
      </c>
      <c r="B2170">
        <v>2100105193</v>
      </c>
      <c r="C2170" t="s">
        <v>3020</v>
      </c>
      <c r="D2170" t="s">
        <v>3021</v>
      </c>
      <c r="E2170" t="str">
        <f t="shared" si="33"/>
        <v>Technodom2100105193</v>
      </c>
    </row>
    <row r="2171" spans="1:5" x14ac:dyDescent="0.3">
      <c r="A2171" t="s">
        <v>445</v>
      </c>
      <c r="B2171">
        <v>2100115220</v>
      </c>
      <c r="C2171" t="s">
        <v>3022</v>
      </c>
      <c r="D2171" t="s">
        <v>3023</v>
      </c>
      <c r="E2171" t="str">
        <f t="shared" si="33"/>
        <v>Technodom2100115220</v>
      </c>
    </row>
    <row r="2172" spans="1:5" x14ac:dyDescent="0.3">
      <c r="A2172" t="s">
        <v>445</v>
      </c>
      <c r="B2172">
        <v>2100115789</v>
      </c>
      <c r="C2172" t="s">
        <v>3024</v>
      </c>
      <c r="D2172" t="s">
        <v>3025</v>
      </c>
      <c r="E2172" t="str">
        <f t="shared" si="33"/>
        <v>Technodom2100115789</v>
      </c>
    </row>
    <row r="2173" spans="1:5" x14ac:dyDescent="0.3">
      <c r="A2173" t="s">
        <v>445</v>
      </c>
      <c r="B2173">
        <v>2100104258</v>
      </c>
      <c r="C2173" t="s">
        <v>3026</v>
      </c>
      <c r="D2173" t="s">
        <v>3027</v>
      </c>
      <c r="E2173" t="str">
        <f t="shared" si="33"/>
        <v>Technodom2100104258</v>
      </c>
    </row>
    <row r="2174" spans="1:5" x14ac:dyDescent="0.3">
      <c r="A2174" t="s">
        <v>445</v>
      </c>
      <c r="B2174">
        <v>2100104260</v>
      </c>
      <c r="C2174" t="s">
        <v>3028</v>
      </c>
      <c r="D2174" t="s">
        <v>3029</v>
      </c>
      <c r="E2174" t="str">
        <f t="shared" si="33"/>
        <v>Technodom2100104260</v>
      </c>
    </row>
    <row r="2175" spans="1:5" x14ac:dyDescent="0.3">
      <c r="A2175" t="s">
        <v>445</v>
      </c>
      <c r="B2175">
        <v>2100104256</v>
      </c>
      <c r="C2175" t="s">
        <v>3030</v>
      </c>
      <c r="D2175" t="s">
        <v>3031</v>
      </c>
      <c r="E2175" t="str">
        <f t="shared" si="33"/>
        <v>Technodom2100104256</v>
      </c>
    </row>
    <row r="2176" spans="1:5" x14ac:dyDescent="0.3">
      <c r="A2176" t="s">
        <v>445</v>
      </c>
      <c r="B2176">
        <v>2100104255</v>
      </c>
      <c r="C2176" t="s">
        <v>3032</v>
      </c>
      <c r="D2176" t="s">
        <v>3033</v>
      </c>
      <c r="E2176" t="str">
        <f t="shared" si="33"/>
        <v>Technodom2100104255</v>
      </c>
    </row>
    <row r="2177" spans="1:5" x14ac:dyDescent="0.3">
      <c r="A2177" t="s">
        <v>445</v>
      </c>
      <c r="B2177">
        <v>2100115750</v>
      </c>
      <c r="C2177" t="s">
        <v>3034</v>
      </c>
      <c r="D2177" t="s">
        <v>3035</v>
      </c>
      <c r="E2177" t="str">
        <f t="shared" si="33"/>
        <v>Technodom2100115750</v>
      </c>
    </row>
    <row r="2178" spans="1:5" x14ac:dyDescent="0.3">
      <c r="A2178" t="s">
        <v>445</v>
      </c>
      <c r="B2178">
        <v>2100115751</v>
      </c>
      <c r="C2178" t="s">
        <v>3036</v>
      </c>
      <c r="D2178" t="s">
        <v>3037</v>
      </c>
      <c r="E2178" t="str">
        <f t="shared" si="33"/>
        <v>Technodom2100115751</v>
      </c>
    </row>
    <row r="2179" spans="1:5" x14ac:dyDescent="0.3">
      <c r="A2179" t="s">
        <v>445</v>
      </c>
      <c r="B2179">
        <v>2100115749</v>
      </c>
      <c r="C2179" t="s">
        <v>3038</v>
      </c>
      <c r="D2179" t="s">
        <v>3039</v>
      </c>
      <c r="E2179" t="str">
        <f t="shared" ref="E2179:E2242" si="34">A2179&amp;B2179</f>
        <v>Technodom2100115749</v>
      </c>
    </row>
    <row r="2180" spans="1:5" x14ac:dyDescent="0.3">
      <c r="A2180" t="s">
        <v>445</v>
      </c>
      <c r="B2180">
        <v>8000035667</v>
      </c>
      <c r="C2180" t="s">
        <v>2352</v>
      </c>
      <c r="D2180" t="s">
        <v>3040</v>
      </c>
      <c r="E2180" t="str">
        <f t="shared" si="34"/>
        <v>Technodom8000035667</v>
      </c>
    </row>
    <row r="2181" spans="1:5" x14ac:dyDescent="0.3">
      <c r="A2181" t="s">
        <v>445</v>
      </c>
      <c r="B2181">
        <v>8000035923</v>
      </c>
      <c r="C2181" t="s">
        <v>1146</v>
      </c>
      <c r="D2181" t="s">
        <v>3041</v>
      </c>
      <c r="E2181" t="str">
        <f t="shared" si="34"/>
        <v>Technodom8000035923</v>
      </c>
    </row>
    <row r="2182" spans="1:5" x14ac:dyDescent="0.3">
      <c r="A2182" t="s">
        <v>445</v>
      </c>
      <c r="B2182">
        <v>1830007659</v>
      </c>
      <c r="C2182" t="s">
        <v>1062</v>
      </c>
      <c r="D2182" t="s">
        <v>3042</v>
      </c>
      <c r="E2182" t="str">
        <f t="shared" si="34"/>
        <v>Technodom1830007659</v>
      </c>
    </row>
    <row r="2183" spans="1:5" x14ac:dyDescent="0.3">
      <c r="A2183" t="s">
        <v>445</v>
      </c>
      <c r="B2183">
        <v>1830007973</v>
      </c>
      <c r="C2183" t="s">
        <v>1018</v>
      </c>
      <c r="D2183" t="s">
        <v>3043</v>
      </c>
      <c r="E2183" t="str">
        <f t="shared" si="34"/>
        <v>Technodom1830007973</v>
      </c>
    </row>
    <row r="2184" spans="1:5" x14ac:dyDescent="0.3">
      <c r="A2184" t="s">
        <v>445</v>
      </c>
      <c r="B2184">
        <v>7211002945</v>
      </c>
      <c r="C2184" t="s">
        <v>3044</v>
      </c>
      <c r="D2184" t="s">
        <v>155</v>
      </c>
      <c r="E2184" t="str">
        <f t="shared" si="34"/>
        <v>Technodom7211002945</v>
      </c>
    </row>
    <row r="2185" spans="1:5" x14ac:dyDescent="0.3">
      <c r="A2185" t="s">
        <v>445</v>
      </c>
      <c r="B2185">
        <v>2100096005</v>
      </c>
      <c r="C2185" t="s">
        <v>1716</v>
      </c>
      <c r="D2185" t="s">
        <v>3045</v>
      </c>
      <c r="E2185" t="str">
        <f t="shared" si="34"/>
        <v>Technodom2100096005</v>
      </c>
    </row>
    <row r="2186" spans="1:5" x14ac:dyDescent="0.3">
      <c r="A2186" t="s">
        <v>445</v>
      </c>
      <c r="B2186">
        <v>7211003955</v>
      </c>
      <c r="C2186" t="s">
        <v>1244</v>
      </c>
      <c r="D2186" t="s">
        <v>3046</v>
      </c>
      <c r="E2186" t="str">
        <f t="shared" si="34"/>
        <v>Technodom7211003955</v>
      </c>
    </row>
    <row r="2187" spans="1:5" x14ac:dyDescent="0.3">
      <c r="A2187" t="s">
        <v>445</v>
      </c>
      <c r="B2187">
        <v>8010000864</v>
      </c>
      <c r="C2187" t="s">
        <v>3047</v>
      </c>
      <c r="D2187" t="s">
        <v>3048</v>
      </c>
      <c r="E2187" t="str">
        <f t="shared" si="34"/>
        <v>Technodom8010000864</v>
      </c>
    </row>
    <row r="2188" spans="1:5" x14ac:dyDescent="0.3">
      <c r="A2188" t="s">
        <v>445</v>
      </c>
      <c r="B2188">
        <v>2100087318</v>
      </c>
      <c r="C2188" t="s">
        <v>1295</v>
      </c>
      <c r="D2188" t="s">
        <v>3049</v>
      </c>
      <c r="E2188" t="str">
        <f t="shared" si="34"/>
        <v>Technodom2100087318</v>
      </c>
    </row>
    <row r="2189" spans="1:5" x14ac:dyDescent="0.3">
      <c r="A2189" t="s">
        <v>445</v>
      </c>
      <c r="B2189">
        <v>2100087319</v>
      </c>
      <c r="C2189" t="s">
        <v>3050</v>
      </c>
      <c r="D2189" t="s">
        <v>3051</v>
      </c>
      <c r="E2189" t="str">
        <f t="shared" si="34"/>
        <v>Technodom2100087319</v>
      </c>
    </row>
    <row r="2190" spans="1:5" x14ac:dyDescent="0.3">
      <c r="A2190" t="s">
        <v>445</v>
      </c>
      <c r="B2190">
        <v>2100087393</v>
      </c>
      <c r="C2190" t="s">
        <v>1297</v>
      </c>
      <c r="D2190" t="s">
        <v>3052</v>
      </c>
      <c r="E2190" t="str">
        <f t="shared" si="34"/>
        <v>Technodom2100087393</v>
      </c>
    </row>
    <row r="2191" spans="1:5" x14ac:dyDescent="0.3">
      <c r="A2191" t="s">
        <v>445</v>
      </c>
      <c r="B2191">
        <v>2100087323</v>
      </c>
      <c r="C2191" t="s">
        <v>1293</v>
      </c>
      <c r="D2191" t="s">
        <v>3053</v>
      </c>
      <c r="E2191" t="str">
        <f t="shared" si="34"/>
        <v>Technodom2100087323</v>
      </c>
    </row>
    <row r="2192" spans="1:5" x14ac:dyDescent="0.3">
      <c r="A2192" t="s">
        <v>445</v>
      </c>
      <c r="B2192">
        <v>2100087320</v>
      </c>
      <c r="C2192" t="s">
        <v>1299</v>
      </c>
      <c r="D2192" t="s">
        <v>3054</v>
      </c>
      <c r="E2192" t="str">
        <f t="shared" si="34"/>
        <v>Technodom2100087320</v>
      </c>
    </row>
    <row r="2193" spans="1:5" x14ac:dyDescent="0.3">
      <c r="A2193" t="s">
        <v>445</v>
      </c>
      <c r="B2193">
        <v>1830007645</v>
      </c>
      <c r="C2193" t="s">
        <v>414</v>
      </c>
      <c r="D2193" t="s">
        <v>3055</v>
      </c>
      <c r="E2193" t="str">
        <f t="shared" si="34"/>
        <v>Technodom1830007645</v>
      </c>
    </row>
    <row r="2194" spans="1:5" x14ac:dyDescent="0.3">
      <c r="A2194" t="s">
        <v>445</v>
      </c>
      <c r="B2194">
        <v>1830007715</v>
      </c>
      <c r="C2194" t="s">
        <v>409</v>
      </c>
      <c r="D2194" t="s">
        <v>3056</v>
      </c>
      <c r="E2194" t="str">
        <f t="shared" si="34"/>
        <v>Technodom1830007715</v>
      </c>
    </row>
    <row r="2195" spans="1:5" x14ac:dyDescent="0.3">
      <c r="A2195" t="s">
        <v>445</v>
      </c>
      <c r="B2195">
        <v>1830007809</v>
      </c>
      <c r="C2195" t="s">
        <v>410</v>
      </c>
      <c r="D2195" t="s">
        <v>3057</v>
      </c>
      <c r="E2195" t="str">
        <f t="shared" si="34"/>
        <v>Technodom1830007809</v>
      </c>
    </row>
    <row r="2196" spans="1:5" x14ac:dyDescent="0.3">
      <c r="A2196" t="s">
        <v>445</v>
      </c>
      <c r="B2196">
        <v>1830007804</v>
      </c>
      <c r="C2196" t="s">
        <v>1419</v>
      </c>
      <c r="D2196" t="s">
        <v>3058</v>
      </c>
      <c r="E2196" t="str">
        <f t="shared" si="34"/>
        <v>Technodom1830007804</v>
      </c>
    </row>
    <row r="2197" spans="1:5" x14ac:dyDescent="0.3">
      <c r="A2197" t="s">
        <v>445</v>
      </c>
      <c r="B2197">
        <v>2100113901</v>
      </c>
      <c r="C2197" t="s">
        <v>3059</v>
      </c>
      <c r="D2197" t="s">
        <v>3060</v>
      </c>
      <c r="E2197" t="str">
        <f t="shared" si="34"/>
        <v>Technodom2100113901</v>
      </c>
    </row>
    <row r="2198" spans="1:5" x14ac:dyDescent="0.3">
      <c r="A2198" t="s">
        <v>445</v>
      </c>
      <c r="B2198">
        <v>2100093246</v>
      </c>
      <c r="C2198" t="s">
        <v>1303</v>
      </c>
      <c r="D2198" t="s">
        <v>3061</v>
      </c>
      <c r="E2198" t="str">
        <f t="shared" si="34"/>
        <v>Technodom2100093246</v>
      </c>
    </row>
    <row r="2199" spans="1:5" x14ac:dyDescent="0.3">
      <c r="A2199" t="s">
        <v>445</v>
      </c>
      <c r="B2199">
        <v>2100115980</v>
      </c>
      <c r="C2199" t="s">
        <v>3062</v>
      </c>
      <c r="D2199" t="s">
        <v>3063</v>
      </c>
      <c r="E2199" t="str">
        <f t="shared" si="34"/>
        <v>Technodom2100115980</v>
      </c>
    </row>
    <row r="2200" spans="1:5" x14ac:dyDescent="0.3">
      <c r="A2200" t="s">
        <v>445</v>
      </c>
      <c r="B2200">
        <v>2211400794</v>
      </c>
      <c r="C2200" t="s">
        <v>416</v>
      </c>
      <c r="D2200" t="s">
        <v>3064</v>
      </c>
      <c r="E2200" t="str">
        <f t="shared" si="34"/>
        <v>Technodom2211400794</v>
      </c>
    </row>
    <row r="2201" spans="1:5" x14ac:dyDescent="0.3">
      <c r="A2201" t="s">
        <v>445</v>
      </c>
      <c r="B2201">
        <v>2211400797</v>
      </c>
      <c r="C2201" t="s">
        <v>1581</v>
      </c>
      <c r="D2201" t="s">
        <v>3065</v>
      </c>
      <c r="E2201" t="str">
        <f t="shared" si="34"/>
        <v>Technodom2211400797</v>
      </c>
    </row>
    <row r="2202" spans="1:5" x14ac:dyDescent="0.3">
      <c r="A2202" t="s">
        <v>445</v>
      </c>
      <c r="B2202">
        <v>2211400811</v>
      </c>
      <c r="C2202" t="s">
        <v>28</v>
      </c>
      <c r="D2202" t="s">
        <v>146</v>
      </c>
      <c r="E2202" t="str">
        <f t="shared" si="34"/>
        <v>Technodom2211400811</v>
      </c>
    </row>
    <row r="2203" spans="1:5" x14ac:dyDescent="0.3">
      <c r="A2203" t="s">
        <v>445</v>
      </c>
      <c r="B2203">
        <v>2211400844</v>
      </c>
      <c r="C2203" t="s">
        <v>27</v>
      </c>
      <c r="D2203" t="s">
        <v>145</v>
      </c>
      <c r="E2203" t="str">
        <f t="shared" si="34"/>
        <v>Technodom2211400844</v>
      </c>
    </row>
    <row r="2204" spans="1:5" x14ac:dyDescent="0.3">
      <c r="A2204" t="s">
        <v>445</v>
      </c>
      <c r="B2204">
        <v>1500859369</v>
      </c>
      <c r="C2204" t="s">
        <v>554</v>
      </c>
      <c r="D2204" t="s">
        <v>3066</v>
      </c>
      <c r="E2204" t="str">
        <f t="shared" si="34"/>
        <v>Technodom1500859369</v>
      </c>
    </row>
    <row r="2205" spans="1:5" x14ac:dyDescent="0.3">
      <c r="A2205" t="s">
        <v>445</v>
      </c>
      <c r="B2205">
        <v>1510001655</v>
      </c>
      <c r="C2205" t="s">
        <v>412</v>
      </c>
      <c r="D2205" t="s">
        <v>3067</v>
      </c>
      <c r="E2205" t="str">
        <f t="shared" si="34"/>
        <v>Technodom1510001655</v>
      </c>
    </row>
    <row r="2206" spans="1:5" x14ac:dyDescent="0.3">
      <c r="A2206" t="s">
        <v>445</v>
      </c>
      <c r="B2206">
        <v>2100098775</v>
      </c>
      <c r="C2206" t="s">
        <v>3068</v>
      </c>
      <c r="D2206" t="s">
        <v>3069</v>
      </c>
      <c r="E2206" t="str">
        <f t="shared" si="34"/>
        <v>Technodom2100098775</v>
      </c>
    </row>
    <row r="2207" spans="1:5" x14ac:dyDescent="0.3">
      <c r="A2207" t="s">
        <v>445</v>
      </c>
      <c r="B2207">
        <v>2100087321</v>
      </c>
      <c r="C2207" t="s">
        <v>1291</v>
      </c>
      <c r="D2207" t="s">
        <v>3070</v>
      </c>
      <c r="E2207" t="str">
        <f t="shared" si="34"/>
        <v>Technodom2100087321</v>
      </c>
    </row>
    <row r="2208" spans="1:5" x14ac:dyDescent="0.3">
      <c r="A2208" t="s">
        <v>445</v>
      </c>
      <c r="B2208">
        <v>2100098779</v>
      </c>
      <c r="C2208" t="s">
        <v>3071</v>
      </c>
      <c r="D2208" t="s">
        <v>3072</v>
      </c>
      <c r="E2208" t="str">
        <f t="shared" si="34"/>
        <v>Technodom2100098779</v>
      </c>
    </row>
    <row r="2209" spans="1:5" x14ac:dyDescent="0.3">
      <c r="A2209" t="s">
        <v>445</v>
      </c>
      <c r="B2209">
        <v>2211400613</v>
      </c>
      <c r="C2209" t="s">
        <v>1179</v>
      </c>
      <c r="D2209" t="s">
        <v>3073</v>
      </c>
      <c r="E2209" t="str">
        <f t="shared" si="34"/>
        <v>Technodom2211400613</v>
      </c>
    </row>
    <row r="2210" spans="1:5" x14ac:dyDescent="0.3">
      <c r="A2210" t="s">
        <v>445</v>
      </c>
      <c r="B2210">
        <v>2211400616</v>
      </c>
      <c r="C2210" t="s">
        <v>3074</v>
      </c>
      <c r="D2210" t="s">
        <v>3075</v>
      </c>
      <c r="E2210" t="str">
        <f t="shared" si="34"/>
        <v>Technodom2211400616</v>
      </c>
    </row>
    <row r="2211" spans="1:5" x14ac:dyDescent="0.3">
      <c r="A2211" t="s">
        <v>445</v>
      </c>
      <c r="B2211">
        <v>1830007725</v>
      </c>
      <c r="C2211" t="s">
        <v>21</v>
      </c>
      <c r="D2211" t="s">
        <v>142</v>
      </c>
      <c r="E2211" t="str">
        <f t="shared" si="34"/>
        <v>Technodom1830007725</v>
      </c>
    </row>
    <row r="2212" spans="1:5" x14ac:dyDescent="0.3">
      <c r="A2212" t="s">
        <v>445</v>
      </c>
      <c r="B2212">
        <v>2211400769</v>
      </c>
      <c r="C2212" t="s">
        <v>1189</v>
      </c>
      <c r="D2212" t="s">
        <v>3076</v>
      </c>
      <c r="E2212" t="str">
        <f t="shared" si="34"/>
        <v>Technodom2211400769</v>
      </c>
    </row>
    <row r="2213" spans="1:5" x14ac:dyDescent="0.3">
      <c r="A2213" t="s">
        <v>445</v>
      </c>
      <c r="B2213">
        <v>1830007138</v>
      </c>
      <c r="C2213" t="s">
        <v>388</v>
      </c>
      <c r="D2213" t="s">
        <v>3077</v>
      </c>
      <c r="E2213" t="str">
        <f t="shared" si="34"/>
        <v>Technodom1830007138</v>
      </c>
    </row>
    <row r="2214" spans="1:5" x14ac:dyDescent="0.3">
      <c r="A2214" t="s">
        <v>445</v>
      </c>
      <c r="B2214">
        <v>1830007909</v>
      </c>
      <c r="C2214" t="s">
        <v>1383</v>
      </c>
      <c r="D2214" t="s">
        <v>3078</v>
      </c>
      <c r="E2214" t="str">
        <f t="shared" si="34"/>
        <v>Technodom1830007909</v>
      </c>
    </row>
    <row r="2215" spans="1:5" x14ac:dyDescent="0.3">
      <c r="A2215" t="s">
        <v>445</v>
      </c>
      <c r="B2215">
        <v>1830007760</v>
      </c>
      <c r="C2215" t="s">
        <v>17</v>
      </c>
      <c r="D2215" t="s">
        <v>141</v>
      </c>
      <c r="E2215" t="str">
        <f t="shared" si="34"/>
        <v>Technodom1830007760</v>
      </c>
    </row>
    <row r="2216" spans="1:5" x14ac:dyDescent="0.3">
      <c r="A2216" t="s">
        <v>445</v>
      </c>
      <c r="B2216">
        <v>1830007515</v>
      </c>
      <c r="C2216" t="s">
        <v>95</v>
      </c>
      <c r="D2216" t="s">
        <v>201</v>
      </c>
      <c r="E2216" t="str">
        <f t="shared" si="34"/>
        <v>Technodom1830007515</v>
      </c>
    </row>
    <row r="2217" spans="1:5" x14ac:dyDescent="0.3">
      <c r="A2217" t="s">
        <v>445</v>
      </c>
      <c r="B2217">
        <v>8000035958</v>
      </c>
      <c r="C2217" t="s">
        <v>1112</v>
      </c>
      <c r="D2217" t="s">
        <v>3079</v>
      </c>
      <c r="E2217" t="str">
        <f t="shared" si="34"/>
        <v>Technodom8000035958</v>
      </c>
    </row>
    <row r="2218" spans="1:5" x14ac:dyDescent="0.3">
      <c r="A2218" t="s">
        <v>445</v>
      </c>
      <c r="B2218">
        <v>7211003977</v>
      </c>
      <c r="C2218" t="s">
        <v>46</v>
      </c>
      <c r="D2218" t="s">
        <v>160</v>
      </c>
      <c r="E2218" t="str">
        <f t="shared" si="34"/>
        <v>Technodom7211003977</v>
      </c>
    </row>
    <row r="2219" spans="1:5" x14ac:dyDescent="0.3">
      <c r="A2219" t="s">
        <v>445</v>
      </c>
      <c r="B2219">
        <v>8010000739</v>
      </c>
      <c r="C2219" t="s">
        <v>1104</v>
      </c>
      <c r="D2219" t="s">
        <v>3080</v>
      </c>
      <c r="E2219" t="str">
        <f t="shared" si="34"/>
        <v>Technodom8010000739</v>
      </c>
    </row>
    <row r="2220" spans="1:5" x14ac:dyDescent="0.3">
      <c r="A2220" t="s">
        <v>445</v>
      </c>
      <c r="B2220">
        <v>7211004030</v>
      </c>
      <c r="C2220" t="s">
        <v>56</v>
      </c>
      <c r="D2220" t="s">
        <v>168</v>
      </c>
      <c r="E2220" t="str">
        <f t="shared" si="34"/>
        <v>Technodom7211004030</v>
      </c>
    </row>
    <row r="2221" spans="1:5" x14ac:dyDescent="0.3">
      <c r="A2221" t="s">
        <v>445</v>
      </c>
      <c r="B2221">
        <v>2211400810</v>
      </c>
      <c r="C2221" t="s">
        <v>25</v>
      </c>
      <c r="D2221" t="s">
        <v>144</v>
      </c>
      <c r="E2221" t="str">
        <f t="shared" si="34"/>
        <v>Technodom2211400810</v>
      </c>
    </row>
    <row r="2222" spans="1:5" x14ac:dyDescent="0.3">
      <c r="A2222" t="s">
        <v>445</v>
      </c>
      <c r="B2222">
        <v>2211400612</v>
      </c>
      <c r="C2222" t="s">
        <v>1177</v>
      </c>
      <c r="D2222" t="s">
        <v>3081</v>
      </c>
      <c r="E2222" t="str">
        <f t="shared" si="34"/>
        <v>Technodom2211400612</v>
      </c>
    </row>
    <row r="2223" spans="1:5" x14ac:dyDescent="0.3">
      <c r="A2223" t="s">
        <v>445</v>
      </c>
      <c r="B2223">
        <v>1830007850</v>
      </c>
      <c r="C2223" t="s">
        <v>1191</v>
      </c>
      <c r="D2223" t="s">
        <v>3082</v>
      </c>
      <c r="E2223" t="str">
        <f t="shared" si="34"/>
        <v>Technodom1830007850</v>
      </c>
    </row>
    <row r="2224" spans="1:5" x14ac:dyDescent="0.3">
      <c r="A2224" t="s">
        <v>445</v>
      </c>
      <c r="B2224">
        <v>2100101961</v>
      </c>
      <c r="C2224" t="s">
        <v>700</v>
      </c>
      <c r="D2224" t="s">
        <v>3083</v>
      </c>
      <c r="E2224" t="str">
        <f t="shared" si="34"/>
        <v>Technodom2100101961</v>
      </c>
    </row>
    <row r="2225" spans="1:5" x14ac:dyDescent="0.3">
      <c r="A2225" t="s">
        <v>445</v>
      </c>
      <c r="B2225">
        <v>7211003827</v>
      </c>
      <c r="C2225" t="s">
        <v>81</v>
      </c>
      <c r="D2225" t="s">
        <v>187</v>
      </c>
      <c r="E2225" t="str">
        <f t="shared" si="34"/>
        <v>Technodom7211003827</v>
      </c>
    </row>
    <row r="2226" spans="1:5" x14ac:dyDescent="0.3">
      <c r="A2226" t="s">
        <v>445</v>
      </c>
      <c r="B2226">
        <v>7211004274</v>
      </c>
      <c r="C2226" t="s">
        <v>53</v>
      </c>
      <c r="D2226" t="s">
        <v>166</v>
      </c>
      <c r="E2226" t="str">
        <f t="shared" si="34"/>
        <v>Technodom7211004274</v>
      </c>
    </row>
    <row r="2227" spans="1:5" x14ac:dyDescent="0.3">
      <c r="A2227" t="s">
        <v>445</v>
      </c>
      <c r="B2227">
        <v>7211004244</v>
      </c>
      <c r="C2227" t="s">
        <v>61</v>
      </c>
      <c r="D2227" t="s">
        <v>173</v>
      </c>
      <c r="E2227" t="str">
        <f t="shared" si="34"/>
        <v>Technodom7211004244</v>
      </c>
    </row>
    <row r="2228" spans="1:5" x14ac:dyDescent="0.3">
      <c r="A2228" t="s">
        <v>445</v>
      </c>
      <c r="B2228">
        <v>1510001750</v>
      </c>
      <c r="C2228" t="s">
        <v>1148</v>
      </c>
      <c r="D2228" t="s">
        <v>3084</v>
      </c>
      <c r="E2228" t="str">
        <f t="shared" si="34"/>
        <v>Technodom1510001750</v>
      </c>
    </row>
    <row r="2229" spans="1:5" x14ac:dyDescent="0.3">
      <c r="A2229" t="s">
        <v>445</v>
      </c>
      <c r="B2229">
        <v>1510001751</v>
      </c>
      <c r="C2229" t="s">
        <v>3085</v>
      </c>
      <c r="D2229" t="s">
        <v>3086</v>
      </c>
      <c r="E2229" t="str">
        <f t="shared" si="34"/>
        <v>Technodom1510001751</v>
      </c>
    </row>
    <row r="2230" spans="1:5" x14ac:dyDescent="0.3">
      <c r="A2230" t="s">
        <v>445</v>
      </c>
      <c r="B2230">
        <v>7211003234</v>
      </c>
      <c r="C2230" t="s">
        <v>925</v>
      </c>
      <c r="D2230" t="s">
        <v>3087</v>
      </c>
      <c r="E2230" t="str">
        <f t="shared" si="34"/>
        <v>Technodom7211003234</v>
      </c>
    </row>
    <row r="2231" spans="1:5" x14ac:dyDescent="0.3">
      <c r="A2231" t="s">
        <v>445</v>
      </c>
      <c r="B2231">
        <v>2100098778</v>
      </c>
      <c r="C2231" t="s">
        <v>3088</v>
      </c>
      <c r="D2231" t="s">
        <v>3089</v>
      </c>
      <c r="E2231" t="str">
        <f t="shared" si="34"/>
        <v>Technodom2100098778</v>
      </c>
    </row>
    <row r="2232" spans="1:5" x14ac:dyDescent="0.3">
      <c r="A2232" t="s">
        <v>445</v>
      </c>
      <c r="B2232">
        <v>8000035848</v>
      </c>
      <c r="C2232" t="s">
        <v>3090</v>
      </c>
      <c r="D2232" t="s">
        <v>3091</v>
      </c>
      <c r="E2232" t="str">
        <f t="shared" si="34"/>
        <v>Technodom8000035848</v>
      </c>
    </row>
    <row r="2233" spans="1:5" x14ac:dyDescent="0.3">
      <c r="A2233" t="s">
        <v>445</v>
      </c>
      <c r="B2233">
        <v>2100119132</v>
      </c>
      <c r="C2233" t="s">
        <v>3092</v>
      </c>
      <c r="D2233" t="s">
        <v>3093</v>
      </c>
      <c r="E2233" t="str">
        <f t="shared" si="34"/>
        <v>Technodom2100119132</v>
      </c>
    </row>
    <row r="2234" spans="1:5" x14ac:dyDescent="0.3">
      <c r="A2234" t="s">
        <v>445</v>
      </c>
      <c r="B2234">
        <v>2100118288</v>
      </c>
      <c r="C2234" t="s">
        <v>87</v>
      </c>
      <c r="D2234" t="s">
        <v>193</v>
      </c>
      <c r="E2234" t="str">
        <f t="shared" si="34"/>
        <v>Technodom2100118288</v>
      </c>
    </row>
    <row r="2235" spans="1:5" x14ac:dyDescent="0.3">
      <c r="A2235" t="s">
        <v>445</v>
      </c>
      <c r="B2235">
        <v>2100118289</v>
      </c>
      <c r="C2235" t="s">
        <v>88</v>
      </c>
      <c r="D2235" t="s">
        <v>194</v>
      </c>
      <c r="E2235" t="str">
        <f t="shared" si="34"/>
        <v>Technodom2100118289</v>
      </c>
    </row>
    <row r="2236" spans="1:5" x14ac:dyDescent="0.3">
      <c r="A2236" t="s">
        <v>445</v>
      </c>
      <c r="B2236">
        <v>2100118290</v>
      </c>
      <c r="C2236" t="s">
        <v>89</v>
      </c>
      <c r="D2236" t="s">
        <v>195</v>
      </c>
      <c r="E2236" t="str">
        <f t="shared" si="34"/>
        <v>Technodom2100118290</v>
      </c>
    </row>
    <row r="2237" spans="1:5" x14ac:dyDescent="0.3">
      <c r="A2237" t="s">
        <v>445</v>
      </c>
      <c r="B2237">
        <v>2100118286</v>
      </c>
      <c r="C2237" t="s">
        <v>90</v>
      </c>
      <c r="D2237" t="s">
        <v>196</v>
      </c>
      <c r="E2237" t="str">
        <f t="shared" si="34"/>
        <v>Technodom2100118286</v>
      </c>
    </row>
    <row r="2238" spans="1:5" x14ac:dyDescent="0.3">
      <c r="A2238" t="s">
        <v>445</v>
      </c>
      <c r="B2238">
        <v>2100118321</v>
      </c>
      <c r="C2238" t="s">
        <v>91</v>
      </c>
      <c r="D2238" t="s">
        <v>197</v>
      </c>
      <c r="E2238" t="str">
        <f t="shared" si="34"/>
        <v>Technodom2100118321</v>
      </c>
    </row>
    <row r="2239" spans="1:5" x14ac:dyDescent="0.3">
      <c r="A2239" t="s">
        <v>445</v>
      </c>
      <c r="B2239">
        <v>2100118302</v>
      </c>
      <c r="C2239" t="s">
        <v>3094</v>
      </c>
      <c r="D2239" t="s">
        <v>3095</v>
      </c>
      <c r="E2239" t="str">
        <f t="shared" si="34"/>
        <v>Technodom2100118302</v>
      </c>
    </row>
    <row r="2240" spans="1:5" x14ac:dyDescent="0.3">
      <c r="A2240" t="s">
        <v>445</v>
      </c>
      <c r="B2240">
        <v>2100118310</v>
      </c>
      <c r="C2240" t="s">
        <v>1201</v>
      </c>
      <c r="D2240" t="s">
        <v>3096</v>
      </c>
      <c r="E2240" t="str">
        <f t="shared" si="34"/>
        <v>Technodom2100118310</v>
      </c>
    </row>
    <row r="2241" spans="1:5" x14ac:dyDescent="0.3">
      <c r="A2241" t="s">
        <v>445</v>
      </c>
      <c r="B2241">
        <v>2100118311</v>
      </c>
      <c r="C2241" t="s">
        <v>1203</v>
      </c>
      <c r="D2241" t="s">
        <v>3097</v>
      </c>
      <c r="E2241" t="str">
        <f t="shared" si="34"/>
        <v>Technodom2100118311</v>
      </c>
    </row>
    <row r="2242" spans="1:5" x14ac:dyDescent="0.3">
      <c r="A2242" t="s">
        <v>445</v>
      </c>
      <c r="B2242">
        <v>2100118312</v>
      </c>
      <c r="C2242" t="s">
        <v>1205</v>
      </c>
      <c r="D2242" t="s">
        <v>3098</v>
      </c>
      <c r="E2242" t="str">
        <f t="shared" si="34"/>
        <v>Technodom2100118312</v>
      </c>
    </row>
    <row r="2243" spans="1:5" x14ac:dyDescent="0.3">
      <c r="A2243" t="s">
        <v>445</v>
      </c>
      <c r="B2243">
        <v>2100118309</v>
      </c>
      <c r="C2243" t="s">
        <v>2161</v>
      </c>
      <c r="D2243" t="s">
        <v>3099</v>
      </c>
      <c r="E2243" t="str">
        <f t="shared" ref="E2243:E2306" si="35">A2243&amp;B2243</f>
        <v>Technodom2100118309</v>
      </c>
    </row>
    <row r="2244" spans="1:5" x14ac:dyDescent="0.3">
      <c r="A2244" t="s">
        <v>445</v>
      </c>
      <c r="B2244">
        <v>2100118320</v>
      </c>
      <c r="C2244" t="s">
        <v>1207</v>
      </c>
      <c r="D2244" t="s">
        <v>3100</v>
      </c>
      <c r="E2244" t="str">
        <f t="shared" si="35"/>
        <v>Technodom2100118320</v>
      </c>
    </row>
    <row r="2245" spans="1:5" x14ac:dyDescent="0.3">
      <c r="A2245" t="s">
        <v>445</v>
      </c>
      <c r="B2245">
        <v>1830007699</v>
      </c>
      <c r="C2245" t="s">
        <v>3101</v>
      </c>
      <c r="D2245" t="s">
        <v>3102</v>
      </c>
      <c r="E2245" t="str">
        <f t="shared" si="35"/>
        <v>Technodom1830007699</v>
      </c>
    </row>
    <row r="2246" spans="1:5" x14ac:dyDescent="0.3">
      <c r="A2246" t="s">
        <v>445</v>
      </c>
      <c r="B2246">
        <v>1500578361</v>
      </c>
      <c r="C2246" t="s">
        <v>2355</v>
      </c>
      <c r="D2246" t="s">
        <v>3103</v>
      </c>
      <c r="E2246" t="str">
        <f t="shared" si="35"/>
        <v>Technodom1500578361</v>
      </c>
    </row>
    <row r="2247" spans="1:5" x14ac:dyDescent="0.3">
      <c r="A2247" t="s">
        <v>445</v>
      </c>
      <c r="B2247">
        <v>2210019195</v>
      </c>
      <c r="C2247" t="s">
        <v>1986</v>
      </c>
      <c r="D2247" t="s">
        <v>3104</v>
      </c>
      <c r="E2247" t="str">
        <f t="shared" si="35"/>
        <v>Technodom2210019195</v>
      </c>
    </row>
    <row r="2248" spans="1:5" x14ac:dyDescent="0.3">
      <c r="A2248" t="s">
        <v>445</v>
      </c>
      <c r="B2248">
        <v>2211400482</v>
      </c>
      <c r="C2248" t="s">
        <v>1507</v>
      </c>
      <c r="D2248" t="s">
        <v>3105</v>
      </c>
      <c r="E2248" t="str">
        <f t="shared" si="35"/>
        <v>Technodom2211400482</v>
      </c>
    </row>
    <row r="2249" spans="1:5" x14ac:dyDescent="0.3">
      <c r="A2249" t="s">
        <v>445</v>
      </c>
      <c r="B2249">
        <v>2211400764</v>
      </c>
      <c r="C2249" t="s">
        <v>1505</v>
      </c>
      <c r="D2249" t="s">
        <v>3106</v>
      </c>
      <c r="E2249" t="str">
        <f t="shared" si="35"/>
        <v>Technodom2211400764</v>
      </c>
    </row>
    <row r="2250" spans="1:5" x14ac:dyDescent="0.3">
      <c r="A2250" t="s">
        <v>445</v>
      </c>
      <c r="B2250">
        <v>2211400513</v>
      </c>
      <c r="C2250" t="s">
        <v>3107</v>
      </c>
      <c r="D2250" t="s">
        <v>3108</v>
      </c>
      <c r="E2250" t="str">
        <f t="shared" si="35"/>
        <v>Technodom2211400513</v>
      </c>
    </row>
    <row r="2251" spans="1:5" x14ac:dyDescent="0.3">
      <c r="A2251" t="s">
        <v>445</v>
      </c>
      <c r="B2251">
        <v>2211400514</v>
      </c>
      <c r="C2251" t="s">
        <v>3109</v>
      </c>
      <c r="D2251" t="s">
        <v>3110</v>
      </c>
      <c r="E2251" t="str">
        <f t="shared" si="35"/>
        <v>Technodom2211400514</v>
      </c>
    </row>
    <row r="2252" spans="1:5" x14ac:dyDescent="0.3">
      <c r="A2252" t="s">
        <v>445</v>
      </c>
      <c r="B2252">
        <v>2211400515</v>
      </c>
      <c r="C2252" t="s">
        <v>3111</v>
      </c>
      <c r="D2252" t="s">
        <v>3112</v>
      </c>
      <c r="E2252" t="str">
        <f t="shared" si="35"/>
        <v>Technodom2211400515</v>
      </c>
    </row>
    <row r="2253" spans="1:5" x14ac:dyDescent="0.3">
      <c r="A2253" t="s">
        <v>445</v>
      </c>
      <c r="B2253">
        <v>2211400487</v>
      </c>
      <c r="C2253" t="s">
        <v>3113</v>
      </c>
      <c r="D2253" t="s">
        <v>3114</v>
      </c>
      <c r="E2253" t="str">
        <f t="shared" si="35"/>
        <v>Technodom2211400487</v>
      </c>
    </row>
    <row r="2254" spans="1:5" x14ac:dyDescent="0.3">
      <c r="A2254" t="s">
        <v>445</v>
      </c>
      <c r="B2254">
        <v>2211400344</v>
      </c>
      <c r="C2254" t="s">
        <v>1511</v>
      </c>
      <c r="D2254" t="s">
        <v>3115</v>
      </c>
      <c r="E2254" t="str">
        <f t="shared" si="35"/>
        <v>Technodom2211400344</v>
      </c>
    </row>
    <row r="2255" spans="1:5" x14ac:dyDescent="0.3">
      <c r="A2255" t="s">
        <v>445</v>
      </c>
      <c r="B2255">
        <v>2211400546</v>
      </c>
      <c r="C2255" t="s">
        <v>3116</v>
      </c>
      <c r="D2255" t="s">
        <v>3117</v>
      </c>
      <c r="E2255" t="str">
        <f t="shared" si="35"/>
        <v>Technodom2211400546</v>
      </c>
    </row>
    <row r="2256" spans="1:5" x14ac:dyDescent="0.3">
      <c r="A2256" t="s">
        <v>445</v>
      </c>
      <c r="B2256">
        <v>2211400685</v>
      </c>
      <c r="C2256" t="s">
        <v>3118</v>
      </c>
      <c r="D2256" t="s">
        <v>3119</v>
      </c>
      <c r="E2256" t="str">
        <f t="shared" si="35"/>
        <v>Technodom2211400685</v>
      </c>
    </row>
    <row r="2257" spans="1:5" x14ac:dyDescent="0.3">
      <c r="A2257" t="s">
        <v>445</v>
      </c>
      <c r="B2257">
        <v>2211400744</v>
      </c>
      <c r="C2257" t="s">
        <v>2324</v>
      </c>
      <c r="D2257" t="s">
        <v>3120</v>
      </c>
      <c r="E2257" t="str">
        <f t="shared" si="35"/>
        <v>Technodom2211400744</v>
      </c>
    </row>
    <row r="2258" spans="1:5" x14ac:dyDescent="0.3">
      <c r="A2258" t="s">
        <v>445</v>
      </c>
      <c r="B2258">
        <v>2211400350</v>
      </c>
      <c r="C2258" t="s">
        <v>2327</v>
      </c>
      <c r="D2258" t="s">
        <v>3121</v>
      </c>
      <c r="E2258" t="str">
        <f t="shared" si="35"/>
        <v>Technodom2211400350</v>
      </c>
    </row>
    <row r="2259" spans="1:5" x14ac:dyDescent="0.3">
      <c r="A2259" t="s">
        <v>445</v>
      </c>
      <c r="B2259">
        <v>2211400743</v>
      </c>
      <c r="C2259" t="s">
        <v>2329</v>
      </c>
      <c r="D2259" t="s">
        <v>3122</v>
      </c>
      <c r="E2259" t="str">
        <f t="shared" si="35"/>
        <v>Technodom2211400743</v>
      </c>
    </row>
    <row r="2260" spans="1:5" x14ac:dyDescent="0.3">
      <c r="A2260" t="s">
        <v>445</v>
      </c>
      <c r="B2260">
        <v>1600005144</v>
      </c>
      <c r="C2260" t="s">
        <v>1603</v>
      </c>
      <c r="D2260" t="s">
        <v>3123</v>
      </c>
      <c r="E2260" t="str">
        <f t="shared" si="35"/>
        <v>Technodom1600005144</v>
      </c>
    </row>
    <row r="2261" spans="1:5" x14ac:dyDescent="0.3">
      <c r="A2261" t="s">
        <v>445</v>
      </c>
      <c r="B2261">
        <v>1830003934</v>
      </c>
      <c r="C2261" t="s">
        <v>921</v>
      </c>
      <c r="D2261" t="s">
        <v>3124</v>
      </c>
      <c r="E2261" t="str">
        <f t="shared" si="35"/>
        <v>Technodom1830003934</v>
      </c>
    </row>
    <row r="2262" spans="1:5" x14ac:dyDescent="0.3">
      <c r="A2262" t="s">
        <v>445</v>
      </c>
      <c r="B2262">
        <v>1830006273</v>
      </c>
      <c r="C2262" t="s">
        <v>704</v>
      </c>
      <c r="D2262" t="s">
        <v>3125</v>
      </c>
      <c r="E2262" t="str">
        <f t="shared" si="35"/>
        <v>Technodom1830006273</v>
      </c>
    </row>
    <row r="2263" spans="1:5" x14ac:dyDescent="0.3">
      <c r="A2263" t="s">
        <v>445</v>
      </c>
      <c r="B2263">
        <v>2100098781</v>
      </c>
      <c r="C2263" t="s">
        <v>3126</v>
      </c>
      <c r="D2263" t="s">
        <v>3127</v>
      </c>
      <c r="E2263" t="str">
        <f t="shared" si="35"/>
        <v>Technodom2100098781</v>
      </c>
    </row>
    <row r="2264" spans="1:5" x14ac:dyDescent="0.3">
      <c r="A2264" t="s">
        <v>445</v>
      </c>
      <c r="B2264">
        <v>2100098777</v>
      </c>
      <c r="C2264" t="s">
        <v>3128</v>
      </c>
      <c r="D2264" t="s">
        <v>3129</v>
      </c>
      <c r="E2264" t="str">
        <f t="shared" si="35"/>
        <v>Technodom2100098777</v>
      </c>
    </row>
    <row r="2265" spans="1:5" x14ac:dyDescent="0.3">
      <c r="A2265" t="s">
        <v>445</v>
      </c>
      <c r="B2265">
        <v>2100119894</v>
      </c>
      <c r="C2265" t="s">
        <v>3130</v>
      </c>
      <c r="D2265" t="s">
        <v>3131</v>
      </c>
      <c r="E2265" t="str">
        <f t="shared" si="35"/>
        <v>Technodom2100119894</v>
      </c>
    </row>
    <row r="2266" spans="1:5" x14ac:dyDescent="0.3">
      <c r="A2266" t="s">
        <v>445</v>
      </c>
      <c r="B2266">
        <v>2100118285</v>
      </c>
      <c r="C2266" t="s">
        <v>92</v>
      </c>
      <c r="D2266" t="s">
        <v>198</v>
      </c>
      <c r="E2266" t="str">
        <f t="shared" si="35"/>
        <v>Technodom2100118285</v>
      </c>
    </row>
    <row r="2267" spans="1:5" x14ac:dyDescent="0.3">
      <c r="A2267" t="s">
        <v>445</v>
      </c>
      <c r="B2267">
        <v>2100118307</v>
      </c>
      <c r="C2267" t="s">
        <v>1209</v>
      </c>
      <c r="D2267" t="s">
        <v>3132</v>
      </c>
      <c r="E2267" t="str">
        <f t="shared" si="35"/>
        <v>Technodom2100118307</v>
      </c>
    </row>
    <row r="2268" spans="1:5" x14ac:dyDescent="0.3">
      <c r="A2268" t="s">
        <v>445</v>
      </c>
      <c r="B2268">
        <v>1600004056</v>
      </c>
      <c r="C2268" t="s">
        <v>3133</v>
      </c>
      <c r="D2268" t="s">
        <v>3134</v>
      </c>
      <c r="E2268" t="str">
        <f t="shared" si="35"/>
        <v>Technodom1600004056</v>
      </c>
    </row>
    <row r="2269" spans="1:5" x14ac:dyDescent="0.3">
      <c r="A2269" t="s">
        <v>445</v>
      </c>
      <c r="B2269">
        <v>2100118463</v>
      </c>
      <c r="C2269" t="s">
        <v>3135</v>
      </c>
      <c r="D2269" t="s">
        <v>3136</v>
      </c>
      <c r="E2269" t="str">
        <f t="shared" si="35"/>
        <v>Technodom2100118463</v>
      </c>
    </row>
    <row r="2270" spans="1:5" x14ac:dyDescent="0.3">
      <c r="A2270" t="s">
        <v>445</v>
      </c>
      <c r="B2270">
        <v>2211400886</v>
      </c>
      <c r="C2270" t="s">
        <v>1128</v>
      </c>
      <c r="D2270" t="s">
        <v>3137</v>
      </c>
      <c r="E2270" t="str">
        <f t="shared" si="35"/>
        <v>Technodom2211400886</v>
      </c>
    </row>
    <row r="2271" spans="1:5" x14ac:dyDescent="0.3">
      <c r="A2271" t="s">
        <v>445</v>
      </c>
      <c r="B2271">
        <v>2100113162</v>
      </c>
      <c r="C2271" t="s">
        <v>83</v>
      </c>
      <c r="D2271" t="s">
        <v>190</v>
      </c>
      <c r="E2271" t="str">
        <f t="shared" si="35"/>
        <v>Technodom2100113162</v>
      </c>
    </row>
    <row r="2272" spans="1:5" x14ac:dyDescent="0.3">
      <c r="A2272" t="s">
        <v>445</v>
      </c>
      <c r="B2272">
        <v>7211001963</v>
      </c>
      <c r="C2272" t="s">
        <v>3138</v>
      </c>
      <c r="D2272" t="s">
        <v>3139</v>
      </c>
      <c r="E2272" t="str">
        <f t="shared" si="35"/>
        <v>Technodom7211001963</v>
      </c>
    </row>
    <row r="2273" spans="1:5" x14ac:dyDescent="0.3">
      <c r="A2273" t="s">
        <v>445</v>
      </c>
      <c r="B2273">
        <v>7211003203</v>
      </c>
      <c r="C2273" t="s">
        <v>3140</v>
      </c>
      <c r="D2273" t="s">
        <v>3141</v>
      </c>
      <c r="E2273" t="str">
        <f t="shared" si="35"/>
        <v>Technodom7211003203</v>
      </c>
    </row>
    <row r="2274" spans="1:5" x14ac:dyDescent="0.3">
      <c r="A2274" t="s">
        <v>445</v>
      </c>
      <c r="B2274">
        <v>7211003681</v>
      </c>
      <c r="C2274" t="s">
        <v>3142</v>
      </c>
      <c r="D2274" t="s">
        <v>3143</v>
      </c>
      <c r="E2274" t="str">
        <f t="shared" si="35"/>
        <v>Technodom7211003681</v>
      </c>
    </row>
    <row r="2275" spans="1:5" x14ac:dyDescent="0.3">
      <c r="A2275" t="s">
        <v>445</v>
      </c>
      <c r="B2275">
        <v>7211003574</v>
      </c>
      <c r="C2275" t="s">
        <v>3144</v>
      </c>
      <c r="D2275" t="s">
        <v>3145</v>
      </c>
      <c r="E2275" t="str">
        <f t="shared" si="35"/>
        <v>Technodom7211003574</v>
      </c>
    </row>
    <row r="2276" spans="1:5" x14ac:dyDescent="0.3">
      <c r="A2276" t="s">
        <v>445</v>
      </c>
      <c r="B2276">
        <v>1110031344</v>
      </c>
      <c r="C2276" t="s">
        <v>1086</v>
      </c>
      <c r="D2276" t="s">
        <v>3146</v>
      </c>
      <c r="E2276" t="str">
        <f t="shared" si="35"/>
        <v>Technodom1110031344</v>
      </c>
    </row>
    <row r="2277" spans="1:5" x14ac:dyDescent="0.3">
      <c r="A2277" t="s">
        <v>445</v>
      </c>
      <c r="B2277">
        <v>7211004078</v>
      </c>
      <c r="C2277" t="s">
        <v>43</v>
      </c>
      <c r="D2277" t="s">
        <v>158</v>
      </c>
      <c r="E2277" t="str">
        <f t="shared" si="35"/>
        <v>Technodom7211004078</v>
      </c>
    </row>
    <row r="2278" spans="1:5" x14ac:dyDescent="0.3">
      <c r="A2278" t="s">
        <v>445</v>
      </c>
      <c r="B2278">
        <v>7211003484</v>
      </c>
      <c r="C2278" t="s">
        <v>1842</v>
      </c>
      <c r="D2278" t="s">
        <v>3147</v>
      </c>
      <c r="E2278" t="str">
        <f t="shared" si="35"/>
        <v>Technodom7211003484</v>
      </c>
    </row>
    <row r="2279" spans="1:5" x14ac:dyDescent="0.3">
      <c r="A2279" t="s">
        <v>445</v>
      </c>
      <c r="B2279">
        <v>7211004283</v>
      </c>
      <c r="C2279" t="s">
        <v>1844</v>
      </c>
      <c r="D2279" t="s">
        <v>3148</v>
      </c>
      <c r="E2279" t="str">
        <f t="shared" si="35"/>
        <v>Technodom7211004283</v>
      </c>
    </row>
    <row r="2280" spans="1:5" x14ac:dyDescent="0.3">
      <c r="A2280" t="s">
        <v>445</v>
      </c>
      <c r="B2280">
        <v>7211001147</v>
      </c>
      <c r="C2280" t="s">
        <v>3149</v>
      </c>
      <c r="D2280" t="s">
        <v>3150</v>
      </c>
      <c r="E2280" t="str">
        <f t="shared" si="35"/>
        <v>Technodom7211001147</v>
      </c>
    </row>
    <row r="2281" spans="1:5" x14ac:dyDescent="0.3">
      <c r="A2281" t="s">
        <v>445</v>
      </c>
      <c r="B2281">
        <v>7211004057</v>
      </c>
      <c r="C2281" t="s">
        <v>2434</v>
      </c>
      <c r="D2281" t="s">
        <v>3151</v>
      </c>
      <c r="E2281" t="str">
        <f t="shared" si="35"/>
        <v>Technodom7211004057</v>
      </c>
    </row>
    <row r="2282" spans="1:5" x14ac:dyDescent="0.3">
      <c r="A2282" t="s">
        <v>445</v>
      </c>
      <c r="B2282">
        <v>2100098774</v>
      </c>
      <c r="C2282" t="s">
        <v>3152</v>
      </c>
      <c r="D2282" t="s">
        <v>3153</v>
      </c>
      <c r="E2282" t="str">
        <f t="shared" si="35"/>
        <v>Technodom2100098774</v>
      </c>
    </row>
    <row r="2283" spans="1:5" x14ac:dyDescent="0.3">
      <c r="A2283" t="s">
        <v>445</v>
      </c>
      <c r="B2283">
        <v>2100119162</v>
      </c>
      <c r="C2283" t="s">
        <v>3154</v>
      </c>
      <c r="D2283" t="s">
        <v>3155</v>
      </c>
      <c r="E2283" t="str">
        <f t="shared" si="35"/>
        <v>Technodom2100119162</v>
      </c>
    </row>
    <row r="2284" spans="1:5" x14ac:dyDescent="0.3">
      <c r="A2284" t="s">
        <v>445</v>
      </c>
      <c r="B2284">
        <v>2211400650</v>
      </c>
      <c r="C2284" t="s">
        <v>431</v>
      </c>
      <c r="D2284" t="s">
        <v>3156</v>
      </c>
      <c r="E2284" t="str">
        <f t="shared" si="35"/>
        <v>Technodom2211400650</v>
      </c>
    </row>
    <row r="2285" spans="1:5" x14ac:dyDescent="0.3">
      <c r="A2285" t="s">
        <v>445</v>
      </c>
      <c r="B2285">
        <v>1600005120</v>
      </c>
      <c r="C2285" t="s">
        <v>2340</v>
      </c>
      <c r="D2285" t="s">
        <v>3157</v>
      </c>
      <c r="E2285" t="str">
        <f t="shared" si="35"/>
        <v>Technodom1600005120</v>
      </c>
    </row>
    <row r="2286" spans="1:5" x14ac:dyDescent="0.3">
      <c r="A2286" t="s">
        <v>445</v>
      </c>
      <c r="B2286">
        <v>1600005372</v>
      </c>
      <c r="C2286" t="s">
        <v>2342</v>
      </c>
      <c r="D2286" t="s">
        <v>3158</v>
      </c>
      <c r="E2286" t="str">
        <f t="shared" si="35"/>
        <v>Technodom1600005372</v>
      </c>
    </row>
    <row r="2287" spans="1:5" x14ac:dyDescent="0.3">
      <c r="A2287" t="s">
        <v>445</v>
      </c>
      <c r="B2287">
        <v>1830007756</v>
      </c>
      <c r="C2287" t="s">
        <v>1504</v>
      </c>
      <c r="D2287" t="s">
        <v>143</v>
      </c>
      <c r="E2287" t="str">
        <f t="shared" si="35"/>
        <v>Technodom1830007756</v>
      </c>
    </row>
    <row r="2288" spans="1:5" x14ac:dyDescent="0.3">
      <c r="A2288" t="s">
        <v>445</v>
      </c>
      <c r="B2288">
        <v>3100504231</v>
      </c>
      <c r="C2288">
        <v>504231</v>
      </c>
      <c r="D2288" t="s">
        <v>3159</v>
      </c>
      <c r="E2288" t="str">
        <f t="shared" si="35"/>
        <v>Technodom3100504231</v>
      </c>
    </row>
    <row r="2289" spans="1:5" x14ac:dyDescent="0.3">
      <c r="A2289" t="s">
        <v>445</v>
      </c>
      <c r="B2289">
        <v>3100000002</v>
      </c>
      <c r="C2289">
        <v>618101600</v>
      </c>
      <c r="D2289" t="s">
        <v>3160</v>
      </c>
      <c r="E2289" t="str">
        <f t="shared" si="35"/>
        <v>Technodom3100000002</v>
      </c>
    </row>
    <row r="2290" spans="1:5" x14ac:dyDescent="0.3">
      <c r="A2290" t="s">
        <v>445</v>
      </c>
      <c r="B2290">
        <v>3100000004</v>
      </c>
      <c r="C2290">
        <v>618501600</v>
      </c>
      <c r="D2290" t="s">
        <v>3161</v>
      </c>
      <c r="E2290" t="str">
        <f t="shared" si="35"/>
        <v>Technodom3100000004</v>
      </c>
    </row>
    <row r="2291" spans="1:5" x14ac:dyDescent="0.3">
      <c r="A2291" t="s">
        <v>445</v>
      </c>
      <c r="B2291">
        <v>2100118459</v>
      </c>
      <c r="C2291" t="s">
        <v>3162</v>
      </c>
      <c r="D2291" t="s">
        <v>3163</v>
      </c>
      <c r="E2291" t="str">
        <f t="shared" si="35"/>
        <v>Technodom2100118459</v>
      </c>
    </row>
    <row r="2292" spans="1:5" x14ac:dyDescent="0.3">
      <c r="A2292" t="s">
        <v>445</v>
      </c>
      <c r="B2292">
        <v>2211400825</v>
      </c>
      <c r="C2292" t="s">
        <v>1277</v>
      </c>
      <c r="D2292" t="s">
        <v>3164</v>
      </c>
      <c r="E2292" t="str">
        <f t="shared" si="35"/>
        <v>Technodom2211400825</v>
      </c>
    </row>
    <row r="2293" spans="1:5" x14ac:dyDescent="0.3">
      <c r="A2293" t="s">
        <v>445</v>
      </c>
      <c r="B2293">
        <v>2211400888</v>
      </c>
      <c r="C2293" t="s">
        <v>38</v>
      </c>
      <c r="D2293" t="s">
        <v>3165</v>
      </c>
      <c r="E2293" t="str">
        <f t="shared" si="35"/>
        <v>Technodom2211400888</v>
      </c>
    </row>
    <row r="2294" spans="1:5" x14ac:dyDescent="0.3">
      <c r="A2294" t="s">
        <v>445</v>
      </c>
      <c r="B2294">
        <v>3100508950</v>
      </c>
      <c r="C2294">
        <v>508950</v>
      </c>
      <c r="D2294" t="s">
        <v>3166</v>
      </c>
      <c r="E2294" t="str">
        <f t="shared" si="35"/>
        <v>Technodom3100508950</v>
      </c>
    </row>
    <row r="2295" spans="1:5" x14ac:dyDescent="0.3">
      <c r="A2295" t="s">
        <v>445</v>
      </c>
      <c r="B2295">
        <v>7211002511</v>
      </c>
      <c r="C2295" t="s">
        <v>3167</v>
      </c>
      <c r="D2295" t="s">
        <v>3168</v>
      </c>
      <c r="E2295" t="str">
        <f t="shared" si="35"/>
        <v>Technodom7211002511</v>
      </c>
    </row>
    <row r="2296" spans="1:5" x14ac:dyDescent="0.3">
      <c r="A2296" t="s">
        <v>445</v>
      </c>
      <c r="B2296">
        <v>7211003998</v>
      </c>
      <c r="C2296" t="s">
        <v>2416</v>
      </c>
      <c r="D2296" t="s">
        <v>3169</v>
      </c>
      <c r="E2296" t="str">
        <f t="shared" si="35"/>
        <v>Technodom7211003998</v>
      </c>
    </row>
    <row r="2297" spans="1:5" x14ac:dyDescent="0.3">
      <c r="A2297" t="s">
        <v>445</v>
      </c>
      <c r="B2297">
        <v>2100118263</v>
      </c>
      <c r="C2297" t="s">
        <v>3170</v>
      </c>
      <c r="D2297" t="s">
        <v>3171</v>
      </c>
      <c r="E2297" t="str">
        <f t="shared" si="35"/>
        <v>Technodom2100118263</v>
      </c>
    </row>
    <row r="2298" spans="1:5" x14ac:dyDescent="0.3">
      <c r="A2298" t="s">
        <v>445</v>
      </c>
      <c r="B2298">
        <v>2100118264</v>
      </c>
      <c r="C2298" t="s">
        <v>3172</v>
      </c>
      <c r="D2298" t="s">
        <v>3173</v>
      </c>
      <c r="E2298" t="str">
        <f t="shared" si="35"/>
        <v>Technodom2100118264</v>
      </c>
    </row>
    <row r="2299" spans="1:5" x14ac:dyDescent="0.3">
      <c r="A2299" t="s">
        <v>445</v>
      </c>
      <c r="B2299">
        <v>2100118265</v>
      </c>
      <c r="C2299" t="s">
        <v>3174</v>
      </c>
      <c r="D2299" t="s">
        <v>3175</v>
      </c>
      <c r="E2299" t="str">
        <f t="shared" si="35"/>
        <v>Technodom2100118265</v>
      </c>
    </row>
    <row r="2300" spans="1:5" x14ac:dyDescent="0.3">
      <c r="A2300" t="s">
        <v>445</v>
      </c>
      <c r="B2300">
        <v>2100118262</v>
      </c>
      <c r="C2300" t="s">
        <v>3176</v>
      </c>
      <c r="D2300" t="s">
        <v>3177</v>
      </c>
      <c r="E2300" t="str">
        <f t="shared" si="35"/>
        <v>Technodom2100118262</v>
      </c>
    </row>
    <row r="2301" spans="1:5" x14ac:dyDescent="0.3">
      <c r="A2301" t="s">
        <v>445</v>
      </c>
      <c r="B2301">
        <v>2211400757</v>
      </c>
      <c r="C2301" t="s">
        <v>1988</v>
      </c>
      <c r="D2301" t="s">
        <v>3178</v>
      </c>
      <c r="E2301" t="str">
        <f t="shared" si="35"/>
        <v>Technodom2211400757</v>
      </c>
    </row>
    <row r="2302" spans="1:5" x14ac:dyDescent="0.3">
      <c r="A2302" t="s">
        <v>445</v>
      </c>
      <c r="B2302">
        <v>2211400762</v>
      </c>
      <c r="C2302" t="s">
        <v>2171</v>
      </c>
      <c r="D2302" t="s">
        <v>3179</v>
      </c>
      <c r="E2302" t="str">
        <f t="shared" si="35"/>
        <v>Technodom2211400762</v>
      </c>
    </row>
    <row r="2303" spans="1:5" x14ac:dyDescent="0.3">
      <c r="A2303" t="s">
        <v>445</v>
      </c>
      <c r="B2303">
        <v>2211400928</v>
      </c>
      <c r="C2303" t="s">
        <v>1781</v>
      </c>
      <c r="D2303" t="s">
        <v>3180</v>
      </c>
      <c r="E2303" t="str">
        <f t="shared" si="35"/>
        <v>Technodom2211400928</v>
      </c>
    </row>
    <row r="2304" spans="1:5" x14ac:dyDescent="0.3">
      <c r="A2304" t="s">
        <v>445</v>
      </c>
      <c r="B2304">
        <v>8010000724</v>
      </c>
      <c r="C2304" t="s">
        <v>1283</v>
      </c>
      <c r="D2304" t="s">
        <v>3181</v>
      </c>
      <c r="E2304" t="str">
        <f t="shared" si="35"/>
        <v>Technodom8010000724</v>
      </c>
    </row>
    <row r="2305" spans="1:5" x14ac:dyDescent="0.3">
      <c r="A2305" t="s">
        <v>445</v>
      </c>
      <c r="B2305">
        <v>7211003769</v>
      </c>
      <c r="C2305" t="s">
        <v>2468</v>
      </c>
      <c r="D2305" t="s">
        <v>3182</v>
      </c>
      <c r="E2305" t="str">
        <f t="shared" si="35"/>
        <v>Technodom7211003769</v>
      </c>
    </row>
    <row r="2306" spans="1:5" x14ac:dyDescent="0.3">
      <c r="A2306" t="s">
        <v>445</v>
      </c>
      <c r="B2306">
        <v>1510001848</v>
      </c>
      <c r="C2306" t="s">
        <v>1898</v>
      </c>
      <c r="D2306" t="s">
        <v>3183</v>
      </c>
      <c r="E2306" t="str">
        <f t="shared" si="35"/>
        <v>Technodom1510001848</v>
      </c>
    </row>
    <row r="2307" spans="1:5" x14ac:dyDescent="0.3">
      <c r="A2307" t="s">
        <v>445</v>
      </c>
      <c r="B2307">
        <v>8010000601</v>
      </c>
      <c r="C2307" t="s">
        <v>1657</v>
      </c>
      <c r="D2307" t="s">
        <v>3184</v>
      </c>
      <c r="E2307" t="str">
        <f t="shared" ref="E2307:E2370" si="36">A2307&amp;B2307</f>
        <v>Technodom8010000601</v>
      </c>
    </row>
    <row r="2308" spans="1:5" x14ac:dyDescent="0.3">
      <c r="A2308" t="s">
        <v>445</v>
      </c>
      <c r="B2308">
        <v>3201000200</v>
      </c>
      <c r="C2308">
        <v>641026030</v>
      </c>
      <c r="D2308" t="s">
        <v>3185</v>
      </c>
      <c r="E2308" t="str">
        <f t="shared" si="36"/>
        <v>Technodom3201000200</v>
      </c>
    </row>
    <row r="2309" spans="1:5" x14ac:dyDescent="0.3">
      <c r="A2309" t="s">
        <v>445</v>
      </c>
      <c r="B2309">
        <v>3201000642</v>
      </c>
      <c r="C2309">
        <v>641036030</v>
      </c>
      <c r="D2309" t="s">
        <v>3186</v>
      </c>
      <c r="E2309" t="str">
        <f t="shared" si="36"/>
        <v>Technodom3201000642</v>
      </c>
    </row>
    <row r="2310" spans="1:5" x14ac:dyDescent="0.3">
      <c r="A2310" t="s">
        <v>445</v>
      </c>
      <c r="B2310">
        <v>3201000663</v>
      </c>
      <c r="C2310">
        <v>658516030</v>
      </c>
      <c r="D2310" t="s">
        <v>3187</v>
      </c>
      <c r="E2310" t="str">
        <f t="shared" si="36"/>
        <v>Technodom3201000663</v>
      </c>
    </row>
    <row r="2311" spans="1:5" x14ac:dyDescent="0.3">
      <c r="A2311" t="s">
        <v>445</v>
      </c>
      <c r="B2311">
        <v>3200001439</v>
      </c>
      <c r="C2311">
        <v>413300711</v>
      </c>
      <c r="D2311" t="s">
        <v>3188</v>
      </c>
      <c r="E2311" t="str">
        <f t="shared" si="36"/>
        <v>Technodom3200001439</v>
      </c>
    </row>
    <row r="2312" spans="1:5" x14ac:dyDescent="0.3">
      <c r="A2312" t="s">
        <v>445</v>
      </c>
      <c r="B2312">
        <v>3200001445</v>
      </c>
      <c r="C2312">
        <v>415470711</v>
      </c>
      <c r="D2312" t="s">
        <v>3189</v>
      </c>
      <c r="E2312" t="str">
        <f t="shared" si="36"/>
        <v>Technodom3200001445</v>
      </c>
    </row>
    <row r="2313" spans="1:5" x14ac:dyDescent="0.3">
      <c r="A2313" t="s">
        <v>445</v>
      </c>
      <c r="B2313">
        <v>3200000462</v>
      </c>
      <c r="C2313">
        <v>415250711</v>
      </c>
      <c r="D2313" t="s">
        <v>3190</v>
      </c>
      <c r="E2313" t="str">
        <f t="shared" si="36"/>
        <v>Technodom3200000462</v>
      </c>
    </row>
    <row r="2314" spans="1:5" x14ac:dyDescent="0.3">
      <c r="A2314" t="s">
        <v>445</v>
      </c>
      <c r="B2314">
        <v>3200001442</v>
      </c>
      <c r="C2314">
        <v>414190711</v>
      </c>
      <c r="D2314" t="s">
        <v>3191</v>
      </c>
      <c r="E2314" t="str">
        <f t="shared" si="36"/>
        <v>Technodom3200001442</v>
      </c>
    </row>
    <row r="2315" spans="1:5" x14ac:dyDescent="0.3">
      <c r="A2315" t="s">
        <v>445</v>
      </c>
      <c r="B2315">
        <v>7211004472</v>
      </c>
      <c r="C2315">
        <v>413180712</v>
      </c>
      <c r="D2315" t="s">
        <v>3192</v>
      </c>
      <c r="E2315" t="str">
        <f t="shared" si="36"/>
        <v>Technodom7211004472</v>
      </c>
    </row>
    <row r="2316" spans="1:5" x14ac:dyDescent="0.3">
      <c r="A2316" t="s">
        <v>445</v>
      </c>
      <c r="B2316">
        <v>3200001155</v>
      </c>
      <c r="C2316">
        <v>413190711</v>
      </c>
      <c r="D2316" t="s">
        <v>3193</v>
      </c>
      <c r="E2316" t="str">
        <f t="shared" si="36"/>
        <v>Technodom3200001155</v>
      </c>
    </row>
    <row r="2317" spans="1:5" x14ac:dyDescent="0.3">
      <c r="A2317" t="s">
        <v>445</v>
      </c>
      <c r="B2317">
        <v>7211004764</v>
      </c>
      <c r="C2317">
        <v>413260711</v>
      </c>
      <c r="D2317" t="s">
        <v>3194</v>
      </c>
      <c r="E2317" t="str">
        <f t="shared" si="36"/>
        <v>Technodom7211004764</v>
      </c>
    </row>
    <row r="2318" spans="1:5" x14ac:dyDescent="0.3">
      <c r="A2318" t="s">
        <v>445</v>
      </c>
      <c r="B2318">
        <v>3200000481</v>
      </c>
      <c r="C2318">
        <v>416490711</v>
      </c>
      <c r="D2318" t="s">
        <v>3195</v>
      </c>
      <c r="E2318" t="str">
        <f t="shared" si="36"/>
        <v>Technodom3200000481</v>
      </c>
    </row>
    <row r="2319" spans="1:5" x14ac:dyDescent="0.3">
      <c r="A2319" t="s">
        <v>445</v>
      </c>
      <c r="B2319">
        <v>3200001450</v>
      </c>
      <c r="C2319">
        <v>416680771</v>
      </c>
      <c r="D2319" t="s">
        <v>3196</v>
      </c>
      <c r="E2319" t="str">
        <f t="shared" si="36"/>
        <v>Technodom3200001450</v>
      </c>
    </row>
    <row r="2320" spans="1:5" x14ac:dyDescent="0.3">
      <c r="A2320" t="s">
        <v>445</v>
      </c>
      <c r="B2320">
        <v>3200000623</v>
      </c>
      <c r="C2320">
        <v>416560711</v>
      </c>
      <c r="D2320" t="s">
        <v>3197</v>
      </c>
      <c r="E2320" t="str">
        <f t="shared" si="36"/>
        <v>Technodom3200000623</v>
      </c>
    </row>
    <row r="2321" spans="1:5" x14ac:dyDescent="0.3">
      <c r="A2321" t="s">
        <v>445</v>
      </c>
      <c r="B2321">
        <v>3200000551</v>
      </c>
      <c r="C2321">
        <v>416810721</v>
      </c>
      <c r="D2321" t="s">
        <v>3198</v>
      </c>
      <c r="E2321" t="str">
        <f t="shared" si="36"/>
        <v>Technodom3200000551</v>
      </c>
    </row>
    <row r="2322" spans="1:5" x14ac:dyDescent="0.3">
      <c r="A2322" t="s">
        <v>445</v>
      </c>
      <c r="B2322">
        <v>3200000550</v>
      </c>
      <c r="C2322">
        <v>416910721</v>
      </c>
      <c r="D2322" t="s">
        <v>3199</v>
      </c>
      <c r="E2322" t="str">
        <f t="shared" si="36"/>
        <v>Technodom3200000550</v>
      </c>
    </row>
    <row r="2323" spans="1:5" x14ac:dyDescent="0.3">
      <c r="A2323" t="s">
        <v>445</v>
      </c>
      <c r="B2323">
        <v>3200000552</v>
      </c>
      <c r="C2323">
        <v>416920711</v>
      </c>
      <c r="D2323" t="s">
        <v>3200</v>
      </c>
      <c r="E2323" t="str">
        <f t="shared" si="36"/>
        <v>Technodom3200000552</v>
      </c>
    </row>
    <row r="2324" spans="1:5" x14ac:dyDescent="0.3">
      <c r="A2324" t="s">
        <v>445</v>
      </c>
      <c r="B2324">
        <v>3200000554</v>
      </c>
      <c r="C2324">
        <v>416960771</v>
      </c>
      <c r="D2324" t="s">
        <v>3201</v>
      </c>
      <c r="E2324" t="str">
        <f t="shared" si="36"/>
        <v>Technodom3200000554</v>
      </c>
    </row>
    <row r="2325" spans="1:5" x14ac:dyDescent="0.3">
      <c r="A2325" t="s">
        <v>445</v>
      </c>
      <c r="B2325">
        <v>3200001162</v>
      </c>
      <c r="C2325">
        <v>416400711</v>
      </c>
      <c r="D2325" t="s">
        <v>3202</v>
      </c>
      <c r="E2325" t="str">
        <f t="shared" si="36"/>
        <v>Technodom3200001162</v>
      </c>
    </row>
    <row r="2326" spans="1:5" x14ac:dyDescent="0.3">
      <c r="A2326" t="s">
        <v>445</v>
      </c>
      <c r="B2326">
        <v>3200000457</v>
      </c>
      <c r="C2326">
        <v>416450711</v>
      </c>
      <c r="D2326" t="s">
        <v>3203</v>
      </c>
      <c r="E2326" t="str">
        <f t="shared" si="36"/>
        <v>Technodom3200000457</v>
      </c>
    </row>
    <row r="2327" spans="1:5" x14ac:dyDescent="0.3">
      <c r="A2327" t="s">
        <v>445</v>
      </c>
      <c r="B2327">
        <v>3200001160</v>
      </c>
      <c r="C2327">
        <v>419070711</v>
      </c>
      <c r="D2327" t="s">
        <v>3204</v>
      </c>
      <c r="E2327" t="str">
        <f t="shared" si="36"/>
        <v>Technodom3200001160</v>
      </c>
    </row>
    <row r="2328" spans="1:5" x14ac:dyDescent="0.3">
      <c r="A2328" t="s">
        <v>445</v>
      </c>
      <c r="B2328">
        <v>3201000121</v>
      </c>
      <c r="C2328">
        <v>645709990</v>
      </c>
      <c r="D2328" t="s">
        <v>3205</v>
      </c>
      <c r="E2328" t="str">
        <f t="shared" si="36"/>
        <v>Technodom3201000121</v>
      </c>
    </row>
    <row r="2329" spans="1:5" x14ac:dyDescent="0.3">
      <c r="A2329" t="s">
        <v>445</v>
      </c>
      <c r="B2329">
        <v>3201000820</v>
      </c>
      <c r="C2329">
        <v>654249999</v>
      </c>
      <c r="D2329" t="s">
        <v>3206</v>
      </c>
      <c r="E2329" t="str">
        <f t="shared" si="36"/>
        <v>Technodom3201000820</v>
      </c>
    </row>
    <row r="2330" spans="1:5" x14ac:dyDescent="0.3">
      <c r="A2330" t="s">
        <v>445</v>
      </c>
      <c r="B2330">
        <v>3201000308</v>
      </c>
      <c r="C2330">
        <v>690726040</v>
      </c>
      <c r="D2330" t="s">
        <v>3207</v>
      </c>
      <c r="E2330" t="str">
        <f t="shared" si="36"/>
        <v>Technodom3201000308</v>
      </c>
    </row>
    <row r="2331" spans="1:5" x14ac:dyDescent="0.3">
      <c r="A2331" t="s">
        <v>445</v>
      </c>
      <c r="B2331">
        <v>3201000309</v>
      </c>
      <c r="C2331">
        <v>690726600</v>
      </c>
      <c r="D2331" t="s">
        <v>3208</v>
      </c>
      <c r="E2331" t="str">
        <f t="shared" si="36"/>
        <v>Technodom3201000309</v>
      </c>
    </row>
    <row r="2332" spans="1:5" x14ac:dyDescent="0.3">
      <c r="A2332" t="s">
        <v>445</v>
      </c>
      <c r="B2332">
        <v>3201006007</v>
      </c>
      <c r="C2332">
        <v>514395290</v>
      </c>
      <c r="D2332" t="s">
        <v>3209</v>
      </c>
      <c r="E2332" t="str">
        <f t="shared" si="36"/>
        <v>Technodom3201006007</v>
      </c>
    </row>
    <row r="2333" spans="1:5" x14ac:dyDescent="0.3">
      <c r="A2333" t="s">
        <v>445</v>
      </c>
      <c r="B2333">
        <v>3201111672</v>
      </c>
      <c r="C2333">
        <v>514495290</v>
      </c>
      <c r="D2333" t="s">
        <v>3210</v>
      </c>
      <c r="E2333" t="str">
        <f t="shared" si="36"/>
        <v>Technodom3201111672</v>
      </c>
    </row>
    <row r="2334" spans="1:5" x14ac:dyDescent="0.3">
      <c r="A2334" t="s">
        <v>445</v>
      </c>
      <c r="B2334">
        <v>2100098776</v>
      </c>
      <c r="C2334" t="s">
        <v>3211</v>
      </c>
      <c r="D2334" t="s">
        <v>3212</v>
      </c>
      <c r="E2334" t="str">
        <f t="shared" si="36"/>
        <v>Technodom2100098776</v>
      </c>
    </row>
    <row r="2335" spans="1:5" x14ac:dyDescent="0.3">
      <c r="A2335" t="s">
        <v>445</v>
      </c>
      <c r="B2335">
        <v>3201000281</v>
      </c>
      <c r="C2335">
        <v>1297336040</v>
      </c>
      <c r="D2335" t="s">
        <v>3213</v>
      </c>
      <c r="E2335" t="str">
        <f t="shared" si="36"/>
        <v>Technodom3201000281</v>
      </c>
    </row>
    <row r="2336" spans="1:5" x14ac:dyDescent="0.3">
      <c r="A2336" t="s">
        <v>445</v>
      </c>
      <c r="B2336">
        <v>3201002571</v>
      </c>
      <c r="C2336">
        <v>1297356040</v>
      </c>
      <c r="D2336" t="s">
        <v>3214</v>
      </c>
      <c r="E2336" t="str">
        <f t="shared" si="36"/>
        <v>Technodom3201002571</v>
      </c>
    </row>
    <row r="2337" spans="1:5" x14ac:dyDescent="0.3">
      <c r="A2337" t="s">
        <v>445</v>
      </c>
      <c r="B2337">
        <v>3201000125</v>
      </c>
      <c r="C2337">
        <v>1871016030</v>
      </c>
      <c r="D2337" t="s">
        <v>3215</v>
      </c>
      <c r="E2337" t="str">
        <f t="shared" si="36"/>
        <v>Technodom3201000125</v>
      </c>
    </row>
    <row r="2338" spans="1:5" x14ac:dyDescent="0.3">
      <c r="A2338" t="s">
        <v>445</v>
      </c>
      <c r="B2338">
        <v>3201002839</v>
      </c>
      <c r="C2338">
        <v>1871156030</v>
      </c>
      <c r="D2338" t="s">
        <v>3216</v>
      </c>
      <c r="E2338" t="str">
        <f t="shared" si="36"/>
        <v>Technodom3201002839</v>
      </c>
    </row>
    <row r="2339" spans="1:5" x14ac:dyDescent="0.3">
      <c r="A2339" t="s">
        <v>445</v>
      </c>
      <c r="B2339">
        <v>3201002815</v>
      </c>
      <c r="C2339">
        <v>1871296030</v>
      </c>
      <c r="D2339" t="s">
        <v>3217</v>
      </c>
      <c r="E2339" t="str">
        <f t="shared" si="36"/>
        <v>Technodom3201002815</v>
      </c>
    </row>
    <row r="2340" spans="1:5" x14ac:dyDescent="0.3">
      <c r="A2340" t="s">
        <v>445</v>
      </c>
      <c r="B2340">
        <v>3201000138</v>
      </c>
      <c r="C2340">
        <v>1871386030</v>
      </c>
      <c r="D2340" t="s">
        <v>3218</v>
      </c>
      <c r="E2340" t="str">
        <f t="shared" si="36"/>
        <v>Technodom3201000138</v>
      </c>
    </row>
    <row r="2341" spans="1:5" x14ac:dyDescent="0.3">
      <c r="A2341" t="s">
        <v>445</v>
      </c>
      <c r="B2341">
        <v>3201000139</v>
      </c>
      <c r="C2341">
        <v>1871396030</v>
      </c>
      <c r="D2341" t="s">
        <v>3219</v>
      </c>
      <c r="E2341" t="str">
        <f t="shared" si="36"/>
        <v>Technodom3201000139</v>
      </c>
    </row>
    <row r="2342" spans="1:5" x14ac:dyDescent="0.3">
      <c r="A2342" t="s">
        <v>445</v>
      </c>
      <c r="B2342">
        <v>3201002793</v>
      </c>
      <c r="C2342">
        <v>1871976030</v>
      </c>
      <c r="D2342" t="s">
        <v>3220</v>
      </c>
      <c r="E2342" t="str">
        <f t="shared" si="36"/>
        <v>Technodom3201002793</v>
      </c>
    </row>
    <row r="2343" spans="1:5" x14ac:dyDescent="0.3">
      <c r="A2343" t="s">
        <v>445</v>
      </c>
      <c r="B2343">
        <v>3201002819</v>
      </c>
      <c r="C2343">
        <v>1872316030</v>
      </c>
      <c r="D2343" t="s">
        <v>3221</v>
      </c>
      <c r="E2343" t="str">
        <f t="shared" si="36"/>
        <v>Technodom3201002819</v>
      </c>
    </row>
    <row r="2344" spans="1:5" x14ac:dyDescent="0.3">
      <c r="A2344" t="s">
        <v>445</v>
      </c>
      <c r="B2344">
        <v>3201000157</v>
      </c>
      <c r="C2344">
        <v>1872946030</v>
      </c>
      <c r="D2344" t="s">
        <v>3222</v>
      </c>
      <c r="E2344" t="str">
        <f t="shared" si="36"/>
        <v>Technodom3201000157</v>
      </c>
    </row>
    <row r="2345" spans="1:5" x14ac:dyDescent="0.3">
      <c r="A2345" t="s">
        <v>445</v>
      </c>
      <c r="B2345">
        <v>3201000225</v>
      </c>
      <c r="C2345">
        <v>1880316032</v>
      </c>
      <c r="D2345" t="s">
        <v>3223</v>
      </c>
      <c r="E2345" t="str">
        <f t="shared" si="36"/>
        <v>Technodom3201000225</v>
      </c>
    </row>
    <row r="2346" spans="1:5" x14ac:dyDescent="0.3">
      <c r="A2346" t="s">
        <v>445</v>
      </c>
      <c r="B2346">
        <v>3201000226</v>
      </c>
      <c r="C2346">
        <v>1880396032</v>
      </c>
      <c r="D2346" t="s">
        <v>3224</v>
      </c>
      <c r="E2346" t="str">
        <f t="shared" si="36"/>
        <v>Technodom3201000226</v>
      </c>
    </row>
    <row r="2347" spans="1:5" x14ac:dyDescent="0.3">
      <c r="A2347" t="s">
        <v>445</v>
      </c>
      <c r="B2347">
        <v>3201002710</v>
      </c>
      <c r="C2347">
        <v>1880426032</v>
      </c>
      <c r="D2347" t="s">
        <v>3225</v>
      </c>
      <c r="E2347" t="str">
        <f t="shared" si="36"/>
        <v>Technodom3201002710</v>
      </c>
    </row>
    <row r="2348" spans="1:5" x14ac:dyDescent="0.3">
      <c r="A2348" t="s">
        <v>445</v>
      </c>
      <c r="B2348">
        <v>3201002830</v>
      </c>
      <c r="C2348">
        <v>1883216030</v>
      </c>
      <c r="D2348" t="s">
        <v>3226</v>
      </c>
      <c r="E2348" t="str">
        <f t="shared" si="36"/>
        <v>Technodom3201002830</v>
      </c>
    </row>
    <row r="2349" spans="1:5" x14ac:dyDescent="0.3">
      <c r="A2349" t="s">
        <v>445</v>
      </c>
      <c r="B2349">
        <v>3201002753</v>
      </c>
      <c r="C2349">
        <v>1891946032</v>
      </c>
      <c r="D2349" t="s">
        <v>3227</v>
      </c>
      <c r="E2349" t="str">
        <f t="shared" si="36"/>
        <v>Technodom3201002753</v>
      </c>
    </row>
    <row r="2350" spans="1:5" x14ac:dyDescent="0.3">
      <c r="A2350" t="s">
        <v>445</v>
      </c>
      <c r="B2350">
        <v>3201000241</v>
      </c>
      <c r="C2350">
        <v>1894919992</v>
      </c>
      <c r="D2350" t="s">
        <v>3228</v>
      </c>
      <c r="E2350" t="str">
        <f t="shared" si="36"/>
        <v>Technodom3201000241</v>
      </c>
    </row>
    <row r="2351" spans="1:5" x14ac:dyDescent="0.3">
      <c r="A2351" t="s">
        <v>445</v>
      </c>
      <c r="B2351">
        <v>3201000246</v>
      </c>
      <c r="C2351">
        <v>1895436032</v>
      </c>
      <c r="D2351" t="s">
        <v>3229</v>
      </c>
      <c r="E2351" t="str">
        <f t="shared" si="36"/>
        <v>Technodom3201000246</v>
      </c>
    </row>
    <row r="2352" spans="1:5" x14ac:dyDescent="0.3">
      <c r="A2352" t="s">
        <v>445</v>
      </c>
      <c r="B2352">
        <v>3201000249</v>
      </c>
      <c r="C2352">
        <v>1895486032</v>
      </c>
      <c r="D2352" t="s">
        <v>3230</v>
      </c>
      <c r="E2352" t="str">
        <f t="shared" si="36"/>
        <v>Technodom3201000249</v>
      </c>
    </row>
    <row r="2353" spans="1:5" x14ac:dyDescent="0.3">
      <c r="A2353" t="s">
        <v>445</v>
      </c>
      <c r="B2353">
        <v>3201002781</v>
      </c>
      <c r="C2353">
        <v>1895936032</v>
      </c>
      <c r="D2353" t="s">
        <v>3231</v>
      </c>
      <c r="E2353" t="str">
        <f t="shared" si="36"/>
        <v>Technodom3201002781</v>
      </c>
    </row>
    <row r="2354" spans="1:5" x14ac:dyDescent="0.3">
      <c r="A2354" t="s">
        <v>445</v>
      </c>
      <c r="B2354">
        <v>3201000254</v>
      </c>
      <c r="C2354">
        <v>1895946030</v>
      </c>
      <c r="D2354" t="s">
        <v>3232</v>
      </c>
      <c r="E2354" t="str">
        <f t="shared" si="36"/>
        <v>Technodom3201000254</v>
      </c>
    </row>
    <row r="2355" spans="1:5" x14ac:dyDescent="0.3">
      <c r="A2355" t="s">
        <v>445</v>
      </c>
      <c r="B2355">
        <v>3201005833</v>
      </c>
      <c r="C2355">
        <v>1896076032</v>
      </c>
      <c r="D2355" t="s">
        <v>3233</v>
      </c>
      <c r="E2355" t="str">
        <f t="shared" si="36"/>
        <v>Technodom3201005833</v>
      </c>
    </row>
    <row r="2356" spans="1:5" x14ac:dyDescent="0.3">
      <c r="A2356" t="s">
        <v>445</v>
      </c>
      <c r="B2356">
        <v>3201019504</v>
      </c>
      <c r="C2356">
        <v>1896249992</v>
      </c>
      <c r="D2356" t="s">
        <v>3234</v>
      </c>
      <c r="E2356" t="str">
        <f t="shared" si="36"/>
        <v>Technodom3201019504</v>
      </c>
    </row>
    <row r="2357" spans="1:5" x14ac:dyDescent="0.3">
      <c r="A2357" t="s">
        <v>445</v>
      </c>
      <c r="B2357">
        <v>3201000338</v>
      </c>
      <c r="C2357">
        <v>605796030</v>
      </c>
      <c r="D2357" t="s">
        <v>3235</v>
      </c>
      <c r="E2357" t="str">
        <f t="shared" si="36"/>
        <v>Technodom3201000338</v>
      </c>
    </row>
    <row r="2358" spans="1:5" x14ac:dyDescent="0.3">
      <c r="A2358" t="s">
        <v>445</v>
      </c>
      <c r="B2358">
        <v>3201000194</v>
      </c>
      <c r="C2358">
        <v>618086040</v>
      </c>
      <c r="D2358" t="s">
        <v>3236</v>
      </c>
      <c r="E2358" t="str">
        <f t="shared" si="36"/>
        <v>Technodom3201000194</v>
      </c>
    </row>
    <row r="2359" spans="1:5" x14ac:dyDescent="0.3">
      <c r="A2359" t="s">
        <v>445</v>
      </c>
      <c r="B2359">
        <v>3201000931</v>
      </c>
      <c r="C2359">
        <v>632576030</v>
      </c>
      <c r="D2359" t="s">
        <v>3237</v>
      </c>
      <c r="E2359" t="str">
        <f t="shared" si="36"/>
        <v>Technodom3201000931</v>
      </c>
    </row>
    <row r="2360" spans="1:5" x14ac:dyDescent="0.3">
      <c r="A2360" t="s">
        <v>445</v>
      </c>
      <c r="B2360">
        <v>3201000298</v>
      </c>
      <c r="C2360">
        <v>636466040</v>
      </c>
      <c r="D2360" t="s">
        <v>3238</v>
      </c>
      <c r="E2360" t="str">
        <f t="shared" si="36"/>
        <v>Technodom3201000298</v>
      </c>
    </row>
    <row r="2361" spans="1:5" x14ac:dyDescent="0.3">
      <c r="A2361" t="s">
        <v>445</v>
      </c>
      <c r="B2361">
        <v>3201000208</v>
      </c>
      <c r="C2361">
        <v>658136030</v>
      </c>
      <c r="D2361" t="s">
        <v>3239</v>
      </c>
      <c r="E2361" t="str">
        <f t="shared" si="36"/>
        <v>Technodom3201000208</v>
      </c>
    </row>
    <row r="2362" spans="1:5" x14ac:dyDescent="0.3">
      <c r="A2362" t="s">
        <v>445</v>
      </c>
      <c r="B2362">
        <v>3201000872</v>
      </c>
      <c r="C2362">
        <v>667346030</v>
      </c>
      <c r="D2362" t="s">
        <v>3240</v>
      </c>
      <c r="E2362" t="str">
        <f t="shared" si="36"/>
        <v>Technodom3201000872</v>
      </c>
    </row>
    <row r="2363" spans="1:5" x14ac:dyDescent="0.3">
      <c r="A2363" t="s">
        <v>445</v>
      </c>
      <c r="B2363">
        <v>3201111701</v>
      </c>
      <c r="C2363">
        <v>517405290</v>
      </c>
      <c r="D2363" t="s">
        <v>3241</v>
      </c>
      <c r="E2363" t="str">
        <f t="shared" si="36"/>
        <v>Technodom3201111701</v>
      </c>
    </row>
    <row r="2364" spans="1:5" x14ac:dyDescent="0.3">
      <c r="A2364" t="s">
        <v>445</v>
      </c>
      <c r="B2364">
        <v>3201111692</v>
      </c>
      <c r="C2364">
        <v>515295290</v>
      </c>
      <c r="D2364" t="s">
        <v>3242</v>
      </c>
      <c r="E2364" t="str">
        <f t="shared" si="36"/>
        <v>Technodom3201111692</v>
      </c>
    </row>
    <row r="2365" spans="1:5" x14ac:dyDescent="0.3">
      <c r="A2365" t="s">
        <v>445</v>
      </c>
      <c r="B2365">
        <v>3201000326</v>
      </c>
      <c r="C2365">
        <v>1177006043</v>
      </c>
      <c r="D2365" t="s">
        <v>3243</v>
      </c>
      <c r="E2365" t="str">
        <f t="shared" si="36"/>
        <v>Technodom3201000326</v>
      </c>
    </row>
    <row r="2366" spans="1:5" x14ac:dyDescent="0.3">
      <c r="A2366" t="s">
        <v>445</v>
      </c>
      <c r="B2366">
        <v>3201002423</v>
      </c>
      <c r="C2366">
        <v>1280026040</v>
      </c>
      <c r="D2366" t="s">
        <v>3244</v>
      </c>
      <c r="E2366" t="str">
        <f t="shared" si="36"/>
        <v>Technodom3201002423</v>
      </c>
    </row>
    <row r="2367" spans="1:5" x14ac:dyDescent="0.3">
      <c r="A2367" t="s">
        <v>445</v>
      </c>
      <c r="B2367">
        <v>3201000260</v>
      </c>
      <c r="C2367">
        <v>1282409964</v>
      </c>
      <c r="D2367" t="s">
        <v>3245</v>
      </c>
      <c r="E2367" t="str">
        <f t="shared" si="36"/>
        <v>Technodom3201000260</v>
      </c>
    </row>
    <row r="2368" spans="1:5" x14ac:dyDescent="0.3">
      <c r="A2368" t="s">
        <v>445</v>
      </c>
      <c r="B2368">
        <v>3201002443</v>
      </c>
      <c r="C2368">
        <v>1282959964</v>
      </c>
      <c r="D2368" t="s">
        <v>3246</v>
      </c>
      <c r="E2368" t="str">
        <f t="shared" si="36"/>
        <v>Technodom3201002443</v>
      </c>
    </row>
    <row r="2369" spans="1:5" x14ac:dyDescent="0.3">
      <c r="A2369" t="s">
        <v>445</v>
      </c>
      <c r="B2369">
        <v>3201002488</v>
      </c>
      <c r="C2369">
        <v>1286019964</v>
      </c>
      <c r="D2369" t="s">
        <v>3247</v>
      </c>
      <c r="E2369" t="str">
        <f t="shared" si="36"/>
        <v>Technodom3201002488</v>
      </c>
    </row>
    <row r="2370" spans="1:5" x14ac:dyDescent="0.3">
      <c r="A2370" t="s">
        <v>445</v>
      </c>
      <c r="B2370">
        <v>3201010818</v>
      </c>
      <c r="C2370">
        <v>1286076040</v>
      </c>
      <c r="D2370" t="s">
        <v>3248</v>
      </c>
      <c r="E2370" t="str">
        <f t="shared" si="36"/>
        <v>Technodom3201010818</v>
      </c>
    </row>
    <row r="2371" spans="1:5" x14ac:dyDescent="0.3">
      <c r="A2371" t="s">
        <v>445</v>
      </c>
      <c r="B2371">
        <v>3201000268</v>
      </c>
      <c r="C2371">
        <v>1291406046</v>
      </c>
      <c r="D2371" t="s">
        <v>3249</v>
      </c>
      <c r="E2371" t="str">
        <f t="shared" ref="E2371:E2434" si="37">A2371&amp;B2371</f>
        <v>Technodom3201000268</v>
      </c>
    </row>
    <row r="2372" spans="1:5" x14ac:dyDescent="0.3">
      <c r="A2372" t="s">
        <v>445</v>
      </c>
      <c r="B2372">
        <v>3201002515</v>
      </c>
      <c r="C2372">
        <v>1291426040</v>
      </c>
      <c r="D2372" t="s">
        <v>3250</v>
      </c>
      <c r="E2372" t="str">
        <f t="shared" si="37"/>
        <v>Technodom3201002515</v>
      </c>
    </row>
    <row r="2373" spans="1:5" x14ac:dyDescent="0.3">
      <c r="A2373" t="s">
        <v>445</v>
      </c>
      <c r="B2373">
        <v>3201002521</v>
      </c>
      <c r="C2373">
        <v>1291476040</v>
      </c>
      <c r="D2373" t="s">
        <v>3251</v>
      </c>
      <c r="E2373" t="str">
        <f t="shared" si="37"/>
        <v>Technodom3201002521</v>
      </c>
    </row>
    <row r="2374" spans="1:5" x14ac:dyDescent="0.3">
      <c r="A2374" t="s">
        <v>445</v>
      </c>
      <c r="B2374">
        <v>3201002523</v>
      </c>
      <c r="C2374">
        <v>1291496042</v>
      </c>
      <c r="D2374" t="s">
        <v>3252</v>
      </c>
      <c r="E2374" t="str">
        <f t="shared" si="37"/>
        <v>Technodom3201002523</v>
      </c>
    </row>
    <row r="2375" spans="1:5" x14ac:dyDescent="0.3">
      <c r="A2375" t="s">
        <v>445</v>
      </c>
      <c r="B2375">
        <v>3201002539</v>
      </c>
      <c r="C2375">
        <v>1291746046</v>
      </c>
      <c r="D2375" t="s">
        <v>3253</v>
      </c>
      <c r="E2375" t="str">
        <f t="shared" si="37"/>
        <v>Technodom3201002539</v>
      </c>
    </row>
    <row r="2376" spans="1:5" x14ac:dyDescent="0.3">
      <c r="A2376" t="s">
        <v>445</v>
      </c>
      <c r="B2376">
        <v>3201000341</v>
      </c>
      <c r="C2376">
        <v>616687290</v>
      </c>
      <c r="D2376" t="s">
        <v>3254</v>
      </c>
      <c r="E2376" t="str">
        <f t="shared" si="37"/>
        <v>Technodom3201000341</v>
      </c>
    </row>
    <row r="2377" spans="1:5" x14ac:dyDescent="0.3">
      <c r="A2377" t="s">
        <v>445</v>
      </c>
      <c r="B2377">
        <v>3201000188</v>
      </c>
      <c r="C2377">
        <v>617597390</v>
      </c>
      <c r="D2377" t="s">
        <v>3255</v>
      </c>
      <c r="E2377" t="str">
        <f t="shared" si="37"/>
        <v>Technodom3201000188</v>
      </c>
    </row>
    <row r="2378" spans="1:5" x14ac:dyDescent="0.3">
      <c r="A2378" t="s">
        <v>445</v>
      </c>
      <c r="B2378">
        <v>3201000581</v>
      </c>
      <c r="C2378">
        <v>617709994</v>
      </c>
      <c r="D2378" t="s">
        <v>3256</v>
      </c>
      <c r="E2378" t="str">
        <f t="shared" si="37"/>
        <v>Technodom3201000581</v>
      </c>
    </row>
    <row r="2379" spans="1:5" x14ac:dyDescent="0.3">
      <c r="A2379" t="s">
        <v>445</v>
      </c>
      <c r="B2379">
        <v>3201000191</v>
      </c>
      <c r="C2379">
        <v>617726040</v>
      </c>
      <c r="D2379" t="s">
        <v>3257</v>
      </c>
      <c r="E2379" t="str">
        <f t="shared" si="37"/>
        <v>Technodom3201000191</v>
      </c>
    </row>
    <row r="2380" spans="1:5" x14ac:dyDescent="0.3">
      <c r="A2380" t="s">
        <v>445</v>
      </c>
      <c r="B2380">
        <v>3201000193</v>
      </c>
      <c r="C2380">
        <v>618046040</v>
      </c>
      <c r="D2380" t="s">
        <v>3258</v>
      </c>
      <c r="E2380" t="str">
        <f t="shared" si="37"/>
        <v>Technodom3201000193</v>
      </c>
    </row>
    <row r="2381" spans="1:5" x14ac:dyDescent="0.3">
      <c r="A2381" t="s">
        <v>445</v>
      </c>
      <c r="B2381">
        <v>3201000197</v>
      </c>
      <c r="C2381">
        <v>634546040</v>
      </c>
      <c r="D2381" t="s">
        <v>3259</v>
      </c>
      <c r="E2381" t="str">
        <f t="shared" si="37"/>
        <v>Technodom3201000197</v>
      </c>
    </row>
    <row r="2382" spans="1:5" x14ac:dyDescent="0.3">
      <c r="A2382" t="s">
        <v>445</v>
      </c>
      <c r="B2382">
        <v>3201005777</v>
      </c>
      <c r="C2382">
        <v>651036040</v>
      </c>
      <c r="D2382" t="s">
        <v>3260</v>
      </c>
      <c r="E2382" t="str">
        <f t="shared" si="37"/>
        <v>Technodom3201005777</v>
      </c>
    </row>
    <row r="2383" spans="1:5" x14ac:dyDescent="0.3">
      <c r="A2383" t="s">
        <v>445</v>
      </c>
      <c r="B2383">
        <v>3201000222</v>
      </c>
      <c r="C2383">
        <v>947712000</v>
      </c>
      <c r="D2383" t="s">
        <v>3261</v>
      </c>
      <c r="E2383" t="str">
        <f t="shared" si="37"/>
        <v>Technodom3201000222</v>
      </c>
    </row>
    <row r="2384" spans="1:5" x14ac:dyDescent="0.3">
      <c r="A2384" t="s">
        <v>445</v>
      </c>
      <c r="B2384">
        <v>3201000357</v>
      </c>
      <c r="C2384">
        <v>1756246411</v>
      </c>
      <c r="D2384" t="s">
        <v>3262</v>
      </c>
      <c r="E2384" t="str">
        <f t="shared" si="37"/>
        <v>Technodom3201000357</v>
      </c>
    </row>
    <row r="2385" spans="1:5" x14ac:dyDescent="0.3">
      <c r="A2385" t="s">
        <v>445</v>
      </c>
      <c r="B2385">
        <v>3201000358</v>
      </c>
      <c r="C2385">
        <v>1756286411</v>
      </c>
      <c r="D2385" t="s">
        <v>3263</v>
      </c>
      <c r="E2385" t="str">
        <f t="shared" si="37"/>
        <v>Technodom3201000358</v>
      </c>
    </row>
    <row r="2386" spans="1:5" x14ac:dyDescent="0.3">
      <c r="A2386" t="s">
        <v>445</v>
      </c>
      <c r="B2386">
        <v>3201000337</v>
      </c>
      <c r="C2386">
        <v>575284021</v>
      </c>
      <c r="D2386" t="s">
        <v>3264</v>
      </c>
      <c r="E2386" t="str">
        <f t="shared" si="37"/>
        <v>Technodom3201000337</v>
      </c>
    </row>
    <row r="2387" spans="1:5" x14ac:dyDescent="0.3">
      <c r="A2387" t="s">
        <v>445</v>
      </c>
      <c r="B2387">
        <v>3201000544</v>
      </c>
      <c r="C2387">
        <v>576484291</v>
      </c>
      <c r="D2387" t="s">
        <v>3265</v>
      </c>
      <c r="E2387" t="str">
        <f t="shared" si="37"/>
        <v>Technodom3201000544</v>
      </c>
    </row>
    <row r="2388" spans="1:5" x14ac:dyDescent="0.3">
      <c r="A2388" t="s">
        <v>445</v>
      </c>
      <c r="B2388">
        <v>3201000545</v>
      </c>
      <c r="C2388">
        <v>576504291</v>
      </c>
      <c r="D2388" t="s">
        <v>3266</v>
      </c>
      <c r="E2388" t="str">
        <f t="shared" si="37"/>
        <v>Technodom3201000545</v>
      </c>
    </row>
    <row r="2389" spans="1:5" x14ac:dyDescent="0.3">
      <c r="A2389" t="s">
        <v>445</v>
      </c>
      <c r="B2389">
        <v>3201000292</v>
      </c>
      <c r="C2389">
        <v>631096030</v>
      </c>
      <c r="D2389" t="s">
        <v>3267</v>
      </c>
      <c r="E2389" t="str">
        <f t="shared" si="37"/>
        <v>Technodom3201000292</v>
      </c>
    </row>
    <row r="2390" spans="1:5" x14ac:dyDescent="0.3">
      <c r="A2390" t="s">
        <v>445</v>
      </c>
      <c r="B2390">
        <v>3201000293</v>
      </c>
      <c r="C2390">
        <v>632456040</v>
      </c>
      <c r="D2390" t="s">
        <v>3268</v>
      </c>
      <c r="E2390" t="str">
        <f t="shared" si="37"/>
        <v>Technodom3201000293</v>
      </c>
    </row>
    <row r="2391" spans="1:5" x14ac:dyDescent="0.3">
      <c r="A2391" t="s">
        <v>445</v>
      </c>
      <c r="B2391">
        <v>3201000637</v>
      </c>
      <c r="C2391">
        <v>640667920</v>
      </c>
      <c r="D2391" t="s">
        <v>3269</v>
      </c>
      <c r="E2391" t="str">
        <f t="shared" si="37"/>
        <v>Technodom3201000637</v>
      </c>
    </row>
    <row r="2392" spans="1:5" x14ac:dyDescent="0.3">
      <c r="A2392" t="s">
        <v>445</v>
      </c>
      <c r="B2392">
        <v>3201000209</v>
      </c>
      <c r="C2392">
        <v>658186200</v>
      </c>
      <c r="D2392" t="s">
        <v>3270</v>
      </c>
      <c r="E2392" t="str">
        <f t="shared" si="37"/>
        <v>Technodom3201000209</v>
      </c>
    </row>
    <row r="2393" spans="1:5" x14ac:dyDescent="0.3">
      <c r="A2393" t="s">
        <v>445</v>
      </c>
      <c r="B2393">
        <v>3201006240</v>
      </c>
      <c r="C2393">
        <v>662866040</v>
      </c>
      <c r="D2393" t="s">
        <v>3271</v>
      </c>
      <c r="E2393" t="str">
        <f t="shared" si="37"/>
        <v>Technodom3201006240</v>
      </c>
    </row>
    <row r="2394" spans="1:5" x14ac:dyDescent="0.3">
      <c r="A2394" t="s">
        <v>445</v>
      </c>
      <c r="B2394">
        <v>7211004366</v>
      </c>
      <c r="C2394" t="s">
        <v>1381</v>
      </c>
      <c r="D2394" t="s">
        <v>3272</v>
      </c>
      <c r="E2394" t="str">
        <f t="shared" si="37"/>
        <v>Technodom7211004366</v>
      </c>
    </row>
    <row r="2395" spans="1:5" x14ac:dyDescent="0.3">
      <c r="A2395" t="s">
        <v>445</v>
      </c>
      <c r="B2395">
        <v>3201002450</v>
      </c>
      <c r="C2395">
        <v>1283526040</v>
      </c>
      <c r="D2395" t="s">
        <v>3273</v>
      </c>
      <c r="E2395" t="str">
        <f t="shared" si="37"/>
        <v>Technodom3201002450</v>
      </c>
    </row>
    <row r="2396" spans="1:5" x14ac:dyDescent="0.3">
      <c r="A2396" t="s">
        <v>445</v>
      </c>
      <c r="B2396">
        <v>3201000135</v>
      </c>
      <c r="C2396">
        <v>1871346030</v>
      </c>
      <c r="D2396" t="s">
        <v>3274</v>
      </c>
      <c r="E2396" t="str">
        <f t="shared" si="37"/>
        <v>Technodom3201000135</v>
      </c>
    </row>
    <row r="2397" spans="1:5" x14ac:dyDescent="0.3">
      <c r="A2397" t="s">
        <v>445</v>
      </c>
      <c r="B2397">
        <v>3201000363</v>
      </c>
      <c r="C2397">
        <v>1873776040</v>
      </c>
      <c r="D2397" t="s">
        <v>3275</v>
      </c>
      <c r="E2397" t="str">
        <f t="shared" si="37"/>
        <v>Technodom3201000363</v>
      </c>
    </row>
    <row r="2398" spans="1:5" x14ac:dyDescent="0.3">
      <c r="A2398" t="s">
        <v>445</v>
      </c>
      <c r="B2398">
        <v>3201000239</v>
      </c>
      <c r="C2398">
        <v>1889466032</v>
      </c>
      <c r="D2398" t="s">
        <v>3276</v>
      </c>
      <c r="E2398" t="str">
        <f t="shared" si="37"/>
        <v>Technodom3201000239</v>
      </c>
    </row>
    <row r="2399" spans="1:5" x14ac:dyDescent="0.3">
      <c r="A2399" t="s">
        <v>445</v>
      </c>
      <c r="B2399">
        <v>3201002724</v>
      </c>
      <c r="C2399">
        <v>1889486032</v>
      </c>
      <c r="D2399" t="s">
        <v>3277</v>
      </c>
      <c r="E2399" t="str">
        <f t="shared" si="37"/>
        <v>Technodom3201002724</v>
      </c>
    </row>
    <row r="2400" spans="1:5" x14ac:dyDescent="0.3">
      <c r="A2400" t="s">
        <v>445</v>
      </c>
      <c r="B2400">
        <v>3201000244</v>
      </c>
      <c r="C2400">
        <v>1895379992</v>
      </c>
      <c r="D2400" t="s">
        <v>3278</v>
      </c>
      <c r="E2400" t="str">
        <f t="shared" si="37"/>
        <v>Technodom3201000244</v>
      </c>
    </row>
    <row r="2401" spans="1:5" x14ac:dyDescent="0.3">
      <c r="A2401" t="s">
        <v>445</v>
      </c>
      <c r="B2401">
        <v>3201000255</v>
      </c>
      <c r="C2401">
        <v>1895966032</v>
      </c>
      <c r="D2401" t="s">
        <v>3279</v>
      </c>
      <c r="E2401" t="str">
        <f t="shared" si="37"/>
        <v>Technodom3201000255</v>
      </c>
    </row>
    <row r="2402" spans="1:5" x14ac:dyDescent="0.3">
      <c r="A2402" t="s">
        <v>445</v>
      </c>
      <c r="B2402">
        <v>3201019505</v>
      </c>
      <c r="C2402">
        <v>1896259992</v>
      </c>
      <c r="D2402" t="s">
        <v>3280</v>
      </c>
      <c r="E2402" t="str">
        <f t="shared" si="37"/>
        <v>Technodom3201019505</v>
      </c>
    </row>
    <row r="2403" spans="1:5" x14ac:dyDescent="0.3">
      <c r="A2403" t="s">
        <v>445</v>
      </c>
      <c r="B2403">
        <v>3201000660</v>
      </c>
      <c r="C2403">
        <v>658277920</v>
      </c>
      <c r="D2403" t="s">
        <v>3281</v>
      </c>
      <c r="E2403" t="str">
        <f t="shared" si="37"/>
        <v>Technodom3201000660</v>
      </c>
    </row>
    <row r="2404" spans="1:5" x14ac:dyDescent="0.3">
      <c r="A2404" t="s">
        <v>445</v>
      </c>
      <c r="B2404">
        <v>3201000661</v>
      </c>
      <c r="C2404">
        <v>658337920</v>
      </c>
      <c r="D2404" t="s">
        <v>3282</v>
      </c>
      <c r="E2404" t="str">
        <f t="shared" si="37"/>
        <v>Technodom3201000661</v>
      </c>
    </row>
    <row r="2405" spans="1:5" x14ac:dyDescent="0.3">
      <c r="A2405" t="s">
        <v>445</v>
      </c>
      <c r="B2405">
        <v>3201111676</v>
      </c>
      <c r="C2405">
        <v>514595290</v>
      </c>
      <c r="D2405" t="s">
        <v>3283</v>
      </c>
      <c r="E2405" t="str">
        <f t="shared" si="37"/>
        <v>Technodom3201111676</v>
      </c>
    </row>
    <row r="2406" spans="1:5" x14ac:dyDescent="0.3">
      <c r="A2406" t="s">
        <v>445</v>
      </c>
      <c r="B2406">
        <v>3201000262</v>
      </c>
      <c r="C2406">
        <v>1283309964</v>
      </c>
      <c r="D2406" t="s">
        <v>3284</v>
      </c>
      <c r="E2406" t="str">
        <f t="shared" si="37"/>
        <v>Technodom3201000262</v>
      </c>
    </row>
    <row r="2407" spans="1:5" x14ac:dyDescent="0.3">
      <c r="A2407" t="s">
        <v>445</v>
      </c>
      <c r="B2407">
        <v>3201002447</v>
      </c>
      <c r="C2407">
        <v>1283506040</v>
      </c>
      <c r="D2407" t="s">
        <v>3285</v>
      </c>
      <c r="E2407" t="str">
        <f t="shared" si="37"/>
        <v>Technodom3201002447</v>
      </c>
    </row>
    <row r="2408" spans="1:5" x14ac:dyDescent="0.3">
      <c r="A2408" t="s">
        <v>445</v>
      </c>
      <c r="B2408">
        <v>3201005807</v>
      </c>
      <c r="C2408">
        <v>1286059964</v>
      </c>
      <c r="D2408" t="s">
        <v>3286</v>
      </c>
      <c r="E2408" t="str">
        <f t="shared" si="37"/>
        <v>Technodom3201005807</v>
      </c>
    </row>
    <row r="2409" spans="1:5" x14ac:dyDescent="0.3">
      <c r="A2409" t="s">
        <v>445</v>
      </c>
      <c r="B2409">
        <v>3201010289</v>
      </c>
      <c r="C2409">
        <v>1286079964</v>
      </c>
      <c r="D2409" t="s">
        <v>3287</v>
      </c>
      <c r="E2409" t="str">
        <f t="shared" si="37"/>
        <v>Technodom3201010289</v>
      </c>
    </row>
    <row r="2410" spans="1:5" x14ac:dyDescent="0.3">
      <c r="A2410" t="s">
        <v>445</v>
      </c>
      <c r="B2410">
        <v>3201002511</v>
      </c>
      <c r="C2410">
        <v>1291376040</v>
      </c>
      <c r="D2410" t="s">
        <v>3288</v>
      </c>
      <c r="E2410" t="str">
        <f t="shared" si="37"/>
        <v>Technodom3201002511</v>
      </c>
    </row>
    <row r="2411" spans="1:5" x14ac:dyDescent="0.3">
      <c r="A2411" t="s">
        <v>445</v>
      </c>
      <c r="B2411">
        <v>3201002530</v>
      </c>
      <c r="C2411">
        <v>1291606040</v>
      </c>
      <c r="D2411" t="s">
        <v>3289</v>
      </c>
      <c r="E2411" t="str">
        <f t="shared" si="37"/>
        <v>Technodom3201002530</v>
      </c>
    </row>
    <row r="2412" spans="1:5" x14ac:dyDescent="0.3">
      <c r="A2412" t="s">
        <v>445</v>
      </c>
      <c r="B2412">
        <v>3201000273</v>
      </c>
      <c r="C2412">
        <v>1291666046</v>
      </c>
      <c r="D2412" t="s">
        <v>3290</v>
      </c>
      <c r="E2412" t="str">
        <f t="shared" si="37"/>
        <v>Technodom3201000273</v>
      </c>
    </row>
    <row r="2413" spans="1:5" x14ac:dyDescent="0.3">
      <c r="A2413" t="s">
        <v>445</v>
      </c>
      <c r="B2413">
        <v>3201019442</v>
      </c>
      <c r="C2413">
        <v>1295036040</v>
      </c>
      <c r="D2413" t="s">
        <v>3291</v>
      </c>
      <c r="E2413" t="str">
        <f t="shared" si="37"/>
        <v>Technodom3201019442</v>
      </c>
    </row>
    <row r="2414" spans="1:5" x14ac:dyDescent="0.3">
      <c r="A2414" t="s">
        <v>445</v>
      </c>
      <c r="B2414">
        <v>3201000669</v>
      </c>
      <c r="C2414">
        <v>683969990</v>
      </c>
      <c r="D2414" t="s">
        <v>3292</v>
      </c>
      <c r="E2414" t="str">
        <f t="shared" si="37"/>
        <v>Technodom3201000669</v>
      </c>
    </row>
    <row r="2415" spans="1:5" x14ac:dyDescent="0.3">
      <c r="A2415" t="s">
        <v>445</v>
      </c>
      <c r="B2415">
        <v>3201000290</v>
      </c>
      <c r="C2415">
        <v>630796030</v>
      </c>
      <c r="D2415" t="s">
        <v>3293</v>
      </c>
      <c r="E2415" t="str">
        <f t="shared" si="37"/>
        <v>Technodom3201000290</v>
      </c>
    </row>
    <row r="2416" spans="1:5" x14ac:dyDescent="0.3">
      <c r="A2416" t="s">
        <v>445</v>
      </c>
      <c r="B2416">
        <v>1830007838</v>
      </c>
      <c r="C2416" t="s">
        <v>1531</v>
      </c>
      <c r="D2416" t="s">
        <v>3294</v>
      </c>
      <c r="E2416" t="str">
        <f t="shared" si="37"/>
        <v>Technodom1830007838</v>
      </c>
    </row>
    <row r="2417" spans="1:5" x14ac:dyDescent="0.3">
      <c r="A2417" t="s">
        <v>445</v>
      </c>
      <c r="B2417">
        <v>1830008061</v>
      </c>
      <c r="C2417" t="s">
        <v>1392</v>
      </c>
      <c r="D2417" t="s">
        <v>3295</v>
      </c>
      <c r="E2417" t="str">
        <f t="shared" si="37"/>
        <v>Technodom1830008061</v>
      </c>
    </row>
    <row r="2418" spans="1:5" x14ac:dyDescent="0.3">
      <c r="A2418" t="s">
        <v>445</v>
      </c>
      <c r="B2418">
        <v>1830008064</v>
      </c>
      <c r="C2418" t="s">
        <v>3296</v>
      </c>
      <c r="D2418" t="s">
        <v>3297</v>
      </c>
      <c r="E2418" t="str">
        <f t="shared" si="37"/>
        <v>Technodom1830008064</v>
      </c>
    </row>
    <row r="2419" spans="1:5" x14ac:dyDescent="0.3">
      <c r="A2419" t="s">
        <v>445</v>
      </c>
      <c r="B2419">
        <v>3201000198</v>
      </c>
      <c r="C2419">
        <v>640717920</v>
      </c>
      <c r="D2419" t="s">
        <v>3298</v>
      </c>
      <c r="E2419" t="str">
        <f t="shared" si="37"/>
        <v>Technodom3201000198</v>
      </c>
    </row>
    <row r="2420" spans="1:5" x14ac:dyDescent="0.3">
      <c r="A2420" t="s">
        <v>445</v>
      </c>
      <c r="B2420">
        <v>9100004179</v>
      </c>
      <c r="C2420">
        <v>4090122</v>
      </c>
      <c r="D2420" t="s">
        <v>3299</v>
      </c>
      <c r="E2420" t="str">
        <f t="shared" si="37"/>
        <v>Technodom9100004179</v>
      </c>
    </row>
    <row r="2421" spans="1:5" x14ac:dyDescent="0.3">
      <c r="A2421" t="s">
        <v>445</v>
      </c>
      <c r="B2421">
        <v>9100004180</v>
      </c>
      <c r="C2421">
        <v>4090118</v>
      </c>
      <c r="D2421" t="s">
        <v>3300</v>
      </c>
      <c r="E2421" t="str">
        <f t="shared" si="37"/>
        <v>Technodom9100004180</v>
      </c>
    </row>
    <row r="2422" spans="1:5" x14ac:dyDescent="0.3">
      <c r="A2422" t="s">
        <v>445</v>
      </c>
      <c r="B2422">
        <v>9100004140</v>
      </c>
      <c r="C2422">
        <v>4090120</v>
      </c>
      <c r="D2422" t="s">
        <v>3301</v>
      </c>
      <c r="E2422" t="str">
        <f t="shared" si="37"/>
        <v>Technodom9100004140</v>
      </c>
    </row>
    <row r="2423" spans="1:5" x14ac:dyDescent="0.3">
      <c r="A2423" t="s">
        <v>445</v>
      </c>
      <c r="B2423">
        <v>9100004195</v>
      </c>
      <c r="C2423">
        <v>4090130</v>
      </c>
      <c r="D2423" t="s">
        <v>3302</v>
      </c>
      <c r="E2423" t="str">
        <f t="shared" si="37"/>
        <v>Technodom9100004195</v>
      </c>
    </row>
    <row r="2424" spans="1:5" x14ac:dyDescent="0.3">
      <c r="A2424" t="s">
        <v>445</v>
      </c>
      <c r="B2424">
        <v>9100040498</v>
      </c>
      <c r="C2424">
        <v>4199716</v>
      </c>
      <c r="D2424" t="s">
        <v>3303</v>
      </c>
      <c r="E2424" t="str">
        <f t="shared" si="37"/>
        <v>Technodom9100040498</v>
      </c>
    </row>
    <row r="2425" spans="1:5" x14ac:dyDescent="0.3">
      <c r="A2425" t="s">
        <v>445</v>
      </c>
      <c r="B2425">
        <v>9100040499</v>
      </c>
      <c r="C2425">
        <v>4199718</v>
      </c>
      <c r="D2425" t="s">
        <v>3304</v>
      </c>
      <c r="E2425" t="str">
        <f t="shared" si="37"/>
        <v>Technodom9100040499</v>
      </c>
    </row>
    <row r="2426" spans="1:5" x14ac:dyDescent="0.3">
      <c r="A2426" t="s">
        <v>445</v>
      </c>
      <c r="B2426">
        <v>9100040500</v>
      </c>
      <c r="C2426">
        <v>4199720</v>
      </c>
      <c r="D2426" t="s">
        <v>3305</v>
      </c>
      <c r="E2426" t="str">
        <f t="shared" si="37"/>
        <v>Technodom9100040500</v>
      </c>
    </row>
    <row r="2427" spans="1:5" x14ac:dyDescent="0.3">
      <c r="A2427" t="s">
        <v>445</v>
      </c>
      <c r="B2427">
        <v>9100040501</v>
      </c>
      <c r="C2427">
        <v>4199722</v>
      </c>
      <c r="D2427" t="s">
        <v>3306</v>
      </c>
      <c r="E2427" t="str">
        <f t="shared" si="37"/>
        <v>Technodom9100040501</v>
      </c>
    </row>
    <row r="2428" spans="1:5" x14ac:dyDescent="0.3">
      <c r="A2428" t="s">
        <v>445</v>
      </c>
      <c r="B2428">
        <v>9100040504</v>
      </c>
      <c r="C2428">
        <v>4199728</v>
      </c>
      <c r="D2428" t="s">
        <v>3307</v>
      </c>
      <c r="E2428" t="str">
        <f t="shared" si="37"/>
        <v>Technodom9100040504</v>
      </c>
    </row>
    <row r="2429" spans="1:5" x14ac:dyDescent="0.3">
      <c r="A2429" t="s">
        <v>445</v>
      </c>
      <c r="B2429">
        <v>3201002625</v>
      </c>
      <c r="C2429">
        <v>728399902</v>
      </c>
      <c r="D2429" t="s">
        <v>3308</v>
      </c>
      <c r="E2429" t="str">
        <f t="shared" si="37"/>
        <v>Technodom3201002625</v>
      </c>
    </row>
    <row r="2430" spans="1:5" x14ac:dyDescent="0.3">
      <c r="A2430" t="s">
        <v>445</v>
      </c>
      <c r="B2430">
        <v>2211400752</v>
      </c>
      <c r="C2430" t="s">
        <v>2345</v>
      </c>
      <c r="D2430" t="s">
        <v>3309</v>
      </c>
      <c r="E2430" t="str">
        <f t="shared" si="37"/>
        <v>Technodom2211400752</v>
      </c>
    </row>
    <row r="2431" spans="1:5" x14ac:dyDescent="0.3">
      <c r="A2431" t="s">
        <v>445</v>
      </c>
      <c r="B2431">
        <v>2211400878</v>
      </c>
      <c r="C2431" t="s">
        <v>2347</v>
      </c>
      <c r="D2431" t="s">
        <v>3310</v>
      </c>
      <c r="E2431" t="str">
        <f t="shared" si="37"/>
        <v>Technodom2211400878</v>
      </c>
    </row>
    <row r="2432" spans="1:5" x14ac:dyDescent="0.3">
      <c r="A2432" t="s">
        <v>445</v>
      </c>
      <c r="B2432">
        <v>2211400925</v>
      </c>
      <c r="C2432" t="s">
        <v>3311</v>
      </c>
      <c r="D2432" t="s">
        <v>3312</v>
      </c>
      <c r="E2432" t="str">
        <f t="shared" si="37"/>
        <v>Technodom2211400925</v>
      </c>
    </row>
    <row r="2433" spans="1:5" x14ac:dyDescent="0.3">
      <c r="A2433" t="s">
        <v>445</v>
      </c>
      <c r="B2433">
        <v>2211400926</v>
      </c>
      <c r="C2433" t="s">
        <v>3313</v>
      </c>
      <c r="D2433" t="s">
        <v>3314</v>
      </c>
      <c r="E2433" t="str">
        <f t="shared" si="37"/>
        <v>Technodom2211400926</v>
      </c>
    </row>
    <row r="2434" spans="1:5" x14ac:dyDescent="0.3">
      <c r="A2434" t="s">
        <v>445</v>
      </c>
      <c r="B2434">
        <v>2211400927</v>
      </c>
      <c r="C2434" t="s">
        <v>3315</v>
      </c>
      <c r="D2434" t="s">
        <v>3316</v>
      </c>
      <c r="E2434" t="str">
        <f t="shared" si="37"/>
        <v>Technodom2211400927</v>
      </c>
    </row>
    <row r="2435" spans="1:5" x14ac:dyDescent="0.3">
      <c r="A2435" t="s">
        <v>445</v>
      </c>
      <c r="B2435">
        <v>1830008169</v>
      </c>
      <c r="C2435" t="s">
        <v>1270</v>
      </c>
      <c r="D2435" t="s">
        <v>3317</v>
      </c>
      <c r="E2435" t="str">
        <f t="shared" ref="E2435:E2498" si="38">A2435&amp;B2435</f>
        <v>Technodom1830008169</v>
      </c>
    </row>
    <row r="2436" spans="1:5" x14ac:dyDescent="0.3">
      <c r="A2436" t="s">
        <v>445</v>
      </c>
      <c r="B2436">
        <v>2100118460</v>
      </c>
      <c r="C2436" t="s">
        <v>3318</v>
      </c>
      <c r="D2436" t="s">
        <v>3319</v>
      </c>
      <c r="E2436" t="str">
        <f t="shared" si="38"/>
        <v>Technodom2100118460</v>
      </c>
    </row>
    <row r="2437" spans="1:5" x14ac:dyDescent="0.3">
      <c r="A2437" t="s">
        <v>445</v>
      </c>
      <c r="B2437">
        <v>2100119885</v>
      </c>
      <c r="C2437" t="s">
        <v>1492</v>
      </c>
      <c r="D2437" t="s">
        <v>3320</v>
      </c>
      <c r="E2437" t="str">
        <f t="shared" si="38"/>
        <v>Technodom2100119885</v>
      </c>
    </row>
    <row r="2438" spans="1:5" x14ac:dyDescent="0.3">
      <c r="A2438" t="s">
        <v>445</v>
      </c>
      <c r="B2438">
        <v>3201000142</v>
      </c>
      <c r="C2438">
        <v>1871486030</v>
      </c>
      <c r="D2438" t="s">
        <v>3321</v>
      </c>
      <c r="E2438" t="str">
        <f t="shared" si="38"/>
        <v>Technodom3201000142</v>
      </c>
    </row>
    <row r="2439" spans="1:5" x14ac:dyDescent="0.3">
      <c r="A2439" t="s">
        <v>445</v>
      </c>
      <c r="B2439">
        <v>3201000147</v>
      </c>
      <c r="C2439">
        <v>1871636030</v>
      </c>
      <c r="D2439" t="s">
        <v>3322</v>
      </c>
      <c r="E2439" t="str">
        <f t="shared" si="38"/>
        <v>Technodom3201000147</v>
      </c>
    </row>
    <row r="2440" spans="1:5" x14ac:dyDescent="0.3">
      <c r="A2440" t="s">
        <v>445</v>
      </c>
      <c r="B2440">
        <v>3201002725</v>
      </c>
      <c r="C2440">
        <v>1889506032</v>
      </c>
      <c r="D2440" t="s">
        <v>3323</v>
      </c>
      <c r="E2440" t="str">
        <f t="shared" si="38"/>
        <v>Technodom3201002725</v>
      </c>
    </row>
    <row r="2441" spans="1:5" x14ac:dyDescent="0.3">
      <c r="A2441" t="s">
        <v>445</v>
      </c>
      <c r="B2441">
        <v>3201002731</v>
      </c>
      <c r="C2441">
        <v>1889669992</v>
      </c>
      <c r="D2441" t="s">
        <v>3324</v>
      </c>
      <c r="E2441" t="str">
        <f t="shared" si="38"/>
        <v>Technodom3201002731</v>
      </c>
    </row>
    <row r="2442" spans="1:5" x14ac:dyDescent="0.3">
      <c r="A2442" t="s">
        <v>445</v>
      </c>
      <c r="B2442">
        <v>2100120022</v>
      </c>
      <c r="C2442" t="s">
        <v>426</v>
      </c>
      <c r="D2442" t="s">
        <v>3325</v>
      </c>
      <c r="E2442" t="str">
        <f t="shared" si="38"/>
        <v>Technodom2100120022</v>
      </c>
    </row>
    <row r="2443" spans="1:5" x14ac:dyDescent="0.3">
      <c r="A2443" t="s">
        <v>445</v>
      </c>
      <c r="B2443">
        <v>2100119955</v>
      </c>
      <c r="C2443" t="s">
        <v>421</v>
      </c>
      <c r="D2443" t="s">
        <v>3326</v>
      </c>
      <c r="E2443" t="str">
        <f t="shared" si="38"/>
        <v>Technodom2100119955</v>
      </c>
    </row>
    <row r="2444" spans="1:5" x14ac:dyDescent="0.3">
      <c r="A2444" t="s">
        <v>445</v>
      </c>
      <c r="B2444">
        <v>2100118305</v>
      </c>
      <c r="C2444" t="s">
        <v>3327</v>
      </c>
      <c r="D2444" t="s">
        <v>3328</v>
      </c>
      <c r="E2444" t="str">
        <f t="shared" si="38"/>
        <v>Technodom2100118305</v>
      </c>
    </row>
    <row r="2445" spans="1:5" x14ac:dyDescent="0.3">
      <c r="A2445" t="s">
        <v>445</v>
      </c>
      <c r="B2445">
        <v>3201000277</v>
      </c>
      <c r="C2445">
        <v>1291786040</v>
      </c>
      <c r="D2445" t="s">
        <v>3329</v>
      </c>
      <c r="E2445" t="str">
        <f t="shared" si="38"/>
        <v>Technodom3201000277</v>
      </c>
    </row>
    <row r="2446" spans="1:5" x14ac:dyDescent="0.3">
      <c r="A2446" t="s">
        <v>445</v>
      </c>
      <c r="B2446">
        <v>2100118168</v>
      </c>
      <c r="C2446" t="s">
        <v>437</v>
      </c>
      <c r="D2446" t="s">
        <v>3330</v>
      </c>
      <c r="E2446" t="str">
        <f t="shared" si="38"/>
        <v>Technodom2100118168</v>
      </c>
    </row>
    <row r="2447" spans="1:5" x14ac:dyDescent="0.3">
      <c r="A2447" t="s">
        <v>445</v>
      </c>
      <c r="B2447">
        <v>2100118174</v>
      </c>
      <c r="C2447" t="s">
        <v>3331</v>
      </c>
      <c r="D2447" t="s">
        <v>3332</v>
      </c>
      <c r="E2447" t="str">
        <f t="shared" si="38"/>
        <v>Technodom2100118174</v>
      </c>
    </row>
    <row r="2448" spans="1:5" x14ac:dyDescent="0.3">
      <c r="A2448" t="s">
        <v>445</v>
      </c>
      <c r="B2448">
        <v>2100118933</v>
      </c>
      <c r="C2448" t="s">
        <v>1213</v>
      </c>
      <c r="D2448" t="s">
        <v>3333</v>
      </c>
      <c r="E2448" t="str">
        <f t="shared" si="38"/>
        <v>Technodom2100118933</v>
      </c>
    </row>
    <row r="2449" spans="1:5" x14ac:dyDescent="0.3">
      <c r="A2449" t="s">
        <v>445</v>
      </c>
      <c r="B2449">
        <v>2100118292</v>
      </c>
      <c r="C2449" t="s">
        <v>3334</v>
      </c>
      <c r="D2449" t="s">
        <v>3335</v>
      </c>
      <c r="E2449" t="str">
        <f t="shared" si="38"/>
        <v>Technodom2100118292</v>
      </c>
    </row>
    <row r="2450" spans="1:5" x14ac:dyDescent="0.3">
      <c r="A2450" t="s">
        <v>445</v>
      </c>
      <c r="B2450">
        <v>2100118287</v>
      </c>
      <c r="C2450" t="s">
        <v>3336</v>
      </c>
      <c r="D2450" t="s">
        <v>3337</v>
      </c>
      <c r="E2450" t="str">
        <f t="shared" si="38"/>
        <v>Technodom2100118287</v>
      </c>
    </row>
    <row r="2451" spans="1:5" x14ac:dyDescent="0.3">
      <c r="A2451" t="s">
        <v>445</v>
      </c>
      <c r="B2451">
        <v>2100118291</v>
      </c>
      <c r="C2451" t="s">
        <v>3338</v>
      </c>
      <c r="D2451" t="s">
        <v>3339</v>
      </c>
      <c r="E2451" t="str">
        <f t="shared" si="38"/>
        <v>Technodom2100118291</v>
      </c>
    </row>
    <row r="2452" spans="1:5" x14ac:dyDescent="0.3">
      <c r="A2452" t="s">
        <v>445</v>
      </c>
      <c r="B2452">
        <v>2100118304</v>
      </c>
      <c r="C2452" t="s">
        <v>3340</v>
      </c>
      <c r="D2452" t="s">
        <v>3341</v>
      </c>
      <c r="E2452" t="str">
        <f t="shared" si="38"/>
        <v>Technodom2100118304</v>
      </c>
    </row>
    <row r="2453" spans="1:5" x14ac:dyDescent="0.3">
      <c r="A2453" t="s">
        <v>445</v>
      </c>
      <c r="B2453">
        <v>2100118462</v>
      </c>
      <c r="C2453" t="s">
        <v>3342</v>
      </c>
      <c r="D2453" t="s">
        <v>3343</v>
      </c>
      <c r="E2453" t="str">
        <f t="shared" si="38"/>
        <v>Technodom2100118462</v>
      </c>
    </row>
    <row r="2454" spans="1:5" x14ac:dyDescent="0.3">
      <c r="A2454" t="s">
        <v>445</v>
      </c>
      <c r="B2454">
        <v>2100118303</v>
      </c>
      <c r="C2454" t="s">
        <v>3344</v>
      </c>
      <c r="D2454" t="s">
        <v>3345</v>
      </c>
      <c r="E2454" t="str">
        <f t="shared" si="38"/>
        <v>Technodom2100118303</v>
      </c>
    </row>
    <row r="2455" spans="1:5" x14ac:dyDescent="0.3">
      <c r="A2455" t="s">
        <v>445</v>
      </c>
      <c r="B2455">
        <v>2100118464</v>
      </c>
      <c r="C2455" t="s">
        <v>3346</v>
      </c>
      <c r="D2455" t="s">
        <v>3347</v>
      </c>
      <c r="E2455" t="str">
        <f t="shared" si="38"/>
        <v>Technodom2100118464</v>
      </c>
    </row>
    <row r="2456" spans="1:5" x14ac:dyDescent="0.3">
      <c r="A2456" t="s">
        <v>445</v>
      </c>
      <c r="B2456">
        <v>2100118301</v>
      </c>
      <c r="C2456" t="s">
        <v>3348</v>
      </c>
      <c r="D2456" t="s">
        <v>3349</v>
      </c>
      <c r="E2456" t="str">
        <f t="shared" si="38"/>
        <v>Technodom2100118301</v>
      </c>
    </row>
    <row r="2457" spans="1:5" x14ac:dyDescent="0.3">
      <c r="A2457" t="s">
        <v>445</v>
      </c>
      <c r="B2457">
        <v>2100118299</v>
      </c>
      <c r="C2457" t="s">
        <v>3350</v>
      </c>
      <c r="D2457" t="s">
        <v>3351</v>
      </c>
      <c r="E2457" t="str">
        <f t="shared" si="38"/>
        <v>Technodom2100118299</v>
      </c>
    </row>
    <row r="2458" spans="1:5" x14ac:dyDescent="0.3">
      <c r="A2458" t="s">
        <v>445</v>
      </c>
      <c r="B2458">
        <v>2100118300</v>
      </c>
      <c r="C2458" t="s">
        <v>3352</v>
      </c>
      <c r="D2458" t="s">
        <v>3353</v>
      </c>
      <c r="E2458" t="str">
        <f t="shared" si="38"/>
        <v>Technodom2100118300</v>
      </c>
    </row>
    <row r="2459" spans="1:5" x14ac:dyDescent="0.3">
      <c r="A2459" t="s">
        <v>445</v>
      </c>
      <c r="B2459">
        <v>2100118308</v>
      </c>
      <c r="C2459" t="s">
        <v>1211</v>
      </c>
      <c r="D2459" t="s">
        <v>3354</v>
      </c>
      <c r="E2459" t="str">
        <f t="shared" si="38"/>
        <v>Technodom2100118308</v>
      </c>
    </row>
    <row r="2460" spans="1:5" x14ac:dyDescent="0.3">
      <c r="A2460" t="s">
        <v>445</v>
      </c>
      <c r="B2460">
        <v>3100504687</v>
      </c>
      <c r="C2460">
        <v>504687</v>
      </c>
      <c r="D2460" t="s">
        <v>3355</v>
      </c>
      <c r="E2460" t="str">
        <f t="shared" si="38"/>
        <v>Technodom3100504687</v>
      </c>
    </row>
    <row r="2461" spans="1:5" x14ac:dyDescent="0.3">
      <c r="A2461" t="s">
        <v>445</v>
      </c>
      <c r="B2461">
        <v>1600005408</v>
      </c>
      <c r="C2461" t="s">
        <v>1509</v>
      </c>
      <c r="D2461" t="s">
        <v>3356</v>
      </c>
      <c r="E2461" t="str">
        <f t="shared" si="38"/>
        <v>Technodom1600005408</v>
      </c>
    </row>
    <row r="2462" spans="1:5" x14ac:dyDescent="0.3">
      <c r="A2462" t="s">
        <v>445</v>
      </c>
      <c r="B2462">
        <v>1830008193</v>
      </c>
      <c r="C2462" t="s">
        <v>1361</v>
      </c>
      <c r="D2462" t="s">
        <v>3357</v>
      </c>
      <c r="E2462" t="str">
        <f t="shared" si="38"/>
        <v>Technodom1830008193</v>
      </c>
    </row>
    <row r="2463" spans="1:5" x14ac:dyDescent="0.3">
      <c r="A2463" t="s">
        <v>445</v>
      </c>
      <c r="B2463">
        <v>1830007670</v>
      </c>
      <c r="C2463" t="s">
        <v>1607</v>
      </c>
      <c r="D2463" t="s">
        <v>3358</v>
      </c>
      <c r="E2463" t="str">
        <f t="shared" si="38"/>
        <v>Technodom1830007670</v>
      </c>
    </row>
    <row r="2464" spans="1:5" x14ac:dyDescent="0.3">
      <c r="A2464" t="s">
        <v>445</v>
      </c>
      <c r="B2464">
        <v>1830008163</v>
      </c>
      <c r="C2464" t="s">
        <v>3359</v>
      </c>
      <c r="D2464" t="s">
        <v>3360</v>
      </c>
      <c r="E2464" t="str">
        <f t="shared" si="38"/>
        <v>Technodom1830008163</v>
      </c>
    </row>
    <row r="2465" spans="1:5" x14ac:dyDescent="0.3">
      <c r="A2465" t="s">
        <v>445</v>
      </c>
      <c r="B2465">
        <v>2100121737</v>
      </c>
      <c r="C2465" t="s">
        <v>3361</v>
      </c>
      <c r="D2465" t="s">
        <v>3362</v>
      </c>
      <c r="E2465" t="str">
        <f t="shared" si="38"/>
        <v>Technodom2100121737</v>
      </c>
    </row>
    <row r="2466" spans="1:5" x14ac:dyDescent="0.3">
      <c r="A2466" t="s">
        <v>445</v>
      </c>
      <c r="B2466">
        <v>2100121732</v>
      </c>
      <c r="C2466" t="s">
        <v>434</v>
      </c>
      <c r="D2466" t="s">
        <v>3363</v>
      </c>
      <c r="E2466" t="str">
        <f t="shared" si="38"/>
        <v>Technodom2100121732</v>
      </c>
    </row>
    <row r="2467" spans="1:5" x14ac:dyDescent="0.3">
      <c r="A2467" t="s">
        <v>445</v>
      </c>
      <c r="B2467">
        <v>2100121739</v>
      </c>
      <c r="C2467" t="s">
        <v>433</v>
      </c>
      <c r="D2467" t="s">
        <v>3364</v>
      </c>
      <c r="E2467" t="str">
        <f t="shared" si="38"/>
        <v>Technodom2100121739</v>
      </c>
    </row>
    <row r="2468" spans="1:5" x14ac:dyDescent="0.3">
      <c r="A2468" t="s">
        <v>445</v>
      </c>
      <c r="B2468">
        <v>2100121731</v>
      </c>
      <c r="C2468" t="s">
        <v>3365</v>
      </c>
      <c r="D2468" t="s">
        <v>3366</v>
      </c>
      <c r="E2468" t="str">
        <f t="shared" si="38"/>
        <v>Technodom2100121731</v>
      </c>
    </row>
    <row r="2469" spans="1:5" x14ac:dyDescent="0.3">
      <c r="A2469" t="s">
        <v>445</v>
      </c>
      <c r="B2469">
        <v>2100121738</v>
      </c>
      <c r="C2469" t="s">
        <v>435</v>
      </c>
      <c r="D2469" t="s">
        <v>3367</v>
      </c>
      <c r="E2469" t="str">
        <f t="shared" si="38"/>
        <v>Technodom2100121738</v>
      </c>
    </row>
    <row r="2470" spans="1:5" x14ac:dyDescent="0.3">
      <c r="A2470" t="s">
        <v>445</v>
      </c>
      <c r="B2470">
        <v>2100121762</v>
      </c>
      <c r="C2470" t="s">
        <v>1496</v>
      </c>
      <c r="D2470" t="s">
        <v>3368</v>
      </c>
      <c r="E2470" t="str">
        <f t="shared" si="38"/>
        <v>Technodom2100121762</v>
      </c>
    </row>
    <row r="2471" spans="1:5" x14ac:dyDescent="0.3">
      <c r="A2471" t="s">
        <v>445</v>
      </c>
      <c r="B2471">
        <v>2100118828</v>
      </c>
      <c r="C2471" t="s">
        <v>1567</v>
      </c>
      <c r="D2471" t="s">
        <v>3369</v>
      </c>
      <c r="E2471" t="str">
        <f t="shared" si="38"/>
        <v>Technodom2100118828</v>
      </c>
    </row>
    <row r="2472" spans="1:5" x14ac:dyDescent="0.3">
      <c r="A2472" t="s">
        <v>445</v>
      </c>
      <c r="B2472">
        <v>2100121273</v>
      </c>
      <c r="C2472" t="s">
        <v>3370</v>
      </c>
      <c r="D2472" t="s">
        <v>3371</v>
      </c>
      <c r="E2472" t="str">
        <f t="shared" si="38"/>
        <v>Technodom2100121273</v>
      </c>
    </row>
    <row r="2473" spans="1:5" x14ac:dyDescent="0.3">
      <c r="A2473" t="s">
        <v>445</v>
      </c>
      <c r="B2473">
        <v>2100121261</v>
      </c>
      <c r="C2473" t="s">
        <v>3372</v>
      </c>
      <c r="D2473" t="s">
        <v>3373</v>
      </c>
      <c r="E2473" t="str">
        <f t="shared" si="38"/>
        <v>Technodom2100121261</v>
      </c>
    </row>
    <row r="2474" spans="1:5" x14ac:dyDescent="0.3">
      <c r="A2474" t="s">
        <v>445</v>
      </c>
      <c r="B2474">
        <v>2100121266</v>
      </c>
      <c r="C2474" t="s">
        <v>3374</v>
      </c>
      <c r="D2474" t="s">
        <v>3375</v>
      </c>
      <c r="E2474" t="str">
        <f t="shared" si="38"/>
        <v>Technodom2100121266</v>
      </c>
    </row>
    <row r="2475" spans="1:5" x14ac:dyDescent="0.3">
      <c r="A2475" t="s">
        <v>445</v>
      </c>
      <c r="B2475">
        <v>1830007687</v>
      </c>
      <c r="C2475" t="s">
        <v>1402</v>
      </c>
      <c r="D2475" t="s">
        <v>3376</v>
      </c>
      <c r="E2475" t="str">
        <f t="shared" si="38"/>
        <v>Technodom1830007687</v>
      </c>
    </row>
    <row r="2476" spans="1:5" x14ac:dyDescent="0.3">
      <c r="A2476" t="s">
        <v>445</v>
      </c>
      <c r="B2476">
        <v>4100000679</v>
      </c>
      <c r="C2476" t="s">
        <v>2475</v>
      </c>
      <c r="D2476" t="s">
        <v>3377</v>
      </c>
      <c r="E2476" t="str">
        <f t="shared" si="38"/>
        <v>Technodom4100000679</v>
      </c>
    </row>
    <row r="2477" spans="1:5" x14ac:dyDescent="0.3">
      <c r="A2477" t="s">
        <v>445</v>
      </c>
      <c r="B2477">
        <v>3201000659</v>
      </c>
      <c r="C2477">
        <v>658257920</v>
      </c>
      <c r="D2477" t="s">
        <v>3378</v>
      </c>
      <c r="E2477" t="str">
        <f t="shared" si="38"/>
        <v>Technodom3201000659</v>
      </c>
    </row>
    <row r="2478" spans="1:5" x14ac:dyDescent="0.3">
      <c r="A2478" t="s">
        <v>445</v>
      </c>
      <c r="B2478">
        <v>8010000985</v>
      </c>
      <c r="C2478" t="s">
        <v>76</v>
      </c>
      <c r="D2478" t="s">
        <v>379</v>
      </c>
      <c r="E2478" t="str">
        <f t="shared" si="38"/>
        <v>Technodom8010000985</v>
      </c>
    </row>
    <row r="2479" spans="1:5" x14ac:dyDescent="0.3">
      <c r="A2479" t="s">
        <v>445</v>
      </c>
      <c r="B2479">
        <v>3201000146</v>
      </c>
      <c r="C2479">
        <v>1871596030</v>
      </c>
      <c r="D2479" t="s">
        <v>3379</v>
      </c>
      <c r="E2479" t="str">
        <f t="shared" si="38"/>
        <v>Technodom3201000146</v>
      </c>
    </row>
    <row r="2480" spans="1:5" x14ac:dyDescent="0.3">
      <c r="A2480" t="s">
        <v>445</v>
      </c>
      <c r="B2480">
        <v>3201000233</v>
      </c>
      <c r="C2480">
        <v>1886879990</v>
      </c>
      <c r="D2480" t="s">
        <v>3380</v>
      </c>
      <c r="E2480" t="str">
        <f t="shared" si="38"/>
        <v>Technodom3201000233</v>
      </c>
    </row>
    <row r="2481" spans="1:5" x14ac:dyDescent="0.3">
      <c r="A2481" t="s">
        <v>445</v>
      </c>
      <c r="B2481">
        <v>8900535190</v>
      </c>
      <c r="C2481">
        <v>760046380</v>
      </c>
      <c r="D2481" t="s">
        <v>3381</v>
      </c>
      <c r="E2481" t="str">
        <f t="shared" si="38"/>
        <v>Technodom8900535190</v>
      </c>
    </row>
    <row r="2482" spans="1:5" x14ac:dyDescent="0.3">
      <c r="A2482" t="s">
        <v>445</v>
      </c>
      <c r="B2482">
        <v>3201004896</v>
      </c>
      <c r="C2482">
        <v>1207916342</v>
      </c>
      <c r="D2482" t="s">
        <v>3382</v>
      </c>
      <c r="E2482" t="str">
        <f t="shared" si="38"/>
        <v>Technodom3201004896</v>
      </c>
    </row>
    <row r="2483" spans="1:5" x14ac:dyDescent="0.3">
      <c r="A2483" t="s">
        <v>445</v>
      </c>
      <c r="B2483">
        <v>3201005805</v>
      </c>
      <c r="C2483">
        <v>1286049964</v>
      </c>
      <c r="D2483" t="s">
        <v>3383</v>
      </c>
      <c r="E2483" t="str">
        <f t="shared" si="38"/>
        <v>Technodom3201005805</v>
      </c>
    </row>
    <row r="2484" spans="1:5" x14ac:dyDescent="0.3">
      <c r="A2484" t="s">
        <v>445</v>
      </c>
      <c r="B2484">
        <v>3201005816</v>
      </c>
      <c r="C2484">
        <v>1296436042</v>
      </c>
      <c r="D2484" t="s">
        <v>3384</v>
      </c>
      <c r="E2484" t="str">
        <f t="shared" si="38"/>
        <v>Technodom3201005816</v>
      </c>
    </row>
    <row r="2485" spans="1:5" x14ac:dyDescent="0.3">
      <c r="A2485" t="s">
        <v>445</v>
      </c>
      <c r="B2485">
        <v>3201000256</v>
      </c>
      <c r="C2485">
        <v>616687400</v>
      </c>
      <c r="D2485" t="s">
        <v>3385</v>
      </c>
      <c r="E2485" t="str">
        <f t="shared" si="38"/>
        <v>Technodom3201000256</v>
      </c>
    </row>
    <row r="2486" spans="1:5" x14ac:dyDescent="0.3">
      <c r="A2486" t="s">
        <v>445</v>
      </c>
      <c r="B2486">
        <v>3201001644</v>
      </c>
      <c r="C2486">
        <v>948642040</v>
      </c>
      <c r="D2486" t="s">
        <v>3386</v>
      </c>
      <c r="E2486" t="str">
        <f t="shared" si="38"/>
        <v>Technodom3201001644</v>
      </c>
    </row>
    <row r="2487" spans="1:5" x14ac:dyDescent="0.3">
      <c r="A2487" t="s">
        <v>445</v>
      </c>
      <c r="B2487">
        <v>3201000336</v>
      </c>
      <c r="C2487">
        <v>575244021</v>
      </c>
      <c r="D2487" t="s">
        <v>3387</v>
      </c>
      <c r="E2487" t="str">
        <f t="shared" si="38"/>
        <v>Technodom3201000336</v>
      </c>
    </row>
    <row r="2488" spans="1:5" x14ac:dyDescent="0.3">
      <c r="A2488" t="s">
        <v>445</v>
      </c>
      <c r="B2488">
        <v>3201000291</v>
      </c>
      <c r="C2488">
        <v>631016030</v>
      </c>
      <c r="D2488" t="s">
        <v>3388</v>
      </c>
      <c r="E2488" t="str">
        <f t="shared" si="38"/>
        <v>Technodom3201000291</v>
      </c>
    </row>
    <row r="2489" spans="1:5" x14ac:dyDescent="0.3">
      <c r="A2489" t="s">
        <v>445</v>
      </c>
      <c r="B2489">
        <v>2100122012</v>
      </c>
      <c r="C2489" t="s">
        <v>1305</v>
      </c>
      <c r="D2489" t="s">
        <v>3389</v>
      </c>
      <c r="E2489" t="str">
        <f t="shared" si="38"/>
        <v>Technodom2100122012</v>
      </c>
    </row>
    <row r="2490" spans="1:5" x14ac:dyDescent="0.3">
      <c r="A2490" t="s">
        <v>445</v>
      </c>
      <c r="B2490">
        <v>2100122010</v>
      </c>
      <c r="C2490" t="s">
        <v>1307</v>
      </c>
      <c r="D2490" t="s">
        <v>3390</v>
      </c>
      <c r="E2490" t="str">
        <f t="shared" si="38"/>
        <v>Technodom2100122010</v>
      </c>
    </row>
    <row r="2491" spans="1:5" x14ac:dyDescent="0.3">
      <c r="A2491" t="s">
        <v>445</v>
      </c>
      <c r="B2491">
        <v>4100000622</v>
      </c>
      <c r="C2491" t="s">
        <v>1406</v>
      </c>
      <c r="D2491" t="s">
        <v>3391</v>
      </c>
      <c r="E2491" t="str">
        <f t="shared" si="38"/>
        <v>Technodom4100000622</v>
      </c>
    </row>
    <row r="2492" spans="1:5" x14ac:dyDescent="0.3">
      <c r="A2492" t="s">
        <v>445</v>
      </c>
      <c r="B2492">
        <v>1830008194</v>
      </c>
      <c r="C2492" t="s">
        <v>1355</v>
      </c>
      <c r="D2492" t="s">
        <v>3392</v>
      </c>
      <c r="E2492" t="str">
        <f t="shared" si="38"/>
        <v>Technodom1830008194</v>
      </c>
    </row>
    <row r="2493" spans="1:5" x14ac:dyDescent="0.3">
      <c r="A2493" t="s">
        <v>445</v>
      </c>
      <c r="B2493">
        <v>1830008195</v>
      </c>
      <c r="C2493" t="s">
        <v>1351</v>
      </c>
      <c r="D2493" t="s">
        <v>3393</v>
      </c>
      <c r="E2493" t="str">
        <f t="shared" si="38"/>
        <v>Technodom1830008195</v>
      </c>
    </row>
    <row r="2494" spans="1:5" x14ac:dyDescent="0.3">
      <c r="A2494" t="s">
        <v>445</v>
      </c>
      <c r="B2494">
        <v>1830008200</v>
      </c>
      <c r="C2494" t="s">
        <v>1349</v>
      </c>
      <c r="D2494" t="s">
        <v>3394</v>
      </c>
      <c r="E2494" t="str">
        <f t="shared" si="38"/>
        <v>Technodom1830008200</v>
      </c>
    </row>
    <row r="2495" spans="1:5" x14ac:dyDescent="0.3">
      <c r="A2495" t="s">
        <v>445</v>
      </c>
      <c r="B2495">
        <v>8010000986</v>
      </c>
      <c r="C2495" t="s">
        <v>75</v>
      </c>
      <c r="D2495" t="s">
        <v>181</v>
      </c>
      <c r="E2495" t="str">
        <f t="shared" si="38"/>
        <v>Technodom8010000986</v>
      </c>
    </row>
    <row r="2496" spans="1:5" x14ac:dyDescent="0.3">
      <c r="A2496" t="s">
        <v>445</v>
      </c>
      <c r="B2496">
        <v>3100514454</v>
      </c>
      <c r="C2496">
        <v>514454</v>
      </c>
      <c r="D2496" t="s">
        <v>3395</v>
      </c>
      <c r="E2496" t="str">
        <f t="shared" si="38"/>
        <v>Technodom3100514454</v>
      </c>
    </row>
    <row r="2497" spans="1:5" x14ac:dyDescent="0.3">
      <c r="A2497" t="s">
        <v>445</v>
      </c>
      <c r="B2497">
        <v>2100109055</v>
      </c>
      <c r="C2497" t="s">
        <v>3396</v>
      </c>
      <c r="D2497" t="s">
        <v>3397</v>
      </c>
      <c r="E2497" t="str">
        <f t="shared" si="38"/>
        <v>Technodom2100109055</v>
      </c>
    </row>
    <row r="2498" spans="1:5" x14ac:dyDescent="0.3">
      <c r="A2498" t="s">
        <v>445</v>
      </c>
      <c r="B2498">
        <v>2100109057</v>
      </c>
      <c r="C2498" t="s">
        <v>3398</v>
      </c>
      <c r="D2498" t="s">
        <v>3399</v>
      </c>
      <c r="E2498" t="str">
        <f t="shared" si="38"/>
        <v>Technodom2100109057</v>
      </c>
    </row>
    <row r="2499" spans="1:5" x14ac:dyDescent="0.3">
      <c r="A2499" t="s">
        <v>445</v>
      </c>
      <c r="B2499">
        <v>2100109056</v>
      </c>
      <c r="C2499" t="s">
        <v>3400</v>
      </c>
      <c r="D2499" t="s">
        <v>3401</v>
      </c>
      <c r="E2499" t="str">
        <f t="shared" ref="E2499:E2562" si="39">A2499&amp;B2499</f>
        <v>Technodom2100109056</v>
      </c>
    </row>
    <row r="2500" spans="1:5" x14ac:dyDescent="0.3">
      <c r="A2500" t="s">
        <v>445</v>
      </c>
      <c r="B2500">
        <v>2100109058</v>
      </c>
      <c r="C2500" t="s">
        <v>3402</v>
      </c>
      <c r="D2500" t="s">
        <v>3403</v>
      </c>
      <c r="E2500" t="str">
        <f t="shared" si="39"/>
        <v>Technodom2100109058</v>
      </c>
    </row>
    <row r="2501" spans="1:5" x14ac:dyDescent="0.3">
      <c r="A2501" t="s">
        <v>445</v>
      </c>
      <c r="B2501">
        <v>2100109059</v>
      </c>
      <c r="C2501" t="s">
        <v>3404</v>
      </c>
      <c r="D2501" t="s">
        <v>3405</v>
      </c>
      <c r="E2501" t="str">
        <f t="shared" si="39"/>
        <v>Technodom2100109059</v>
      </c>
    </row>
    <row r="2502" spans="1:5" x14ac:dyDescent="0.3">
      <c r="A2502" t="s">
        <v>445</v>
      </c>
      <c r="B2502">
        <v>2100120915</v>
      </c>
      <c r="C2502" t="s">
        <v>3406</v>
      </c>
      <c r="D2502" t="s">
        <v>3407</v>
      </c>
      <c r="E2502" t="str">
        <f t="shared" si="39"/>
        <v>Technodom2100120915</v>
      </c>
    </row>
    <row r="2503" spans="1:5" x14ac:dyDescent="0.3">
      <c r="A2503" t="s">
        <v>445</v>
      </c>
      <c r="B2503">
        <v>1830008227</v>
      </c>
      <c r="C2503" t="s">
        <v>10</v>
      </c>
      <c r="D2503" t="s">
        <v>134</v>
      </c>
      <c r="E2503" t="str">
        <f t="shared" si="39"/>
        <v>Technodom1830008227</v>
      </c>
    </row>
    <row r="2504" spans="1:5" x14ac:dyDescent="0.3">
      <c r="A2504" t="s">
        <v>445</v>
      </c>
      <c r="B2504">
        <v>1830005000</v>
      </c>
      <c r="C2504" t="s">
        <v>1268</v>
      </c>
      <c r="D2504" t="s">
        <v>3408</v>
      </c>
      <c r="E2504" t="str">
        <f t="shared" si="39"/>
        <v>Technodom1830005000</v>
      </c>
    </row>
    <row r="2505" spans="1:5" x14ac:dyDescent="0.3">
      <c r="A2505" t="s">
        <v>445</v>
      </c>
      <c r="B2505">
        <v>1510001904</v>
      </c>
      <c r="C2505" t="s">
        <v>3409</v>
      </c>
      <c r="D2505" t="s">
        <v>3410</v>
      </c>
      <c r="E2505" t="str">
        <f t="shared" si="39"/>
        <v>Technodom1510001904</v>
      </c>
    </row>
    <row r="2506" spans="1:5" x14ac:dyDescent="0.3">
      <c r="A2506" t="s">
        <v>445</v>
      </c>
      <c r="B2506">
        <v>3201000884</v>
      </c>
      <c r="C2506">
        <v>686076040</v>
      </c>
      <c r="D2506" t="s">
        <v>3411</v>
      </c>
      <c r="E2506" t="str">
        <f t="shared" si="39"/>
        <v>Technodom3201000884</v>
      </c>
    </row>
    <row r="2507" spans="1:5" x14ac:dyDescent="0.3">
      <c r="A2507" t="s">
        <v>445</v>
      </c>
      <c r="B2507">
        <v>2100121267</v>
      </c>
      <c r="C2507" t="s">
        <v>3412</v>
      </c>
      <c r="D2507" t="s">
        <v>3413</v>
      </c>
      <c r="E2507" t="str">
        <f t="shared" si="39"/>
        <v>Technodom2100121267</v>
      </c>
    </row>
    <row r="2508" spans="1:5" x14ac:dyDescent="0.3">
      <c r="A2508" t="s">
        <v>445</v>
      </c>
      <c r="B2508">
        <v>3201000264</v>
      </c>
      <c r="C2508">
        <v>1286009964</v>
      </c>
      <c r="D2508" t="s">
        <v>3414</v>
      </c>
      <c r="E2508" t="str">
        <f t="shared" si="39"/>
        <v>Technodom3201000264</v>
      </c>
    </row>
    <row r="2509" spans="1:5" x14ac:dyDescent="0.3">
      <c r="A2509" t="s">
        <v>445</v>
      </c>
      <c r="B2509">
        <v>2100121260</v>
      </c>
      <c r="C2509" t="s">
        <v>3415</v>
      </c>
      <c r="D2509" t="s">
        <v>3416</v>
      </c>
      <c r="E2509" t="str">
        <f t="shared" si="39"/>
        <v>Technodom2100121260</v>
      </c>
    </row>
    <row r="2510" spans="1:5" x14ac:dyDescent="0.3">
      <c r="A2510" t="s">
        <v>445</v>
      </c>
      <c r="B2510">
        <v>2100121262</v>
      </c>
      <c r="C2510" t="s">
        <v>3417</v>
      </c>
      <c r="D2510" t="s">
        <v>3418</v>
      </c>
      <c r="E2510" t="str">
        <f t="shared" si="39"/>
        <v>Technodom2100121262</v>
      </c>
    </row>
    <row r="2511" spans="1:5" x14ac:dyDescent="0.3">
      <c r="A2511" t="s">
        <v>445</v>
      </c>
      <c r="B2511">
        <v>2100121263</v>
      </c>
      <c r="C2511" t="s">
        <v>3419</v>
      </c>
      <c r="D2511" t="s">
        <v>3420</v>
      </c>
      <c r="E2511" t="str">
        <f t="shared" si="39"/>
        <v>Technodom2100121263</v>
      </c>
    </row>
    <row r="2512" spans="1:5" x14ac:dyDescent="0.3">
      <c r="A2512" t="s">
        <v>445</v>
      </c>
      <c r="B2512">
        <v>9100040502</v>
      </c>
      <c r="C2512">
        <v>4199724</v>
      </c>
      <c r="D2512" t="s">
        <v>3421</v>
      </c>
      <c r="E2512" t="str">
        <f t="shared" si="39"/>
        <v>Technodom9100040502</v>
      </c>
    </row>
    <row r="2513" spans="1:5" x14ac:dyDescent="0.3">
      <c r="A2513" t="s">
        <v>445</v>
      </c>
      <c r="B2513">
        <v>9100040503</v>
      </c>
      <c r="C2513">
        <v>4199726</v>
      </c>
      <c r="D2513" t="s">
        <v>3422</v>
      </c>
      <c r="E2513" t="str">
        <f t="shared" si="39"/>
        <v>Technodom9100040503</v>
      </c>
    </row>
    <row r="2514" spans="1:5" x14ac:dyDescent="0.3">
      <c r="A2514" t="s">
        <v>445</v>
      </c>
      <c r="B2514">
        <v>2100101297</v>
      </c>
      <c r="C2514" t="s">
        <v>3423</v>
      </c>
      <c r="D2514" t="s">
        <v>3424</v>
      </c>
      <c r="E2514" t="str">
        <f t="shared" si="39"/>
        <v>Technodom2100101297</v>
      </c>
    </row>
    <row r="2515" spans="1:5" x14ac:dyDescent="0.3">
      <c r="A2515" t="s">
        <v>445</v>
      </c>
      <c r="B2515">
        <v>3201001641</v>
      </c>
      <c r="C2515">
        <v>936382000</v>
      </c>
      <c r="D2515" t="s">
        <v>3425</v>
      </c>
      <c r="E2515" t="str">
        <f t="shared" si="39"/>
        <v>Technodom3201001641</v>
      </c>
    </row>
    <row r="2516" spans="1:5" x14ac:dyDescent="0.3">
      <c r="A2516" t="s">
        <v>445</v>
      </c>
      <c r="B2516">
        <v>1830008137</v>
      </c>
      <c r="C2516" t="s">
        <v>1400</v>
      </c>
      <c r="D2516" t="s">
        <v>3426</v>
      </c>
      <c r="E2516" t="str">
        <f t="shared" si="39"/>
        <v>Technodom1830008137</v>
      </c>
    </row>
    <row r="2517" spans="1:5" x14ac:dyDescent="0.3">
      <c r="A2517" t="s">
        <v>445</v>
      </c>
      <c r="B2517">
        <v>3201000639</v>
      </c>
      <c r="C2517">
        <v>640727920</v>
      </c>
      <c r="D2517" t="s">
        <v>3427</v>
      </c>
      <c r="E2517" t="str">
        <f t="shared" si="39"/>
        <v>Technodom3201000639</v>
      </c>
    </row>
    <row r="2518" spans="1:5" x14ac:dyDescent="0.3">
      <c r="A2518" t="s">
        <v>445</v>
      </c>
      <c r="B2518">
        <v>1830008239</v>
      </c>
      <c r="C2518" t="s">
        <v>408</v>
      </c>
      <c r="D2518" t="s">
        <v>3428</v>
      </c>
      <c r="E2518" t="str">
        <f t="shared" si="39"/>
        <v>Technodom1830008239</v>
      </c>
    </row>
    <row r="2519" spans="1:5" x14ac:dyDescent="0.3">
      <c r="A2519" t="s">
        <v>445</v>
      </c>
      <c r="B2519">
        <v>2100121258</v>
      </c>
      <c r="C2519" t="s">
        <v>3429</v>
      </c>
      <c r="D2519" t="s">
        <v>3430</v>
      </c>
      <c r="E2519" t="str">
        <f t="shared" si="39"/>
        <v>Technodom2100121258</v>
      </c>
    </row>
    <row r="2520" spans="1:5" x14ac:dyDescent="0.3">
      <c r="A2520" t="s">
        <v>445</v>
      </c>
      <c r="B2520">
        <v>2100121373</v>
      </c>
      <c r="C2520" t="s">
        <v>400</v>
      </c>
      <c r="D2520" t="s">
        <v>3431</v>
      </c>
      <c r="E2520" t="str">
        <f t="shared" si="39"/>
        <v>Technodom2100121373</v>
      </c>
    </row>
    <row r="2521" spans="1:5" x14ac:dyDescent="0.3">
      <c r="A2521" t="s">
        <v>445</v>
      </c>
      <c r="B2521">
        <v>2211400962</v>
      </c>
      <c r="C2521" t="s">
        <v>1425</v>
      </c>
      <c r="D2521" t="s">
        <v>3432</v>
      </c>
      <c r="E2521" t="str">
        <f t="shared" si="39"/>
        <v>Technodom2211400962</v>
      </c>
    </row>
    <row r="2522" spans="1:5" x14ac:dyDescent="0.3">
      <c r="A2522" t="s">
        <v>445</v>
      </c>
      <c r="B2522">
        <v>1830008189</v>
      </c>
      <c r="C2522" t="s">
        <v>24</v>
      </c>
      <c r="D2522" t="s">
        <v>3433</v>
      </c>
      <c r="E2522" t="str">
        <f t="shared" si="39"/>
        <v>Technodom1830008189</v>
      </c>
    </row>
    <row r="2523" spans="1:5" x14ac:dyDescent="0.3">
      <c r="A2523" t="s">
        <v>445</v>
      </c>
      <c r="B2523">
        <v>2211401038</v>
      </c>
      <c r="C2523" t="s">
        <v>32</v>
      </c>
      <c r="D2523" t="s">
        <v>147</v>
      </c>
      <c r="E2523" t="str">
        <f t="shared" si="39"/>
        <v>Technodom2211401038</v>
      </c>
    </row>
    <row r="2524" spans="1:5" x14ac:dyDescent="0.3">
      <c r="A2524" t="s">
        <v>445</v>
      </c>
      <c r="B2524">
        <v>1830007887</v>
      </c>
      <c r="C2524" t="s">
        <v>1525</v>
      </c>
      <c r="D2524" t="s">
        <v>3434</v>
      </c>
      <c r="E2524" t="str">
        <f t="shared" si="39"/>
        <v>Technodom1830007887</v>
      </c>
    </row>
    <row r="2525" spans="1:5" x14ac:dyDescent="0.3">
      <c r="A2525" t="s">
        <v>445</v>
      </c>
      <c r="B2525">
        <v>1830007936</v>
      </c>
      <c r="C2525" t="s">
        <v>3435</v>
      </c>
      <c r="D2525" t="s">
        <v>3436</v>
      </c>
      <c r="E2525" t="str">
        <f t="shared" si="39"/>
        <v>Technodom1830007936</v>
      </c>
    </row>
    <row r="2526" spans="1:5" x14ac:dyDescent="0.3">
      <c r="A2526" t="s">
        <v>445</v>
      </c>
      <c r="B2526">
        <v>1830008258</v>
      </c>
      <c r="C2526" t="s">
        <v>99</v>
      </c>
      <c r="D2526" t="s">
        <v>206</v>
      </c>
      <c r="E2526" t="str">
        <f t="shared" si="39"/>
        <v>Technodom1830008258</v>
      </c>
    </row>
    <row r="2527" spans="1:5" x14ac:dyDescent="0.3">
      <c r="A2527" t="s">
        <v>445</v>
      </c>
      <c r="B2527">
        <v>1830007992</v>
      </c>
      <c r="C2527" t="s">
        <v>971</v>
      </c>
      <c r="D2527" t="s">
        <v>3437</v>
      </c>
      <c r="E2527" t="str">
        <f t="shared" si="39"/>
        <v>Technodom1830007992</v>
      </c>
    </row>
    <row r="2528" spans="1:5" x14ac:dyDescent="0.3">
      <c r="A2528" t="s">
        <v>445</v>
      </c>
      <c r="B2528">
        <v>1510001898</v>
      </c>
      <c r="C2528" t="s">
        <v>1240</v>
      </c>
      <c r="D2528" t="s">
        <v>3438</v>
      </c>
      <c r="E2528" t="str">
        <f t="shared" si="39"/>
        <v>Technodom1510001898</v>
      </c>
    </row>
    <row r="2529" spans="1:5" x14ac:dyDescent="0.3">
      <c r="A2529" t="s">
        <v>445</v>
      </c>
      <c r="B2529">
        <v>2211401039</v>
      </c>
      <c r="C2529" t="s">
        <v>31</v>
      </c>
      <c r="D2529" t="s">
        <v>3439</v>
      </c>
      <c r="E2529" t="str">
        <f t="shared" si="39"/>
        <v>Technodom2211401039</v>
      </c>
    </row>
    <row r="2530" spans="1:5" x14ac:dyDescent="0.3">
      <c r="A2530" t="s">
        <v>445</v>
      </c>
      <c r="B2530">
        <v>1830007886</v>
      </c>
      <c r="C2530" t="s">
        <v>1529</v>
      </c>
      <c r="D2530" t="s">
        <v>3440</v>
      </c>
      <c r="E2530" t="str">
        <f t="shared" si="39"/>
        <v>Technodom1830007886</v>
      </c>
    </row>
    <row r="2531" spans="1:5" x14ac:dyDescent="0.3">
      <c r="A2531" t="s">
        <v>445</v>
      </c>
      <c r="B2531">
        <v>1830007888</v>
      </c>
      <c r="C2531" t="s">
        <v>1527</v>
      </c>
      <c r="D2531" t="s">
        <v>3441</v>
      </c>
      <c r="E2531" t="str">
        <f t="shared" si="39"/>
        <v>Technodom1830007888</v>
      </c>
    </row>
    <row r="2532" spans="1:5" x14ac:dyDescent="0.3">
      <c r="A2532" t="s">
        <v>445</v>
      </c>
      <c r="B2532">
        <v>1830008164</v>
      </c>
      <c r="C2532" t="s">
        <v>1533</v>
      </c>
      <c r="D2532" t="s">
        <v>3442</v>
      </c>
      <c r="E2532" t="str">
        <f t="shared" si="39"/>
        <v>Technodom1830008164</v>
      </c>
    </row>
    <row r="2533" spans="1:5" x14ac:dyDescent="0.3">
      <c r="A2533" t="s">
        <v>445</v>
      </c>
      <c r="B2533">
        <v>1830008214</v>
      </c>
      <c r="C2533" t="s">
        <v>1557</v>
      </c>
      <c r="D2533" t="s">
        <v>3443</v>
      </c>
      <c r="E2533" t="str">
        <f t="shared" si="39"/>
        <v>Technodom1830008214</v>
      </c>
    </row>
    <row r="2534" spans="1:5" x14ac:dyDescent="0.3">
      <c r="A2534" t="s">
        <v>445</v>
      </c>
      <c r="B2534">
        <v>1830007933</v>
      </c>
      <c r="C2534" t="s">
        <v>98</v>
      </c>
      <c r="D2534" t="s">
        <v>205</v>
      </c>
      <c r="E2534" t="str">
        <f t="shared" si="39"/>
        <v>Technodom1830007933</v>
      </c>
    </row>
    <row r="2535" spans="1:5" x14ac:dyDescent="0.3">
      <c r="A2535" t="s">
        <v>445</v>
      </c>
      <c r="B2535">
        <v>1830008212</v>
      </c>
      <c r="C2535" t="s">
        <v>2212</v>
      </c>
      <c r="D2535" t="s">
        <v>3444</v>
      </c>
      <c r="E2535" t="str">
        <f t="shared" si="39"/>
        <v>Technodom1830008212</v>
      </c>
    </row>
    <row r="2536" spans="1:5" x14ac:dyDescent="0.3">
      <c r="A2536" t="s">
        <v>445</v>
      </c>
      <c r="B2536">
        <v>1830008025</v>
      </c>
      <c r="C2536" t="s">
        <v>353</v>
      </c>
      <c r="D2536" t="s">
        <v>365</v>
      </c>
      <c r="E2536" t="str">
        <f t="shared" si="39"/>
        <v>Technodom1830008025</v>
      </c>
    </row>
    <row r="2537" spans="1:5" x14ac:dyDescent="0.3">
      <c r="A2537" t="s">
        <v>445</v>
      </c>
      <c r="B2537">
        <v>1830007919</v>
      </c>
      <c r="C2537" t="s">
        <v>422</v>
      </c>
      <c r="D2537" t="s">
        <v>3445</v>
      </c>
      <c r="E2537" t="str">
        <f t="shared" si="39"/>
        <v>Technodom1830007919</v>
      </c>
    </row>
    <row r="2538" spans="1:5" x14ac:dyDescent="0.3">
      <c r="A2538" t="s">
        <v>445</v>
      </c>
      <c r="B2538">
        <v>1830008144</v>
      </c>
      <c r="C2538" t="s">
        <v>97</v>
      </c>
      <c r="D2538" t="s">
        <v>203</v>
      </c>
      <c r="E2538" t="str">
        <f t="shared" si="39"/>
        <v>Technodom1830008144</v>
      </c>
    </row>
    <row r="2539" spans="1:5" x14ac:dyDescent="0.3">
      <c r="A2539" t="s">
        <v>445</v>
      </c>
      <c r="B2539">
        <v>7211004315</v>
      </c>
      <c r="C2539" t="s">
        <v>82</v>
      </c>
      <c r="D2539" t="s">
        <v>188</v>
      </c>
      <c r="E2539" t="str">
        <f t="shared" si="39"/>
        <v>Technodom7211004315</v>
      </c>
    </row>
    <row r="2540" spans="1:5" x14ac:dyDescent="0.3">
      <c r="A2540" t="s">
        <v>445</v>
      </c>
      <c r="B2540">
        <v>2100122009</v>
      </c>
      <c r="C2540" t="s">
        <v>1311</v>
      </c>
      <c r="D2540" t="s">
        <v>3446</v>
      </c>
      <c r="E2540" t="str">
        <f t="shared" si="39"/>
        <v>Technodom2100122009</v>
      </c>
    </row>
    <row r="2541" spans="1:5" x14ac:dyDescent="0.3">
      <c r="A2541" t="s">
        <v>445</v>
      </c>
      <c r="B2541">
        <v>2100123129</v>
      </c>
      <c r="C2541" t="s">
        <v>3447</v>
      </c>
      <c r="D2541" t="s">
        <v>3448</v>
      </c>
      <c r="E2541" t="str">
        <f t="shared" si="39"/>
        <v>Technodom2100123129</v>
      </c>
    </row>
    <row r="2542" spans="1:5" x14ac:dyDescent="0.3">
      <c r="A2542" t="s">
        <v>445</v>
      </c>
      <c r="B2542">
        <v>3201002528</v>
      </c>
      <c r="C2542">
        <v>1291586040</v>
      </c>
      <c r="D2542" t="s">
        <v>3449</v>
      </c>
      <c r="E2542" t="str">
        <f t="shared" si="39"/>
        <v>Technodom3201002528</v>
      </c>
    </row>
    <row r="2543" spans="1:5" x14ac:dyDescent="0.3">
      <c r="A2543" t="s">
        <v>445</v>
      </c>
      <c r="B2543">
        <v>2211400961</v>
      </c>
      <c r="C2543" t="s">
        <v>2111</v>
      </c>
      <c r="D2543" t="s">
        <v>3450</v>
      </c>
      <c r="E2543" t="str">
        <f t="shared" si="39"/>
        <v>Technodom2211400961</v>
      </c>
    </row>
    <row r="2544" spans="1:5" x14ac:dyDescent="0.3">
      <c r="A2544" t="s">
        <v>445</v>
      </c>
      <c r="B2544">
        <v>2100121257</v>
      </c>
      <c r="C2544" t="s">
        <v>3451</v>
      </c>
      <c r="D2544" t="s">
        <v>3452</v>
      </c>
      <c r="E2544" t="str">
        <f t="shared" si="39"/>
        <v>Technodom2100121257</v>
      </c>
    </row>
    <row r="2545" spans="1:5" x14ac:dyDescent="0.3">
      <c r="A2545" t="s">
        <v>445</v>
      </c>
      <c r="B2545">
        <v>2100121761</v>
      </c>
      <c r="C2545" t="s">
        <v>1498</v>
      </c>
      <c r="D2545" t="s">
        <v>3453</v>
      </c>
      <c r="E2545" t="str">
        <f t="shared" si="39"/>
        <v>Technodom2100121761</v>
      </c>
    </row>
    <row r="2546" spans="1:5" x14ac:dyDescent="0.3">
      <c r="A2546" t="s">
        <v>445</v>
      </c>
      <c r="B2546">
        <v>2211400967</v>
      </c>
      <c r="C2546" t="s">
        <v>360</v>
      </c>
      <c r="D2546" t="s">
        <v>3454</v>
      </c>
      <c r="E2546" t="str">
        <f t="shared" si="39"/>
        <v>Technodom2211400967</v>
      </c>
    </row>
    <row r="2547" spans="1:5" x14ac:dyDescent="0.3">
      <c r="A2547" t="s">
        <v>445</v>
      </c>
      <c r="B2547">
        <v>2211400968</v>
      </c>
      <c r="C2547" t="s">
        <v>361</v>
      </c>
      <c r="D2547" t="s">
        <v>3455</v>
      </c>
      <c r="E2547" t="str">
        <f t="shared" si="39"/>
        <v>Technodom2211400968</v>
      </c>
    </row>
    <row r="2548" spans="1:5" x14ac:dyDescent="0.3">
      <c r="A2548" t="s">
        <v>445</v>
      </c>
      <c r="B2548">
        <v>1830007936</v>
      </c>
      <c r="C2548" t="s">
        <v>3435</v>
      </c>
      <c r="D2548" t="s">
        <v>3456</v>
      </c>
      <c r="E2548" t="str">
        <f t="shared" si="39"/>
        <v>Technodom1830007936</v>
      </c>
    </row>
    <row r="2549" spans="1:5" x14ac:dyDescent="0.3">
      <c r="A2549" t="s">
        <v>445</v>
      </c>
      <c r="B2549">
        <v>1830007335</v>
      </c>
      <c r="C2549" t="s">
        <v>108</v>
      </c>
      <c r="D2549" t="s">
        <v>213</v>
      </c>
      <c r="E2549" t="str">
        <f t="shared" si="39"/>
        <v>Technodom1830007335</v>
      </c>
    </row>
    <row r="2550" spans="1:5" x14ac:dyDescent="0.3">
      <c r="A2550" t="s">
        <v>445</v>
      </c>
      <c r="B2550">
        <v>1830007337</v>
      </c>
      <c r="C2550" t="s">
        <v>106</v>
      </c>
      <c r="D2550" t="s">
        <v>211</v>
      </c>
      <c r="E2550" t="str">
        <f t="shared" si="39"/>
        <v>Technodom1830007337</v>
      </c>
    </row>
    <row r="2551" spans="1:5" x14ac:dyDescent="0.3">
      <c r="A2551" t="s">
        <v>445</v>
      </c>
      <c r="B2551">
        <v>1830007603</v>
      </c>
      <c r="C2551" t="s">
        <v>105</v>
      </c>
      <c r="D2551" t="s">
        <v>210</v>
      </c>
      <c r="E2551" t="str">
        <f t="shared" si="39"/>
        <v>Technodom1830007603</v>
      </c>
    </row>
    <row r="2552" spans="1:5" x14ac:dyDescent="0.3">
      <c r="A2552" t="s">
        <v>445</v>
      </c>
      <c r="B2552">
        <v>1830008104</v>
      </c>
      <c r="C2552" t="s">
        <v>104</v>
      </c>
      <c r="D2552" t="s">
        <v>209</v>
      </c>
      <c r="E2552" t="str">
        <f t="shared" si="39"/>
        <v>Technodom1830008104</v>
      </c>
    </row>
    <row r="2553" spans="1:5" x14ac:dyDescent="0.3">
      <c r="A2553" t="s">
        <v>445</v>
      </c>
      <c r="B2553">
        <v>1830008226</v>
      </c>
      <c r="C2553" t="s">
        <v>546</v>
      </c>
      <c r="D2553" t="s">
        <v>3457</v>
      </c>
      <c r="E2553" t="str">
        <f t="shared" si="39"/>
        <v>Technodom1830008226</v>
      </c>
    </row>
    <row r="2554" spans="1:5" x14ac:dyDescent="0.3">
      <c r="A2554" t="s">
        <v>445</v>
      </c>
      <c r="B2554">
        <v>3200001159</v>
      </c>
      <c r="C2554">
        <v>415360711</v>
      </c>
      <c r="D2554" t="s">
        <v>3458</v>
      </c>
      <c r="E2554" t="str">
        <f t="shared" si="39"/>
        <v>Technodom3200001159</v>
      </c>
    </row>
    <row r="2555" spans="1:5" x14ac:dyDescent="0.3">
      <c r="A2555" t="s">
        <v>445</v>
      </c>
      <c r="B2555">
        <v>1830008176</v>
      </c>
      <c r="C2555" t="s">
        <v>8</v>
      </c>
      <c r="D2555" t="s">
        <v>133</v>
      </c>
      <c r="E2555" t="str">
        <f t="shared" si="39"/>
        <v>Technodom1830008176</v>
      </c>
    </row>
    <row r="2556" spans="1:5" x14ac:dyDescent="0.3">
      <c r="A2556" t="s">
        <v>445</v>
      </c>
      <c r="B2556">
        <v>1830008071</v>
      </c>
      <c r="C2556" t="s">
        <v>1517</v>
      </c>
      <c r="D2556" t="s">
        <v>3459</v>
      </c>
      <c r="E2556" t="str">
        <f t="shared" si="39"/>
        <v>Technodom1830008071</v>
      </c>
    </row>
    <row r="2557" spans="1:5" x14ac:dyDescent="0.3">
      <c r="A2557" t="s">
        <v>445</v>
      </c>
      <c r="B2557">
        <v>1830008090</v>
      </c>
      <c r="C2557" t="s">
        <v>1767</v>
      </c>
      <c r="D2557" t="s">
        <v>3460</v>
      </c>
      <c r="E2557" t="str">
        <f t="shared" si="39"/>
        <v>Technodom1830008090</v>
      </c>
    </row>
    <row r="2558" spans="1:5" x14ac:dyDescent="0.3">
      <c r="A2558" t="s">
        <v>445</v>
      </c>
      <c r="B2558">
        <v>1830007946</v>
      </c>
      <c r="C2558" t="s">
        <v>1394</v>
      </c>
      <c r="D2558" t="s">
        <v>3461</v>
      </c>
      <c r="E2558" t="str">
        <f t="shared" si="39"/>
        <v>Technodom1830007946</v>
      </c>
    </row>
    <row r="2559" spans="1:5" x14ac:dyDescent="0.3">
      <c r="A2559" t="s">
        <v>445</v>
      </c>
      <c r="B2559">
        <v>1830008184</v>
      </c>
      <c r="C2559" t="s">
        <v>1427</v>
      </c>
      <c r="D2559" t="s">
        <v>3462</v>
      </c>
      <c r="E2559" t="str">
        <f t="shared" si="39"/>
        <v>Technodom1830008184</v>
      </c>
    </row>
    <row r="2560" spans="1:5" x14ac:dyDescent="0.3">
      <c r="A2560" t="s">
        <v>445</v>
      </c>
      <c r="B2560">
        <v>1830008187</v>
      </c>
      <c r="C2560" t="s">
        <v>1409</v>
      </c>
      <c r="D2560" t="s">
        <v>3463</v>
      </c>
      <c r="E2560" t="str">
        <f t="shared" si="39"/>
        <v>Technodom1830008187</v>
      </c>
    </row>
    <row r="2561" spans="1:5" x14ac:dyDescent="0.3">
      <c r="A2561" t="s">
        <v>445</v>
      </c>
      <c r="B2561">
        <v>2100121730</v>
      </c>
      <c r="C2561" t="s">
        <v>1494</v>
      </c>
      <c r="D2561" t="s">
        <v>3464</v>
      </c>
      <c r="E2561" t="str">
        <f t="shared" si="39"/>
        <v>Technodom2100121730</v>
      </c>
    </row>
    <row r="2562" spans="1:5" x14ac:dyDescent="0.3">
      <c r="A2562" t="s">
        <v>445</v>
      </c>
      <c r="B2562">
        <v>2100105379</v>
      </c>
      <c r="C2562" t="s">
        <v>3465</v>
      </c>
      <c r="D2562" t="s">
        <v>3466</v>
      </c>
      <c r="E2562" t="str">
        <f t="shared" si="39"/>
        <v>Technodom2100105379</v>
      </c>
    </row>
    <row r="2563" spans="1:5" x14ac:dyDescent="0.3">
      <c r="A2563" t="s">
        <v>445</v>
      </c>
      <c r="B2563">
        <v>2100105381</v>
      </c>
      <c r="C2563" t="s">
        <v>3467</v>
      </c>
      <c r="D2563" t="s">
        <v>3468</v>
      </c>
      <c r="E2563" t="str">
        <f t="shared" ref="E2563:E2626" si="40">A2563&amp;B2563</f>
        <v>Technodom2100105381</v>
      </c>
    </row>
    <row r="2564" spans="1:5" x14ac:dyDescent="0.3">
      <c r="A2564" t="s">
        <v>445</v>
      </c>
      <c r="B2564">
        <v>2100105382</v>
      </c>
      <c r="C2564" t="s">
        <v>1465</v>
      </c>
      <c r="D2564" t="s">
        <v>3469</v>
      </c>
      <c r="E2564" t="str">
        <f t="shared" si="40"/>
        <v>Technodom2100105382</v>
      </c>
    </row>
    <row r="2565" spans="1:5" x14ac:dyDescent="0.3">
      <c r="A2565" t="s">
        <v>445</v>
      </c>
      <c r="B2565">
        <v>1830007602</v>
      </c>
      <c r="C2565" t="s">
        <v>107</v>
      </c>
      <c r="D2565" t="s">
        <v>212</v>
      </c>
      <c r="E2565" t="str">
        <f t="shared" si="40"/>
        <v>Technodom1830007602</v>
      </c>
    </row>
    <row r="2566" spans="1:5" x14ac:dyDescent="0.3">
      <c r="A2566" t="s">
        <v>445</v>
      </c>
      <c r="B2566">
        <v>7211003399</v>
      </c>
      <c r="C2566" t="s">
        <v>50</v>
      </c>
      <c r="D2566" t="s">
        <v>163</v>
      </c>
      <c r="E2566" t="str">
        <f t="shared" si="40"/>
        <v>Technodom7211003399</v>
      </c>
    </row>
    <row r="2567" spans="1:5" x14ac:dyDescent="0.3">
      <c r="A2567" t="s">
        <v>445</v>
      </c>
      <c r="B2567">
        <v>7211004050</v>
      </c>
      <c r="C2567" t="s">
        <v>1114</v>
      </c>
      <c r="D2567" t="s">
        <v>3470</v>
      </c>
      <c r="E2567" t="str">
        <f t="shared" si="40"/>
        <v>Technodom7211004050</v>
      </c>
    </row>
    <row r="2568" spans="1:5" x14ac:dyDescent="0.3">
      <c r="A2568" t="s">
        <v>445</v>
      </c>
      <c r="B2568">
        <v>7211002101</v>
      </c>
      <c r="C2568" t="s">
        <v>425</v>
      </c>
      <c r="D2568" t="s">
        <v>3471</v>
      </c>
      <c r="E2568" t="str">
        <f t="shared" si="40"/>
        <v>Technodom7211002101</v>
      </c>
    </row>
    <row r="2569" spans="1:5" x14ac:dyDescent="0.3">
      <c r="A2569" t="s">
        <v>445</v>
      </c>
      <c r="B2569">
        <v>3200001209</v>
      </c>
      <c r="C2569">
        <v>412360711</v>
      </c>
      <c r="D2569" t="s">
        <v>3472</v>
      </c>
      <c r="E2569" t="str">
        <f t="shared" si="40"/>
        <v>Technodom3200001209</v>
      </c>
    </row>
    <row r="2570" spans="1:5" x14ac:dyDescent="0.3">
      <c r="A2570" t="s">
        <v>445</v>
      </c>
      <c r="B2570">
        <v>1830008264</v>
      </c>
      <c r="C2570" t="s">
        <v>14</v>
      </c>
      <c r="D2570" t="s">
        <v>137</v>
      </c>
      <c r="E2570" t="str">
        <f t="shared" si="40"/>
        <v>Technodom1830008264</v>
      </c>
    </row>
    <row r="2571" spans="1:5" x14ac:dyDescent="0.3">
      <c r="A2571" t="s">
        <v>445</v>
      </c>
      <c r="B2571">
        <v>1830008233</v>
      </c>
      <c r="C2571" t="s">
        <v>13</v>
      </c>
      <c r="D2571" t="s">
        <v>136</v>
      </c>
      <c r="E2571" t="str">
        <f t="shared" si="40"/>
        <v>Technodom1830008233</v>
      </c>
    </row>
    <row r="2572" spans="1:5" x14ac:dyDescent="0.3">
      <c r="A2572" t="s">
        <v>445</v>
      </c>
      <c r="B2572">
        <v>1830008265</v>
      </c>
      <c r="C2572" t="s">
        <v>12</v>
      </c>
      <c r="D2572" t="s">
        <v>135</v>
      </c>
      <c r="E2572" t="str">
        <f t="shared" si="40"/>
        <v>Technodom1830008265</v>
      </c>
    </row>
    <row r="2573" spans="1:5" x14ac:dyDescent="0.3">
      <c r="A2573" t="s">
        <v>445</v>
      </c>
      <c r="B2573">
        <v>1830008290</v>
      </c>
      <c r="C2573" t="s">
        <v>15</v>
      </c>
      <c r="D2573" t="s">
        <v>138</v>
      </c>
      <c r="E2573" t="str">
        <f t="shared" si="40"/>
        <v>Technodom1830008290</v>
      </c>
    </row>
    <row r="2574" spans="1:5" x14ac:dyDescent="0.3">
      <c r="A2574" t="s">
        <v>445</v>
      </c>
      <c r="B2574">
        <v>1830008091</v>
      </c>
      <c r="C2574" t="s">
        <v>3473</v>
      </c>
      <c r="D2574" t="s">
        <v>3474</v>
      </c>
      <c r="E2574" t="str">
        <f t="shared" si="40"/>
        <v>Technodom1830008091</v>
      </c>
    </row>
    <row r="2575" spans="1:5" x14ac:dyDescent="0.3">
      <c r="A2575" t="s">
        <v>445</v>
      </c>
      <c r="B2575">
        <v>1830007363</v>
      </c>
      <c r="C2575" t="s">
        <v>3475</v>
      </c>
      <c r="D2575" t="s">
        <v>3476</v>
      </c>
      <c r="E2575" t="str">
        <f t="shared" si="40"/>
        <v>Technodom1830007363</v>
      </c>
    </row>
    <row r="2576" spans="1:5" x14ac:dyDescent="0.3">
      <c r="A2576" t="s">
        <v>445</v>
      </c>
      <c r="B2576">
        <v>1830006966</v>
      </c>
      <c r="C2576" t="s">
        <v>3477</v>
      </c>
      <c r="D2576" t="s">
        <v>3478</v>
      </c>
      <c r="E2576" t="str">
        <f t="shared" si="40"/>
        <v>Technodom1830006966</v>
      </c>
    </row>
    <row r="2577" spans="1:5" x14ac:dyDescent="0.3">
      <c r="A2577" t="s">
        <v>445</v>
      </c>
      <c r="B2577">
        <v>1830006977</v>
      </c>
      <c r="C2577" t="s">
        <v>1013</v>
      </c>
      <c r="D2577" t="s">
        <v>3479</v>
      </c>
      <c r="E2577" t="str">
        <f t="shared" si="40"/>
        <v>Technodom1830006977</v>
      </c>
    </row>
    <row r="2578" spans="1:5" x14ac:dyDescent="0.3">
      <c r="A2578" t="s">
        <v>445</v>
      </c>
      <c r="B2578">
        <v>1830005972</v>
      </c>
      <c r="C2578" t="s">
        <v>3480</v>
      </c>
      <c r="D2578" t="s">
        <v>3481</v>
      </c>
      <c r="E2578" t="str">
        <f t="shared" si="40"/>
        <v>Technodom1830005972</v>
      </c>
    </row>
    <row r="2579" spans="1:5" x14ac:dyDescent="0.3">
      <c r="A2579" t="s">
        <v>445</v>
      </c>
      <c r="B2579">
        <v>1830007557</v>
      </c>
      <c r="C2579" t="s">
        <v>1413</v>
      </c>
      <c r="D2579" t="s">
        <v>3482</v>
      </c>
      <c r="E2579" t="str">
        <f t="shared" si="40"/>
        <v>Technodom1830007557</v>
      </c>
    </row>
    <row r="2580" spans="1:5" x14ac:dyDescent="0.3">
      <c r="A2580" t="s">
        <v>445</v>
      </c>
      <c r="B2580">
        <v>1830007558</v>
      </c>
      <c r="C2580" t="s">
        <v>1411</v>
      </c>
      <c r="D2580" t="s">
        <v>3483</v>
      </c>
      <c r="E2580" t="str">
        <f t="shared" si="40"/>
        <v>Technodom1830007558</v>
      </c>
    </row>
    <row r="2581" spans="1:5" x14ac:dyDescent="0.3">
      <c r="A2581" t="s">
        <v>445</v>
      </c>
      <c r="B2581">
        <v>1830006536</v>
      </c>
      <c r="C2581" t="s">
        <v>1415</v>
      </c>
      <c r="D2581" t="s">
        <v>3484</v>
      </c>
      <c r="E2581" t="str">
        <f t="shared" si="40"/>
        <v>Technodom1830006536</v>
      </c>
    </row>
    <row r="2582" spans="1:5" x14ac:dyDescent="0.3">
      <c r="A2582" t="s">
        <v>445</v>
      </c>
      <c r="B2582">
        <v>1830008217</v>
      </c>
      <c r="C2582" t="s">
        <v>1969</v>
      </c>
      <c r="D2582" t="s">
        <v>3485</v>
      </c>
      <c r="E2582" t="str">
        <f t="shared" si="40"/>
        <v>Technodom1830008217</v>
      </c>
    </row>
    <row r="2583" spans="1:5" x14ac:dyDescent="0.3">
      <c r="A2583" t="s">
        <v>445</v>
      </c>
      <c r="B2583">
        <v>1830008261</v>
      </c>
      <c r="C2583" t="s">
        <v>101</v>
      </c>
      <c r="D2583" t="s">
        <v>207</v>
      </c>
      <c r="E2583" t="str">
        <f t="shared" si="40"/>
        <v>Technodom1830008261</v>
      </c>
    </row>
    <row r="2584" spans="1:5" x14ac:dyDescent="0.3">
      <c r="A2584" t="s">
        <v>445</v>
      </c>
      <c r="B2584">
        <v>7211004401</v>
      </c>
      <c r="C2584">
        <v>415560711</v>
      </c>
      <c r="D2584" t="s">
        <v>3486</v>
      </c>
      <c r="E2584" t="str">
        <f t="shared" si="40"/>
        <v>Technodom7211004401</v>
      </c>
    </row>
    <row r="2585" spans="1:5" x14ac:dyDescent="0.3">
      <c r="A2585" t="s">
        <v>445</v>
      </c>
      <c r="B2585">
        <v>3200001772</v>
      </c>
      <c r="C2585">
        <v>417100711</v>
      </c>
      <c r="D2585" t="s">
        <v>3487</v>
      </c>
      <c r="E2585" t="str">
        <f t="shared" si="40"/>
        <v>Technodom3200001772</v>
      </c>
    </row>
    <row r="2586" spans="1:5" x14ac:dyDescent="0.3">
      <c r="A2586" t="s">
        <v>445</v>
      </c>
      <c r="B2586">
        <v>2211400849</v>
      </c>
      <c r="C2586" t="s">
        <v>2166</v>
      </c>
      <c r="D2586" t="s">
        <v>3488</v>
      </c>
      <c r="E2586" t="str">
        <f t="shared" si="40"/>
        <v>Technodom2211400849</v>
      </c>
    </row>
    <row r="2587" spans="1:5" x14ac:dyDescent="0.3">
      <c r="A2587" t="s">
        <v>445</v>
      </c>
      <c r="B2587">
        <v>2211400852</v>
      </c>
      <c r="C2587" t="s">
        <v>2168</v>
      </c>
      <c r="D2587" t="s">
        <v>3489</v>
      </c>
      <c r="E2587" t="str">
        <f t="shared" si="40"/>
        <v>Technodom2211400852</v>
      </c>
    </row>
    <row r="2588" spans="1:5" x14ac:dyDescent="0.3">
      <c r="A2588" t="s">
        <v>445</v>
      </c>
      <c r="B2588">
        <v>1830008213</v>
      </c>
      <c r="C2588" t="s">
        <v>1513</v>
      </c>
      <c r="D2588" t="s">
        <v>3490</v>
      </c>
      <c r="E2588" t="str">
        <f t="shared" si="40"/>
        <v>Technodom1830008213</v>
      </c>
    </row>
    <row r="2589" spans="1:5" x14ac:dyDescent="0.3">
      <c r="A2589" t="s">
        <v>445</v>
      </c>
      <c r="B2589">
        <v>2211401014</v>
      </c>
      <c r="C2589" t="s">
        <v>371</v>
      </c>
      <c r="D2589" t="s">
        <v>3491</v>
      </c>
      <c r="E2589" t="str">
        <f t="shared" si="40"/>
        <v>Technodom2211401014</v>
      </c>
    </row>
    <row r="2590" spans="1:5" x14ac:dyDescent="0.3">
      <c r="A2590" t="s">
        <v>445</v>
      </c>
      <c r="B2590">
        <v>3200000549</v>
      </c>
      <c r="C2590">
        <v>416950721</v>
      </c>
      <c r="D2590" t="s">
        <v>3492</v>
      </c>
      <c r="E2590" t="str">
        <f t="shared" si="40"/>
        <v>Technodom3200000549</v>
      </c>
    </row>
    <row r="2591" spans="1:5" x14ac:dyDescent="0.3">
      <c r="A2591" t="s">
        <v>445</v>
      </c>
      <c r="B2591">
        <v>2211400813</v>
      </c>
      <c r="C2591" t="s">
        <v>1779</v>
      </c>
      <c r="D2591" t="s">
        <v>3493</v>
      </c>
      <c r="E2591" t="str">
        <f t="shared" si="40"/>
        <v>Technodom2211400813</v>
      </c>
    </row>
    <row r="2592" spans="1:5" x14ac:dyDescent="0.3">
      <c r="A2592" t="s">
        <v>445</v>
      </c>
      <c r="B2592">
        <v>7211004435</v>
      </c>
      <c r="C2592" t="s">
        <v>1951</v>
      </c>
      <c r="D2592" t="s">
        <v>3494</v>
      </c>
      <c r="E2592" t="str">
        <f t="shared" si="40"/>
        <v>Technodom7211004435</v>
      </c>
    </row>
    <row r="2593" spans="1:5" x14ac:dyDescent="0.3">
      <c r="A2593" t="s">
        <v>445</v>
      </c>
      <c r="B2593">
        <v>8010001013</v>
      </c>
      <c r="C2593" t="s">
        <v>2477</v>
      </c>
      <c r="D2593" t="s">
        <v>3495</v>
      </c>
      <c r="E2593" t="str">
        <f t="shared" si="40"/>
        <v>Technodom8010001013</v>
      </c>
    </row>
    <row r="2594" spans="1:5" x14ac:dyDescent="0.3">
      <c r="A2594" t="s">
        <v>445</v>
      </c>
      <c r="B2594">
        <v>7211003835</v>
      </c>
      <c r="C2594" t="s">
        <v>3496</v>
      </c>
      <c r="D2594" t="s">
        <v>3497</v>
      </c>
      <c r="E2594" t="str">
        <f t="shared" si="40"/>
        <v>Technodom7211003835</v>
      </c>
    </row>
    <row r="2595" spans="1:5" x14ac:dyDescent="0.3">
      <c r="A2595" t="s">
        <v>445</v>
      </c>
      <c r="B2595">
        <v>9100022581</v>
      </c>
      <c r="C2595">
        <v>4162716</v>
      </c>
      <c r="D2595" t="s">
        <v>3498</v>
      </c>
      <c r="E2595" t="str">
        <f t="shared" si="40"/>
        <v>Technodom9100022581</v>
      </c>
    </row>
    <row r="2596" spans="1:5" x14ac:dyDescent="0.3">
      <c r="A2596" t="s">
        <v>445</v>
      </c>
      <c r="B2596">
        <v>9100022582</v>
      </c>
      <c r="C2596">
        <v>4162720</v>
      </c>
      <c r="D2596" t="s">
        <v>3499</v>
      </c>
      <c r="E2596" t="str">
        <f t="shared" si="40"/>
        <v>Technodom9100022582</v>
      </c>
    </row>
    <row r="2597" spans="1:5" x14ac:dyDescent="0.3">
      <c r="A2597" t="s">
        <v>445</v>
      </c>
      <c r="B2597">
        <v>9100039722</v>
      </c>
      <c r="C2597">
        <v>4162722</v>
      </c>
      <c r="D2597" t="s">
        <v>3500</v>
      </c>
      <c r="E2597" t="str">
        <f t="shared" si="40"/>
        <v>Technodom9100039722</v>
      </c>
    </row>
    <row r="2598" spans="1:5" x14ac:dyDescent="0.3">
      <c r="A2598" t="s">
        <v>445</v>
      </c>
      <c r="B2598">
        <v>1830008196</v>
      </c>
      <c r="C2598" t="s">
        <v>2035</v>
      </c>
      <c r="D2598" t="s">
        <v>3501</v>
      </c>
      <c r="E2598" t="str">
        <f t="shared" si="40"/>
        <v>Technodom1830008196</v>
      </c>
    </row>
    <row r="2599" spans="1:5" x14ac:dyDescent="0.3">
      <c r="A2599" t="s">
        <v>445</v>
      </c>
      <c r="B2599">
        <v>8010000453</v>
      </c>
      <c r="C2599" t="s">
        <v>116</v>
      </c>
      <c r="D2599" t="s">
        <v>182</v>
      </c>
      <c r="E2599" t="str">
        <f t="shared" si="40"/>
        <v>Technodom8010000453</v>
      </c>
    </row>
    <row r="2600" spans="1:5" x14ac:dyDescent="0.3">
      <c r="A2600" t="s">
        <v>445</v>
      </c>
      <c r="B2600">
        <v>2100117450</v>
      </c>
      <c r="C2600" t="s">
        <v>3502</v>
      </c>
      <c r="D2600" t="s">
        <v>3503</v>
      </c>
      <c r="E2600" t="str">
        <f t="shared" si="40"/>
        <v>Technodom2100117450</v>
      </c>
    </row>
    <row r="2601" spans="1:5" x14ac:dyDescent="0.3">
      <c r="A2601" t="s">
        <v>445</v>
      </c>
      <c r="B2601">
        <v>2100117451</v>
      </c>
      <c r="C2601" t="s">
        <v>3504</v>
      </c>
      <c r="D2601" t="s">
        <v>3505</v>
      </c>
      <c r="E2601" t="str">
        <f t="shared" si="40"/>
        <v>Technodom2100117451</v>
      </c>
    </row>
    <row r="2602" spans="1:5" x14ac:dyDescent="0.3">
      <c r="A2602" t="s">
        <v>445</v>
      </c>
      <c r="B2602">
        <v>9100041333</v>
      </c>
      <c r="C2602">
        <v>4200820</v>
      </c>
      <c r="D2602" t="s">
        <v>3506</v>
      </c>
      <c r="E2602" t="str">
        <f t="shared" si="40"/>
        <v>Technodom9100041333</v>
      </c>
    </row>
    <row r="2603" spans="1:5" x14ac:dyDescent="0.3">
      <c r="A2603" t="s">
        <v>445</v>
      </c>
      <c r="B2603">
        <v>3201002908</v>
      </c>
      <c r="C2603">
        <v>1876709990</v>
      </c>
      <c r="D2603" t="s">
        <v>3507</v>
      </c>
      <c r="E2603" t="str">
        <f t="shared" si="40"/>
        <v>Technodom3201002908</v>
      </c>
    </row>
    <row r="2604" spans="1:5" x14ac:dyDescent="0.3">
      <c r="A2604" t="s">
        <v>445</v>
      </c>
      <c r="B2604">
        <v>2100115262</v>
      </c>
      <c r="C2604" t="s">
        <v>3508</v>
      </c>
      <c r="D2604" t="s">
        <v>3509</v>
      </c>
      <c r="E2604" t="str">
        <f t="shared" si="40"/>
        <v>Technodom2100115262</v>
      </c>
    </row>
    <row r="2605" spans="1:5" x14ac:dyDescent="0.3">
      <c r="A2605" t="s">
        <v>445</v>
      </c>
      <c r="B2605">
        <v>2100115263</v>
      </c>
      <c r="C2605" t="s">
        <v>3510</v>
      </c>
      <c r="D2605" t="s">
        <v>3511</v>
      </c>
      <c r="E2605" t="str">
        <f t="shared" si="40"/>
        <v>Technodom2100115263</v>
      </c>
    </row>
    <row r="2606" spans="1:5" x14ac:dyDescent="0.3">
      <c r="A2606" t="s">
        <v>445</v>
      </c>
      <c r="B2606">
        <v>2100119135</v>
      </c>
      <c r="C2606" t="s">
        <v>3512</v>
      </c>
      <c r="D2606" t="s">
        <v>3513</v>
      </c>
      <c r="E2606" t="str">
        <f t="shared" si="40"/>
        <v>Technodom2100119135</v>
      </c>
    </row>
    <row r="2607" spans="1:5" x14ac:dyDescent="0.3">
      <c r="A2607" t="s">
        <v>445</v>
      </c>
      <c r="B2607">
        <v>2100115307</v>
      </c>
      <c r="C2607" t="s">
        <v>3514</v>
      </c>
      <c r="D2607" t="s">
        <v>3515</v>
      </c>
      <c r="E2607" t="str">
        <f t="shared" si="40"/>
        <v>Technodom2100115307</v>
      </c>
    </row>
    <row r="2608" spans="1:5" x14ac:dyDescent="0.3">
      <c r="A2608" t="s">
        <v>445</v>
      </c>
      <c r="B2608">
        <v>2100118972</v>
      </c>
      <c r="C2608" t="s">
        <v>3516</v>
      </c>
      <c r="D2608" t="s">
        <v>3517</v>
      </c>
      <c r="E2608" t="str">
        <f t="shared" si="40"/>
        <v>Technodom2100118972</v>
      </c>
    </row>
    <row r="2609" spans="1:5" x14ac:dyDescent="0.3">
      <c r="A2609" t="s">
        <v>445</v>
      </c>
      <c r="B2609">
        <v>2100115636</v>
      </c>
      <c r="C2609" t="s">
        <v>3518</v>
      </c>
      <c r="D2609" t="s">
        <v>3519</v>
      </c>
      <c r="E2609" t="str">
        <f t="shared" si="40"/>
        <v>Technodom2100115636</v>
      </c>
    </row>
    <row r="2610" spans="1:5" x14ac:dyDescent="0.3">
      <c r="A2610" t="s">
        <v>445</v>
      </c>
      <c r="B2610">
        <v>1830008267</v>
      </c>
      <c r="C2610" t="s">
        <v>1429</v>
      </c>
      <c r="D2610" t="s">
        <v>3520</v>
      </c>
      <c r="E2610" t="str">
        <f t="shared" si="40"/>
        <v>Technodom1830008267</v>
      </c>
    </row>
    <row r="2611" spans="1:5" x14ac:dyDescent="0.3">
      <c r="A2611" t="s">
        <v>445</v>
      </c>
      <c r="B2611">
        <v>1830008191</v>
      </c>
      <c r="C2611" t="s">
        <v>1353</v>
      </c>
      <c r="D2611" t="s">
        <v>3521</v>
      </c>
      <c r="E2611" t="str">
        <f t="shared" si="40"/>
        <v>Technodom1830008191</v>
      </c>
    </row>
    <row r="2612" spans="1:5" x14ac:dyDescent="0.3">
      <c r="A2612" t="s">
        <v>445</v>
      </c>
      <c r="B2612">
        <v>1830008199</v>
      </c>
      <c r="C2612" t="s">
        <v>1347</v>
      </c>
      <c r="D2612" t="s">
        <v>3522</v>
      </c>
      <c r="E2612" t="str">
        <f t="shared" si="40"/>
        <v>Technodom1830008199</v>
      </c>
    </row>
    <row r="2613" spans="1:5" x14ac:dyDescent="0.3">
      <c r="A2613" t="s">
        <v>445</v>
      </c>
      <c r="B2613">
        <v>1830008185</v>
      </c>
      <c r="C2613" t="s">
        <v>357</v>
      </c>
      <c r="D2613" t="s">
        <v>368</v>
      </c>
      <c r="E2613" t="str">
        <f t="shared" si="40"/>
        <v>Technodom1830008185</v>
      </c>
    </row>
    <row r="2614" spans="1:5" x14ac:dyDescent="0.3">
      <c r="A2614" t="s">
        <v>445</v>
      </c>
      <c r="B2614">
        <v>1830008122</v>
      </c>
      <c r="C2614" t="s">
        <v>354</v>
      </c>
      <c r="D2614" t="s">
        <v>366</v>
      </c>
      <c r="E2614" t="str">
        <f t="shared" si="40"/>
        <v>Technodom1830008122</v>
      </c>
    </row>
    <row r="2615" spans="1:5" x14ac:dyDescent="0.3">
      <c r="A2615" t="s">
        <v>445</v>
      </c>
      <c r="B2615">
        <v>8010000982</v>
      </c>
      <c r="C2615" t="s">
        <v>1274</v>
      </c>
      <c r="D2615" t="s">
        <v>3523</v>
      </c>
      <c r="E2615" t="str">
        <f t="shared" si="40"/>
        <v>Technodom8010000982</v>
      </c>
    </row>
    <row r="2616" spans="1:5" x14ac:dyDescent="0.3">
      <c r="A2616" t="s">
        <v>445</v>
      </c>
      <c r="B2616">
        <v>8010001045</v>
      </c>
      <c r="C2616" t="s">
        <v>1502</v>
      </c>
      <c r="D2616" t="s">
        <v>3524</v>
      </c>
      <c r="E2616" t="str">
        <f t="shared" si="40"/>
        <v>Technodom8010001045</v>
      </c>
    </row>
    <row r="2617" spans="1:5" x14ac:dyDescent="0.3">
      <c r="A2617" t="s">
        <v>445</v>
      </c>
      <c r="B2617">
        <v>2100107960</v>
      </c>
      <c r="C2617" t="s">
        <v>1876</v>
      </c>
      <c r="D2617" t="s">
        <v>3525</v>
      </c>
      <c r="E2617" t="str">
        <f t="shared" si="40"/>
        <v>Technodom2100107960</v>
      </c>
    </row>
    <row r="2618" spans="1:5" x14ac:dyDescent="0.3">
      <c r="A2618" t="s">
        <v>445</v>
      </c>
      <c r="B2618">
        <v>2100089647</v>
      </c>
      <c r="C2618" t="s">
        <v>3526</v>
      </c>
      <c r="D2618" t="s">
        <v>3527</v>
      </c>
      <c r="E2618" t="str">
        <f t="shared" si="40"/>
        <v>Technodom2100089647</v>
      </c>
    </row>
    <row r="2619" spans="1:5" x14ac:dyDescent="0.3">
      <c r="A2619" t="s">
        <v>445</v>
      </c>
      <c r="B2619">
        <v>2100104356</v>
      </c>
      <c r="C2619" t="s">
        <v>1688</v>
      </c>
      <c r="D2619" t="s">
        <v>3528</v>
      </c>
      <c r="E2619" t="str">
        <f t="shared" si="40"/>
        <v>Technodom2100104356</v>
      </c>
    </row>
    <row r="2620" spans="1:5" x14ac:dyDescent="0.3">
      <c r="A2620" t="s">
        <v>445</v>
      </c>
      <c r="B2620">
        <v>2100112782</v>
      </c>
      <c r="C2620" t="s">
        <v>1577</v>
      </c>
      <c r="D2620" t="s">
        <v>3529</v>
      </c>
      <c r="E2620" t="str">
        <f t="shared" si="40"/>
        <v>Technodom2100112782</v>
      </c>
    </row>
    <row r="2621" spans="1:5" x14ac:dyDescent="0.3">
      <c r="A2621" t="s">
        <v>445</v>
      </c>
      <c r="B2621">
        <v>2100096216</v>
      </c>
      <c r="C2621" t="s">
        <v>1575</v>
      </c>
      <c r="D2621" t="s">
        <v>3530</v>
      </c>
      <c r="E2621" t="str">
        <f t="shared" si="40"/>
        <v>Technodom2100096216</v>
      </c>
    </row>
    <row r="2622" spans="1:5" x14ac:dyDescent="0.3">
      <c r="A2622" t="s">
        <v>445</v>
      </c>
      <c r="B2622">
        <v>9100042514</v>
      </c>
      <c r="C2622">
        <v>4206124</v>
      </c>
      <c r="D2622" t="s">
        <v>3531</v>
      </c>
      <c r="E2622" t="str">
        <f t="shared" si="40"/>
        <v>Technodom9100042514</v>
      </c>
    </row>
    <row r="2623" spans="1:5" x14ac:dyDescent="0.3">
      <c r="A2623" t="s">
        <v>445</v>
      </c>
      <c r="B2623">
        <v>9100042515</v>
      </c>
      <c r="C2623">
        <v>4206126</v>
      </c>
      <c r="D2623" t="s">
        <v>3532</v>
      </c>
      <c r="E2623" t="str">
        <f t="shared" si="40"/>
        <v>Technodom9100042515</v>
      </c>
    </row>
    <row r="2624" spans="1:5" x14ac:dyDescent="0.3">
      <c r="A2624" t="s">
        <v>445</v>
      </c>
      <c r="B2624">
        <v>9100042518</v>
      </c>
      <c r="C2624">
        <v>4206628</v>
      </c>
      <c r="D2624" t="s">
        <v>3533</v>
      </c>
      <c r="E2624" t="str">
        <f t="shared" si="40"/>
        <v>Technodom9100042518</v>
      </c>
    </row>
    <row r="2625" spans="1:5" x14ac:dyDescent="0.3">
      <c r="A2625" t="s">
        <v>445</v>
      </c>
      <c r="B2625">
        <v>9100042517</v>
      </c>
      <c r="C2625">
        <v>4206522</v>
      </c>
      <c r="D2625" t="s">
        <v>3534</v>
      </c>
      <c r="E2625" t="str">
        <f t="shared" si="40"/>
        <v>Technodom9100042517</v>
      </c>
    </row>
    <row r="2626" spans="1:5" x14ac:dyDescent="0.3">
      <c r="A2626" t="s">
        <v>445</v>
      </c>
      <c r="B2626">
        <v>9100045478</v>
      </c>
      <c r="C2626">
        <v>4206924</v>
      </c>
      <c r="D2626" t="s">
        <v>3535</v>
      </c>
      <c r="E2626" t="str">
        <f t="shared" si="40"/>
        <v>Technodom9100045478</v>
      </c>
    </row>
    <row r="2627" spans="1:5" x14ac:dyDescent="0.3">
      <c r="A2627" t="s">
        <v>445</v>
      </c>
      <c r="B2627">
        <v>8010001069</v>
      </c>
      <c r="C2627" t="s">
        <v>3</v>
      </c>
      <c r="D2627" t="s">
        <v>130</v>
      </c>
      <c r="E2627" t="str">
        <f t="shared" ref="E2627:E2690" si="41">A2627&amp;B2627</f>
        <v>Technodom8010001069</v>
      </c>
    </row>
    <row r="2628" spans="1:5" x14ac:dyDescent="0.3">
      <c r="A2628" t="s">
        <v>445</v>
      </c>
      <c r="B2628">
        <v>9100042513</v>
      </c>
      <c r="C2628">
        <v>4206122</v>
      </c>
      <c r="D2628" t="s">
        <v>3536</v>
      </c>
      <c r="E2628" t="str">
        <f t="shared" si="41"/>
        <v>Technodom9100042513</v>
      </c>
    </row>
    <row r="2629" spans="1:5" x14ac:dyDescent="0.3">
      <c r="A2629" t="s">
        <v>445</v>
      </c>
      <c r="B2629">
        <v>2211400817</v>
      </c>
      <c r="C2629" t="s">
        <v>3537</v>
      </c>
      <c r="D2629" t="s">
        <v>3538</v>
      </c>
      <c r="E2629" t="str">
        <f t="shared" si="41"/>
        <v>Technodom2211400817</v>
      </c>
    </row>
    <row r="2630" spans="1:5" x14ac:dyDescent="0.3">
      <c r="A2630" t="s">
        <v>445</v>
      </c>
      <c r="B2630">
        <v>1830007520</v>
      </c>
      <c r="C2630" t="s">
        <v>7</v>
      </c>
      <c r="D2630" t="s">
        <v>132</v>
      </c>
      <c r="E2630" t="str">
        <f t="shared" si="41"/>
        <v>Technodom1830007520</v>
      </c>
    </row>
    <row r="2631" spans="1:5" x14ac:dyDescent="0.3">
      <c r="A2631" t="s">
        <v>445</v>
      </c>
      <c r="B2631">
        <v>1510002155</v>
      </c>
      <c r="C2631" t="s">
        <v>417</v>
      </c>
      <c r="D2631" t="s">
        <v>3539</v>
      </c>
      <c r="E2631" t="str">
        <f t="shared" si="41"/>
        <v>Technodom1510002155</v>
      </c>
    </row>
    <row r="2632" spans="1:5" x14ac:dyDescent="0.3">
      <c r="A2632" t="s">
        <v>445</v>
      </c>
      <c r="B2632">
        <v>1830007876</v>
      </c>
      <c r="C2632" t="s">
        <v>103</v>
      </c>
      <c r="D2632" t="s">
        <v>208</v>
      </c>
      <c r="E2632" t="str">
        <f t="shared" si="41"/>
        <v>Technodom1830007876</v>
      </c>
    </row>
    <row r="2633" spans="1:5" x14ac:dyDescent="0.3">
      <c r="A2633" t="s">
        <v>445</v>
      </c>
      <c r="B2633">
        <v>1830008219</v>
      </c>
      <c r="C2633" t="s">
        <v>1943</v>
      </c>
      <c r="D2633" t="s">
        <v>3540</v>
      </c>
      <c r="E2633" t="str">
        <f t="shared" si="41"/>
        <v>Technodom1830008219</v>
      </c>
    </row>
    <row r="2634" spans="1:5" x14ac:dyDescent="0.3">
      <c r="A2634" t="s">
        <v>445</v>
      </c>
      <c r="B2634">
        <v>1830008390</v>
      </c>
      <c r="C2634" t="s">
        <v>216</v>
      </c>
      <c r="D2634" t="s">
        <v>204</v>
      </c>
      <c r="E2634" t="str">
        <f t="shared" si="41"/>
        <v>Technodom1830008390</v>
      </c>
    </row>
    <row r="2635" spans="1:5" x14ac:dyDescent="0.3">
      <c r="A2635" t="s">
        <v>445</v>
      </c>
      <c r="B2635">
        <v>1830008286</v>
      </c>
      <c r="C2635" t="s">
        <v>215</v>
      </c>
      <c r="D2635" t="s">
        <v>3541</v>
      </c>
      <c r="E2635" t="str">
        <f t="shared" si="41"/>
        <v>Technodom1830008286</v>
      </c>
    </row>
    <row r="2636" spans="1:5" x14ac:dyDescent="0.3">
      <c r="A2636" t="s">
        <v>445</v>
      </c>
      <c r="B2636">
        <v>1510002143</v>
      </c>
      <c r="C2636" t="s">
        <v>1600</v>
      </c>
      <c r="D2636" t="s">
        <v>3542</v>
      </c>
      <c r="E2636" t="str">
        <f t="shared" si="41"/>
        <v>Technodom1510002143</v>
      </c>
    </row>
    <row r="2637" spans="1:5" x14ac:dyDescent="0.3">
      <c r="A2637" t="s">
        <v>445</v>
      </c>
      <c r="B2637">
        <v>9100046099</v>
      </c>
      <c r="C2637">
        <v>4211224</v>
      </c>
      <c r="D2637" t="s">
        <v>3543</v>
      </c>
      <c r="E2637" t="str">
        <f t="shared" si="41"/>
        <v>Technodom9100046099</v>
      </c>
    </row>
    <row r="2638" spans="1:5" x14ac:dyDescent="0.3">
      <c r="A2638" t="s">
        <v>445</v>
      </c>
      <c r="B2638">
        <v>9100042516</v>
      </c>
      <c r="C2638">
        <v>4206128</v>
      </c>
      <c r="D2638" t="s">
        <v>3544</v>
      </c>
      <c r="E2638" t="str">
        <f t="shared" si="41"/>
        <v>Technodom9100042516</v>
      </c>
    </row>
    <row r="2639" spans="1:5" x14ac:dyDescent="0.3">
      <c r="A2639" t="s">
        <v>445</v>
      </c>
      <c r="B2639">
        <v>9100045479</v>
      </c>
      <c r="C2639">
        <v>4206926</v>
      </c>
      <c r="D2639" t="s">
        <v>3545</v>
      </c>
      <c r="E2639" t="str">
        <f t="shared" si="41"/>
        <v>Technodom9100045479</v>
      </c>
    </row>
    <row r="2640" spans="1:5" x14ac:dyDescent="0.3">
      <c r="A2640" t="s">
        <v>445</v>
      </c>
      <c r="B2640">
        <v>9100045480</v>
      </c>
      <c r="C2640">
        <v>4206928</v>
      </c>
      <c r="D2640" t="s">
        <v>3546</v>
      </c>
      <c r="E2640" t="str">
        <f t="shared" si="41"/>
        <v>Technodom9100045480</v>
      </c>
    </row>
    <row r="2641" spans="1:5" x14ac:dyDescent="0.3">
      <c r="A2641" t="s">
        <v>445</v>
      </c>
      <c r="B2641">
        <v>9100046094</v>
      </c>
      <c r="C2641">
        <v>4211124</v>
      </c>
      <c r="D2641" t="s">
        <v>3547</v>
      </c>
      <c r="E2641" t="str">
        <f t="shared" si="41"/>
        <v>Technodom9100046094</v>
      </c>
    </row>
    <row r="2642" spans="1:5" x14ac:dyDescent="0.3">
      <c r="A2642" t="s">
        <v>445</v>
      </c>
      <c r="B2642">
        <v>9100046095</v>
      </c>
      <c r="C2642">
        <v>4211126</v>
      </c>
      <c r="D2642" t="s">
        <v>3548</v>
      </c>
      <c r="E2642" t="str">
        <f t="shared" si="41"/>
        <v>Technodom9100046095</v>
      </c>
    </row>
    <row r="2643" spans="1:5" x14ac:dyDescent="0.3">
      <c r="A2643" t="s">
        <v>445</v>
      </c>
      <c r="B2643">
        <v>9100046097</v>
      </c>
      <c r="C2643">
        <v>4211522</v>
      </c>
      <c r="D2643" t="s">
        <v>3549</v>
      </c>
      <c r="E2643" t="str">
        <f t="shared" si="41"/>
        <v>Technodom9100046097</v>
      </c>
    </row>
    <row r="2644" spans="1:5" x14ac:dyDescent="0.3">
      <c r="A2644" t="s">
        <v>445</v>
      </c>
      <c r="B2644">
        <v>2211400977</v>
      </c>
      <c r="C2644" t="s">
        <v>35</v>
      </c>
      <c r="D2644" t="s">
        <v>150</v>
      </c>
      <c r="E2644" t="str">
        <f t="shared" si="41"/>
        <v>Technodom2211400977</v>
      </c>
    </row>
    <row r="2645" spans="1:5" x14ac:dyDescent="0.3">
      <c r="A2645" t="s">
        <v>445</v>
      </c>
      <c r="B2645">
        <v>1830008313</v>
      </c>
      <c r="C2645" t="s">
        <v>214</v>
      </c>
      <c r="D2645" t="s">
        <v>139</v>
      </c>
      <c r="E2645" t="str">
        <f t="shared" si="41"/>
        <v>Technodom1830008313</v>
      </c>
    </row>
    <row r="2646" spans="1:5" x14ac:dyDescent="0.3">
      <c r="A2646" t="s">
        <v>445</v>
      </c>
      <c r="B2646">
        <v>1830008266</v>
      </c>
      <c r="C2646" t="s">
        <v>3550</v>
      </c>
      <c r="D2646" t="s">
        <v>3551</v>
      </c>
      <c r="E2646" t="str">
        <f t="shared" si="41"/>
        <v>Technodom1830008266</v>
      </c>
    </row>
    <row r="2647" spans="1:5" x14ac:dyDescent="0.3">
      <c r="A2647" t="s">
        <v>445</v>
      </c>
      <c r="B2647">
        <v>2211400979</v>
      </c>
      <c r="C2647" t="s">
        <v>37</v>
      </c>
      <c r="D2647" t="s">
        <v>153</v>
      </c>
      <c r="E2647" t="str">
        <f t="shared" si="41"/>
        <v>Technodom2211400979</v>
      </c>
    </row>
    <row r="2648" spans="1:5" x14ac:dyDescent="0.3">
      <c r="A2648" t="s">
        <v>445</v>
      </c>
      <c r="B2648">
        <v>1830008218</v>
      </c>
      <c r="C2648" t="s">
        <v>3552</v>
      </c>
      <c r="D2648" t="s">
        <v>3553</v>
      </c>
      <c r="E2648" t="str">
        <f t="shared" si="41"/>
        <v>Technodom1830008218</v>
      </c>
    </row>
    <row r="2649" spans="1:5" x14ac:dyDescent="0.3">
      <c r="A2649" t="s">
        <v>445</v>
      </c>
      <c r="B2649">
        <v>9100046093</v>
      </c>
      <c r="C2649">
        <v>4211122</v>
      </c>
      <c r="D2649" t="s">
        <v>3554</v>
      </c>
      <c r="E2649" t="str">
        <f t="shared" si="41"/>
        <v>Technodom9100046093</v>
      </c>
    </row>
    <row r="2650" spans="1:5" x14ac:dyDescent="0.3">
      <c r="A2650" t="s">
        <v>445</v>
      </c>
      <c r="B2650">
        <v>9100046096</v>
      </c>
      <c r="C2650">
        <v>4211128</v>
      </c>
      <c r="D2650" t="s">
        <v>3555</v>
      </c>
      <c r="E2650" t="str">
        <f t="shared" si="41"/>
        <v>Technodom9100046096</v>
      </c>
    </row>
    <row r="2651" spans="1:5" x14ac:dyDescent="0.3">
      <c r="A2651" t="s">
        <v>445</v>
      </c>
      <c r="B2651">
        <v>9100046098</v>
      </c>
      <c r="C2651">
        <v>4211628</v>
      </c>
      <c r="D2651" t="s">
        <v>3556</v>
      </c>
      <c r="E2651" t="str">
        <f t="shared" si="41"/>
        <v>Technodom9100046098</v>
      </c>
    </row>
    <row r="2652" spans="1:5" x14ac:dyDescent="0.3">
      <c r="A2652" t="s">
        <v>445</v>
      </c>
      <c r="B2652">
        <v>9100046100</v>
      </c>
      <c r="C2652">
        <v>4211924</v>
      </c>
      <c r="D2652" t="s">
        <v>3557</v>
      </c>
      <c r="E2652" t="str">
        <f t="shared" si="41"/>
        <v>Technodom9100046100</v>
      </c>
    </row>
    <row r="2653" spans="1:5" x14ac:dyDescent="0.3">
      <c r="A2653" t="s">
        <v>445</v>
      </c>
      <c r="B2653">
        <v>9100046101</v>
      </c>
      <c r="C2653">
        <v>4211926</v>
      </c>
      <c r="D2653" t="s">
        <v>3558</v>
      </c>
      <c r="E2653" t="str">
        <f t="shared" si="41"/>
        <v>Technodom9100046101</v>
      </c>
    </row>
    <row r="2654" spans="1:5" x14ac:dyDescent="0.3">
      <c r="A2654" t="s">
        <v>445</v>
      </c>
      <c r="B2654">
        <v>9100046102</v>
      </c>
      <c r="C2654">
        <v>4211928</v>
      </c>
      <c r="D2654" t="s">
        <v>3559</v>
      </c>
      <c r="E2654" t="str">
        <f t="shared" si="41"/>
        <v>Technodom9100046102</v>
      </c>
    </row>
    <row r="2655" spans="1:5" x14ac:dyDescent="0.3">
      <c r="A2655" t="s">
        <v>445</v>
      </c>
      <c r="B2655">
        <v>1830005706</v>
      </c>
      <c r="C2655" t="s">
        <v>1005</v>
      </c>
      <c r="D2655" t="s">
        <v>3560</v>
      </c>
      <c r="E2655" t="str">
        <f t="shared" si="41"/>
        <v>Technodom1830005706</v>
      </c>
    </row>
    <row r="2656" spans="1:5" x14ac:dyDescent="0.3">
      <c r="A2656" t="s">
        <v>445</v>
      </c>
      <c r="B2656">
        <v>1830008437</v>
      </c>
      <c r="C2656" t="s">
        <v>1584</v>
      </c>
      <c r="D2656" t="s">
        <v>3561</v>
      </c>
      <c r="E2656" t="str">
        <f t="shared" si="41"/>
        <v>Technodom1830008437</v>
      </c>
    </row>
    <row r="2657" spans="1:5" x14ac:dyDescent="0.3">
      <c r="A2657" t="s">
        <v>445</v>
      </c>
      <c r="B2657">
        <v>1830008334</v>
      </c>
      <c r="C2657" t="s">
        <v>1698</v>
      </c>
      <c r="D2657" t="s">
        <v>3562</v>
      </c>
      <c r="E2657" t="str">
        <f t="shared" si="41"/>
        <v>Technodom1830008334</v>
      </c>
    </row>
    <row r="2658" spans="1:5" x14ac:dyDescent="0.3">
      <c r="A2658" t="s">
        <v>445</v>
      </c>
      <c r="B2658">
        <v>1830008333</v>
      </c>
      <c r="C2658" t="s">
        <v>2233</v>
      </c>
      <c r="D2658" t="s">
        <v>3563</v>
      </c>
      <c r="E2658" t="str">
        <f t="shared" si="41"/>
        <v>Technodom1830008333</v>
      </c>
    </row>
    <row r="2659" spans="1:5" x14ac:dyDescent="0.3">
      <c r="A2659" t="s">
        <v>445</v>
      </c>
      <c r="B2659">
        <v>1830007344</v>
      </c>
      <c r="C2659" t="s">
        <v>1264</v>
      </c>
      <c r="D2659" t="s">
        <v>3564</v>
      </c>
      <c r="E2659" t="str">
        <f t="shared" si="41"/>
        <v>Technodom1830007344</v>
      </c>
    </row>
    <row r="2660" spans="1:5" x14ac:dyDescent="0.3">
      <c r="A2660" t="s">
        <v>445</v>
      </c>
      <c r="B2660">
        <v>2100124606</v>
      </c>
      <c r="C2660" t="s">
        <v>86</v>
      </c>
      <c r="D2660" t="s">
        <v>3565</v>
      </c>
      <c r="E2660" t="str">
        <f t="shared" si="41"/>
        <v>Technodom2100124606</v>
      </c>
    </row>
    <row r="2661" spans="1:5" x14ac:dyDescent="0.3">
      <c r="A2661" t="s">
        <v>445</v>
      </c>
      <c r="B2661">
        <v>1110030532</v>
      </c>
      <c r="C2661" t="s">
        <v>1617</v>
      </c>
      <c r="D2661" t="s">
        <v>3566</v>
      </c>
      <c r="E2661" t="str">
        <f t="shared" si="41"/>
        <v>Technodom1110030532</v>
      </c>
    </row>
    <row r="2662" spans="1:5" x14ac:dyDescent="0.3">
      <c r="A2662" t="s">
        <v>445</v>
      </c>
      <c r="B2662">
        <v>2211401061</v>
      </c>
      <c r="C2662" t="s">
        <v>1598</v>
      </c>
      <c r="D2662" t="s">
        <v>3567</v>
      </c>
      <c r="E2662" t="str">
        <f t="shared" si="41"/>
        <v>Technodom2211401061</v>
      </c>
    </row>
    <row r="2663" spans="1:5" x14ac:dyDescent="0.3">
      <c r="A2663" t="s">
        <v>445</v>
      </c>
      <c r="B2663">
        <v>2211400814</v>
      </c>
      <c r="C2663" t="s">
        <v>1818</v>
      </c>
      <c r="D2663" t="s">
        <v>3568</v>
      </c>
      <c r="E2663" t="str">
        <f t="shared" si="41"/>
        <v>Technodom2211400814</v>
      </c>
    </row>
    <row r="2664" spans="1:5" x14ac:dyDescent="0.3">
      <c r="A2664" t="s">
        <v>445</v>
      </c>
      <c r="B2664">
        <v>2211401062</v>
      </c>
      <c r="C2664" t="s">
        <v>1596</v>
      </c>
      <c r="D2664" t="s">
        <v>3569</v>
      </c>
      <c r="E2664" t="str">
        <f t="shared" si="41"/>
        <v>Technodom2211401062</v>
      </c>
    </row>
    <row r="2665" spans="1:5" x14ac:dyDescent="0.3">
      <c r="A2665" t="s">
        <v>445</v>
      </c>
      <c r="B2665">
        <v>7211004463</v>
      </c>
      <c r="C2665" t="s">
        <v>110</v>
      </c>
      <c r="D2665" t="s">
        <v>162</v>
      </c>
      <c r="E2665" t="str">
        <f t="shared" si="41"/>
        <v>Technodom7211004463</v>
      </c>
    </row>
    <row r="2666" spans="1:5" x14ac:dyDescent="0.3">
      <c r="A2666" t="s">
        <v>445</v>
      </c>
      <c r="B2666">
        <v>1830008513</v>
      </c>
      <c r="C2666" t="s">
        <v>112</v>
      </c>
      <c r="D2666" t="s">
        <v>140</v>
      </c>
      <c r="E2666" t="str">
        <f t="shared" si="41"/>
        <v>Technodom1830008513</v>
      </c>
    </row>
    <row r="2667" spans="1:5" x14ac:dyDescent="0.3">
      <c r="A2667" t="s">
        <v>445</v>
      </c>
      <c r="B2667">
        <v>1830007548</v>
      </c>
      <c r="C2667" t="s">
        <v>3570</v>
      </c>
      <c r="D2667" t="s">
        <v>3571</v>
      </c>
      <c r="E2667" t="str">
        <f t="shared" si="41"/>
        <v>Technodom1830007548</v>
      </c>
    </row>
    <row r="2668" spans="1:5" x14ac:dyDescent="0.3">
      <c r="A2668" t="s">
        <v>445</v>
      </c>
      <c r="B2668">
        <v>1830007679</v>
      </c>
      <c r="C2668" t="s">
        <v>1246</v>
      </c>
      <c r="D2668" t="s">
        <v>3572</v>
      </c>
      <c r="E2668" t="str">
        <f t="shared" si="41"/>
        <v>Technodom1830007679</v>
      </c>
    </row>
    <row r="2669" spans="1:5" x14ac:dyDescent="0.3">
      <c r="A2669" t="s">
        <v>445</v>
      </c>
      <c r="B2669">
        <v>1830008461</v>
      </c>
      <c r="C2669" t="s">
        <v>424</v>
      </c>
      <c r="D2669" t="s">
        <v>3573</v>
      </c>
      <c r="E2669" t="str">
        <f t="shared" si="41"/>
        <v>Technodom1830008461</v>
      </c>
    </row>
    <row r="2670" spans="1:5" x14ac:dyDescent="0.3">
      <c r="A2670" t="s">
        <v>445</v>
      </c>
      <c r="B2670">
        <v>1830008526</v>
      </c>
      <c r="C2670" t="s">
        <v>358</v>
      </c>
      <c r="D2670" t="s">
        <v>369</v>
      </c>
      <c r="E2670" t="str">
        <f t="shared" si="41"/>
        <v>Technodom1830008526</v>
      </c>
    </row>
    <row r="2671" spans="1:5" x14ac:dyDescent="0.3">
      <c r="A2671" t="s">
        <v>445</v>
      </c>
      <c r="B2671">
        <v>1830008532</v>
      </c>
      <c r="C2671" t="s">
        <v>1694</v>
      </c>
      <c r="D2671" t="s">
        <v>3574</v>
      </c>
      <c r="E2671" t="str">
        <f t="shared" si="41"/>
        <v>Technodom1830008532</v>
      </c>
    </row>
    <row r="2672" spans="1:5" x14ac:dyDescent="0.3">
      <c r="A2672" t="s">
        <v>445</v>
      </c>
      <c r="B2672">
        <v>1830008533</v>
      </c>
      <c r="C2672" t="s">
        <v>1629</v>
      </c>
      <c r="D2672" t="s">
        <v>3575</v>
      </c>
      <c r="E2672" t="str">
        <f t="shared" si="41"/>
        <v>Technodom1830008533</v>
      </c>
    </row>
    <row r="2673" spans="1:5" x14ac:dyDescent="0.3">
      <c r="A2673" t="s">
        <v>445</v>
      </c>
      <c r="B2673">
        <v>8010000557</v>
      </c>
      <c r="C2673" t="s">
        <v>2174</v>
      </c>
      <c r="D2673" t="s">
        <v>3576</v>
      </c>
      <c r="E2673" t="str">
        <f t="shared" si="41"/>
        <v>Technodom8010000557</v>
      </c>
    </row>
    <row r="2674" spans="1:5" x14ac:dyDescent="0.3">
      <c r="A2674" t="s">
        <v>445</v>
      </c>
      <c r="B2674">
        <v>7211003925</v>
      </c>
      <c r="C2674" t="s">
        <v>59</v>
      </c>
      <c r="D2674" t="s">
        <v>171</v>
      </c>
      <c r="E2674" t="str">
        <f t="shared" si="41"/>
        <v>Technodom7211003925</v>
      </c>
    </row>
    <row r="2675" spans="1:5" x14ac:dyDescent="0.3">
      <c r="A2675" t="s">
        <v>445</v>
      </c>
      <c r="B2675">
        <v>7211003929</v>
      </c>
      <c r="C2675" t="s">
        <v>52</v>
      </c>
      <c r="D2675" t="s">
        <v>165</v>
      </c>
      <c r="E2675" t="str">
        <f t="shared" si="41"/>
        <v>Technodom7211003929</v>
      </c>
    </row>
    <row r="2676" spans="1:5" x14ac:dyDescent="0.3">
      <c r="A2676" t="s">
        <v>445</v>
      </c>
      <c r="B2676">
        <v>7211004072</v>
      </c>
      <c r="C2676" t="s">
        <v>1377</v>
      </c>
      <c r="D2676" t="s">
        <v>3577</v>
      </c>
      <c r="E2676" t="str">
        <f t="shared" si="41"/>
        <v>Technodom7211004072</v>
      </c>
    </row>
    <row r="2677" spans="1:5" x14ac:dyDescent="0.3">
      <c r="A2677" t="s">
        <v>445</v>
      </c>
      <c r="B2677">
        <v>7211004672</v>
      </c>
      <c r="C2677" t="s">
        <v>363</v>
      </c>
      <c r="D2677" t="s">
        <v>3578</v>
      </c>
      <c r="E2677" t="str">
        <f t="shared" si="41"/>
        <v>Technodom7211004672</v>
      </c>
    </row>
    <row r="2678" spans="1:5" x14ac:dyDescent="0.3">
      <c r="A2678" t="s">
        <v>445</v>
      </c>
      <c r="B2678">
        <v>7211004674</v>
      </c>
      <c r="C2678" t="s">
        <v>3579</v>
      </c>
      <c r="D2678" t="s">
        <v>3580</v>
      </c>
      <c r="E2678" t="str">
        <f t="shared" si="41"/>
        <v>Technodom7211004674</v>
      </c>
    </row>
    <row r="2679" spans="1:5" x14ac:dyDescent="0.3">
      <c r="A2679" t="s">
        <v>445</v>
      </c>
      <c r="B2679">
        <v>1500813213</v>
      </c>
      <c r="C2679" t="s">
        <v>3581</v>
      </c>
      <c r="D2679" t="s">
        <v>3582</v>
      </c>
      <c r="E2679" t="str">
        <f t="shared" si="41"/>
        <v>Technodom1500813213</v>
      </c>
    </row>
    <row r="2680" spans="1:5" x14ac:dyDescent="0.3">
      <c r="A2680" t="s">
        <v>445</v>
      </c>
      <c r="B2680">
        <v>8010001064</v>
      </c>
      <c r="C2680" t="s">
        <v>1981</v>
      </c>
      <c r="D2680" t="s">
        <v>3583</v>
      </c>
      <c r="E2680" t="str">
        <f t="shared" si="41"/>
        <v>Technodom8010001064</v>
      </c>
    </row>
    <row r="2681" spans="1:5" x14ac:dyDescent="0.3">
      <c r="A2681" t="s">
        <v>445</v>
      </c>
      <c r="B2681">
        <v>8010000794</v>
      </c>
      <c r="C2681" t="s">
        <v>63</v>
      </c>
      <c r="D2681" t="s">
        <v>174</v>
      </c>
      <c r="E2681" t="str">
        <f t="shared" si="41"/>
        <v>Technodom8010000794</v>
      </c>
    </row>
    <row r="2682" spans="1:5" x14ac:dyDescent="0.3">
      <c r="A2682" t="s">
        <v>445</v>
      </c>
      <c r="B2682">
        <v>1830008511</v>
      </c>
      <c r="C2682" t="s">
        <v>115</v>
      </c>
      <c r="D2682" t="s">
        <v>3584</v>
      </c>
      <c r="E2682" t="str">
        <f t="shared" si="41"/>
        <v>Technodom1830008511</v>
      </c>
    </row>
    <row r="2683" spans="1:5" x14ac:dyDescent="0.3">
      <c r="A2683" t="s">
        <v>445</v>
      </c>
      <c r="B2683">
        <v>7211002492</v>
      </c>
      <c r="C2683" t="s">
        <v>2125</v>
      </c>
      <c r="D2683" t="s">
        <v>3585</v>
      </c>
      <c r="E2683" t="str">
        <f t="shared" si="41"/>
        <v>Technodom7211002492</v>
      </c>
    </row>
    <row r="2684" spans="1:5" x14ac:dyDescent="0.3">
      <c r="A2684" t="s">
        <v>445</v>
      </c>
      <c r="B2684">
        <v>7211002825</v>
      </c>
      <c r="C2684" t="s">
        <v>1337</v>
      </c>
      <c r="D2684" t="s">
        <v>3586</v>
      </c>
      <c r="E2684" t="str">
        <f t="shared" si="41"/>
        <v>Technodom7211002825</v>
      </c>
    </row>
    <row r="2685" spans="1:5" x14ac:dyDescent="0.3">
      <c r="A2685" t="s">
        <v>445</v>
      </c>
      <c r="B2685">
        <v>7211004352</v>
      </c>
      <c r="C2685" t="s">
        <v>1500</v>
      </c>
      <c r="D2685" t="s">
        <v>3587</v>
      </c>
      <c r="E2685" t="str">
        <f t="shared" si="41"/>
        <v>Technodom7211004352</v>
      </c>
    </row>
    <row r="2686" spans="1:5" x14ac:dyDescent="0.3">
      <c r="A2686" t="s">
        <v>445</v>
      </c>
      <c r="B2686">
        <v>7211004259</v>
      </c>
      <c r="C2686" t="s">
        <v>419</v>
      </c>
      <c r="D2686" t="s">
        <v>3588</v>
      </c>
      <c r="E2686" t="str">
        <f t="shared" si="41"/>
        <v>Technodom7211004259</v>
      </c>
    </row>
    <row r="2687" spans="1:5" x14ac:dyDescent="0.3">
      <c r="A2687" t="s">
        <v>445</v>
      </c>
      <c r="B2687">
        <v>8010000276</v>
      </c>
      <c r="C2687" t="s">
        <v>2439</v>
      </c>
      <c r="D2687" t="s">
        <v>3589</v>
      </c>
      <c r="E2687" t="str">
        <f t="shared" si="41"/>
        <v>Technodom8010000276</v>
      </c>
    </row>
    <row r="2688" spans="1:5" x14ac:dyDescent="0.3">
      <c r="A2688" t="s">
        <v>445</v>
      </c>
      <c r="B2688">
        <v>8000035985</v>
      </c>
      <c r="C2688" t="s">
        <v>1258</v>
      </c>
      <c r="D2688" t="s">
        <v>3590</v>
      </c>
      <c r="E2688" t="str">
        <f t="shared" si="41"/>
        <v>Technodom8000035985</v>
      </c>
    </row>
    <row r="2689" spans="1:5" x14ac:dyDescent="0.3">
      <c r="A2689" t="s">
        <v>445</v>
      </c>
      <c r="B2689">
        <v>8010000152</v>
      </c>
      <c r="C2689" t="s">
        <v>1260</v>
      </c>
      <c r="D2689" t="s">
        <v>3591</v>
      </c>
      <c r="E2689" t="str">
        <f t="shared" si="41"/>
        <v>Technodom8010000152</v>
      </c>
    </row>
    <row r="2690" spans="1:5" x14ac:dyDescent="0.3">
      <c r="A2690" t="s">
        <v>445</v>
      </c>
      <c r="B2690">
        <v>8010000137</v>
      </c>
      <c r="C2690" t="s">
        <v>1254</v>
      </c>
      <c r="D2690" t="s">
        <v>3592</v>
      </c>
      <c r="E2690" t="str">
        <f t="shared" si="41"/>
        <v>Technodom8010000137</v>
      </c>
    </row>
    <row r="2691" spans="1:5" x14ac:dyDescent="0.3">
      <c r="A2691" t="s">
        <v>445</v>
      </c>
      <c r="B2691">
        <v>7211004232</v>
      </c>
      <c r="C2691" t="s">
        <v>1724</v>
      </c>
      <c r="D2691" t="s">
        <v>3593</v>
      </c>
      <c r="E2691" t="str">
        <f t="shared" ref="E2691:E2754" si="42">A2691&amp;B2691</f>
        <v>Technodom7211004232</v>
      </c>
    </row>
    <row r="2692" spans="1:5" x14ac:dyDescent="0.3">
      <c r="A2692" t="s">
        <v>445</v>
      </c>
      <c r="B2692">
        <v>7211004400</v>
      </c>
      <c r="C2692" t="s">
        <v>3594</v>
      </c>
      <c r="D2692" t="s">
        <v>3595</v>
      </c>
      <c r="E2692" t="str">
        <f t="shared" si="42"/>
        <v>Technodom7211004400</v>
      </c>
    </row>
    <row r="2693" spans="1:5" x14ac:dyDescent="0.3">
      <c r="A2693" t="s">
        <v>445</v>
      </c>
      <c r="B2693">
        <v>7211004399</v>
      </c>
      <c r="C2693" t="s">
        <v>1711</v>
      </c>
      <c r="D2693" t="s">
        <v>3596</v>
      </c>
      <c r="E2693" t="str">
        <f t="shared" si="42"/>
        <v>Technodom7211004399</v>
      </c>
    </row>
    <row r="2694" spans="1:5" x14ac:dyDescent="0.3">
      <c r="A2694" t="s">
        <v>445</v>
      </c>
      <c r="B2694">
        <v>7211004511</v>
      </c>
      <c r="C2694" t="s">
        <v>1713</v>
      </c>
      <c r="D2694" t="s">
        <v>3597</v>
      </c>
      <c r="E2694" t="str">
        <f t="shared" si="42"/>
        <v>Technodom7211004511</v>
      </c>
    </row>
    <row r="2695" spans="1:5" x14ac:dyDescent="0.3">
      <c r="A2695" t="s">
        <v>445</v>
      </c>
      <c r="B2695">
        <v>3100502474</v>
      </c>
      <c r="C2695">
        <v>502474</v>
      </c>
      <c r="D2695" t="s">
        <v>3598</v>
      </c>
      <c r="E2695" t="str">
        <f t="shared" si="42"/>
        <v>Technodom3100502474</v>
      </c>
    </row>
    <row r="2696" spans="1:5" x14ac:dyDescent="0.3">
      <c r="A2696" t="s">
        <v>445</v>
      </c>
      <c r="B2696">
        <v>3110600794</v>
      </c>
      <c r="C2696" t="s">
        <v>2480</v>
      </c>
      <c r="D2696" t="s">
        <v>3599</v>
      </c>
      <c r="E2696" t="str">
        <f t="shared" si="42"/>
        <v>Technodom3110600794</v>
      </c>
    </row>
    <row r="2697" spans="1:5" x14ac:dyDescent="0.3">
      <c r="A2697" t="s">
        <v>445</v>
      </c>
      <c r="B2697">
        <v>2100124357</v>
      </c>
      <c r="C2697" t="s">
        <v>3600</v>
      </c>
      <c r="D2697" t="s">
        <v>3601</v>
      </c>
      <c r="E2697" t="str">
        <f t="shared" si="42"/>
        <v>Technodom2100124357</v>
      </c>
    </row>
    <row r="2698" spans="1:5" x14ac:dyDescent="0.3">
      <c r="A2698" t="s">
        <v>445</v>
      </c>
      <c r="B2698">
        <v>2100124358</v>
      </c>
      <c r="C2698" t="s">
        <v>3602</v>
      </c>
      <c r="D2698" t="s">
        <v>3603</v>
      </c>
      <c r="E2698" t="str">
        <f t="shared" si="42"/>
        <v>Technodom2100124358</v>
      </c>
    </row>
    <row r="2699" spans="1:5" x14ac:dyDescent="0.3">
      <c r="A2699" t="s">
        <v>445</v>
      </c>
      <c r="B2699">
        <v>1830008582</v>
      </c>
      <c r="C2699" t="s">
        <v>1700</v>
      </c>
      <c r="D2699" t="s">
        <v>3604</v>
      </c>
      <c r="E2699" t="str">
        <f t="shared" si="42"/>
        <v>Technodom1830008582</v>
      </c>
    </row>
    <row r="2700" spans="1:5" x14ac:dyDescent="0.3">
      <c r="A2700" t="s">
        <v>445</v>
      </c>
      <c r="B2700">
        <v>1830008587</v>
      </c>
      <c r="C2700" t="s">
        <v>1625</v>
      </c>
      <c r="D2700" t="s">
        <v>3605</v>
      </c>
      <c r="E2700" t="str">
        <f t="shared" si="42"/>
        <v>Technodom1830008587</v>
      </c>
    </row>
    <row r="2701" spans="1:5" x14ac:dyDescent="0.3">
      <c r="A2701" t="s">
        <v>445</v>
      </c>
      <c r="B2701">
        <v>1830008581</v>
      </c>
      <c r="C2701" t="s">
        <v>1627</v>
      </c>
      <c r="D2701" t="s">
        <v>3606</v>
      </c>
      <c r="E2701" t="str">
        <f t="shared" si="42"/>
        <v>Technodom1830008581</v>
      </c>
    </row>
    <row r="2702" spans="1:5" x14ac:dyDescent="0.3">
      <c r="A2702" t="s">
        <v>445</v>
      </c>
      <c r="B2702">
        <v>1830008521</v>
      </c>
      <c r="C2702" t="s">
        <v>1651</v>
      </c>
      <c r="D2702" t="s">
        <v>3607</v>
      </c>
      <c r="E2702" t="str">
        <f t="shared" si="42"/>
        <v>Technodom1830008521</v>
      </c>
    </row>
    <row r="2703" spans="1:5" x14ac:dyDescent="0.3">
      <c r="A2703" t="s">
        <v>445</v>
      </c>
      <c r="B2703">
        <v>1830008456</v>
      </c>
      <c r="C2703" t="s">
        <v>3608</v>
      </c>
      <c r="D2703" t="s">
        <v>3609</v>
      </c>
      <c r="E2703" t="str">
        <f t="shared" si="42"/>
        <v>Technodom1830008456</v>
      </c>
    </row>
    <row r="2704" spans="1:5" x14ac:dyDescent="0.3">
      <c r="A2704" t="s">
        <v>445</v>
      </c>
      <c r="B2704">
        <v>1830008458</v>
      </c>
      <c r="C2704" t="s">
        <v>1643</v>
      </c>
      <c r="D2704" t="s">
        <v>3610</v>
      </c>
      <c r="E2704" t="str">
        <f t="shared" si="42"/>
        <v>Technodom1830008458</v>
      </c>
    </row>
    <row r="2705" spans="1:5" x14ac:dyDescent="0.3">
      <c r="A2705" t="s">
        <v>445</v>
      </c>
      <c r="B2705">
        <v>1830006238</v>
      </c>
      <c r="C2705" t="s">
        <v>913</v>
      </c>
      <c r="D2705" t="s">
        <v>3611</v>
      </c>
      <c r="E2705" t="str">
        <f t="shared" si="42"/>
        <v>Technodom1830006238</v>
      </c>
    </row>
    <row r="2706" spans="1:5" x14ac:dyDescent="0.3">
      <c r="A2706" t="s">
        <v>445</v>
      </c>
      <c r="B2706">
        <v>3110600789</v>
      </c>
      <c r="C2706" t="s">
        <v>3612</v>
      </c>
      <c r="D2706" t="s">
        <v>3613</v>
      </c>
      <c r="E2706" t="str">
        <f t="shared" si="42"/>
        <v>Technodom3110600789</v>
      </c>
    </row>
    <row r="2707" spans="1:5" x14ac:dyDescent="0.3">
      <c r="A2707" t="s">
        <v>445</v>
      </c>
      <c r="B2707">
        <v>3110600792</v>
      </c>
      <c r="C2707" t="s">
        <v>3614</v>
      </c>
      <c r="D2707" t="s">
        <v>3615</v>
      </c>
      <c r="E2707" t="str">
        <f t="shared" si="42"/>
        <v>Technodom3110600792</v>
      </c>
    </row>
    <row r="2708" spans="1:5" x14ac:dyDescent="0.3">
      <c r="A2708" t="s">
        <v>445</v>
      </c>
      <c r="B2708">
        <v>2100124435</v>
      </c>
      <c r="C2708" t="s">
        <v>3616</v>
      </c>
      <c r="D2708" t="s">
        <v>3617</v>
      </c>
      <c r="E2708" t="str">
        <f t="shared" si="42"/>
        <v>Technodom2100124435</v>
      </c>
    </row>
    <row r="2709" spans="1:5" x14ac:dyDescent="0.3">
      <c r="A2709" t="s">
        <v>445</v>
      </c>
      <c r="B2709">
        <v>2211401074</v>
      </c>
      <c r="C2709" t="s">
        <v>128</v>
      </c>
      <c r="D2709" t="s">
        <v>152</v>
      </c>
      <c r="E2709" t="str">
        <f t="shared" si="42"/>
        <v>Technodom2211401074</v>
      </c>
    </row>
    <row r="2710" spans="1:5" x14ac:dyDescent="0.3">
      <c r="A2710" t="s">
        <v>445</v>
      </c>
      <c r="B2710">
        <v>7211004688</v>
      </c>
      <c r="C2710" t="s">
        <v>3618</v>
      </c>
      <c r="D2710" t="s">
        <v>3619</v>
      </c>
      <c r="E2710" t="str">
        <f t="shared" si="42"/>
        <v>Technodom7211004688</v>
      </c>
    </row>
    <row r="2711" spans="1:5" x14ac:dyDescent="0.3">
      <c r="A2711" t="s">
        <v>445</v>
      </c>
      <c r="B2711">
        <v>8010001084</v>
      </c>
      <c r="C2711" t="s">
        <v>3620</v>
      </c>
      <c r="D2711" t="s">
        <v>3621</v>
      </c>
      <c r="E2711" t="str">
        <f t="shared" si="42"/>
        <v>Technodom8010001084</v>
      </c>
    </row>
    <row r="2712" spans="1:5" x14ac:dyDescent="0.3">
      <c r="A2712" t="s">
        <v>445</v>
      </c>
      <c r="B2712">
        <v>7211004574</v>
      </c>
      <c r="C2712" t="s">
        <v>3622</v>
      </c>
      <c r="D2712" t="s">
        <v>3623</v>
      </c>
      <c r="E2712" t="str">
        <f t="shared" si="42"/>
        <v>Technodom7211004574</v>
      </c>
    </row>
    <row r="2713" spans="1:5" x14ac:dyDescent="0.3">
      <c r="A2713" t="s">
        <v>445</v>
      </c>
      <c r="B2713">
        <v>7211004577</v>
      </c>
      <c r="C2713" t="s">
        <v>3624</v>
      </c>
      <c r="D2713" t="s">
        <v>3625</v>
      </c>
      <c r="E2713" t="str">
        <f t="shared" si="42"/>
        <v>Technodom7211004577</v>
      </c>
    </row>
    <row r="2714" spans="1:5" x14ac:dyDescent="0.3">
      <c r="A2714" t="s">
        <v>445</v>
      </c>
      <c r="B2714">
        <v>1830008527</v>
      </c>
      <c r="C2714" t="s">
        <v>1649</v>
      </c>
      <c r="D2714" t="s">
        <v>3626</v>
      </c>
      <c r="E2714" t="str">
        <f t="shared" si="42"/>
        <v>Technodom1830008527</v>
      </c>
    </row>
    <row r="2715" spans="1:5" x14ac:dyDescent="0.3">
      <c r="A2715" t="s">
        <v>445</v>
      </c>
      <c r="B2715">
        <v>1830006272</v>
      </c>
      <c r="C2715" t="s">
        <v>1363</v>
      </c>
      <c r="D2715" t="s">
        <v>3627</v>
      </c>
      <c r="E2715" t="str">
        <f t="shared" si="42"/>
        <v>Technodom1830006272</v>
      </c>
    </row>
    <row r="2716" spans="1:5" x14ac:dyDescent="0.3">
      <c r="A2716" t="s">
        <v>445</v>
      </c>
      <c r="B2716">
        <v>1830008585</v>
      </c>
      <c r="C2716" t="s">
        <v>359</v>
      </c>
      <c r="D2716" t="s">
        <v>370</v>
      </c>
      <c r="E2716" t="str">
        <f t="shared" si="42"/>
        <v>Technodom1830008585</v>
      </c>
    </row>
    <row r="2717" spans="1:5" x14ac:dyDescent="0.3">
      <c r="A2717" t="s">
        <v>445</v>
      </c>
      <c r="B2717">
        <v>1830008554</v>
      </c>
      <c r="C2717" t="s">
        <v>1635</v>
      </c>
      <c r="D2717" t="s">
        <v>3628</v>
      </c>
      <c r="E2717" t="str">
        <f t="shared" si="42"/>
        <v>Technodom1830008554</v>
      </c>
    </row>
    <row r="2718" spans="1:5" x14ac:dyDescent="0.3">
      <c r="A2718" t="s">
        <v>445</v>
      </c>
      <c r="B2718">
        <v>1830008556</v>
      </c>
      <c r="C2718" t="s">
        <v>1633</v>
      </c>
      <c r="D2718" t="s">
        <v>3629</v>
      </c>
      <c r="E2718" t="str">
        <f t="shared" si="42"/>
        <v>Technodom1830008556</v>
      </c>
    </row>
    <row r="2719" spans="1:5" x14ac:dyDescent="0.3">
      <c r="A2719" t="s">
        <v>445</v>
      </c>
      <c r="B2719">
        <v>1830008557</v>
      </c>
      <c r="C2719" t="s">
        <v>1631</v>
      </c>
      <c r="D2719" t="s">
        <v>3630</v>
      </c>
      <c r="E2719" t="str">
        <f t="shared" si="42"/>
        <v>Technodom1830008557</v>
      </c>
    </row>
    <row r="2720" spans="1:5" x14ac:dyDescent="0.3">
      <c r="A2720" t="s">
        <v>445</v>
      </c>
      <c r="B2720">
        <v>1830007569</v>
      </c>
      <c r="C2720" t="s">
        <v>1612</v>
      </c>
      <c r="D2720" t="s">
        <v>3631</v>
      </c>
      <c r="E2720" t="str">
        <f t="shared" si="42"/>
        <v>Technodom1830007569</v>
      </c>
    </row>
    <row r="2721" spans="1:5" x14ac:dyDescent="0.3">
      <c r="A2721" t="s">
        <v>445</v>
      </c>
      <c r="B2721">
        <v>8010000956</v>
      </c>
      <c r="C2721" t="s">
        <v>3632</v>
      </c>
      <c r="D2721" t="s">
        <v>3633</v>
      </c>
      <c r="E2721" t="str">
        <f t="shared" si="42"/>
        <v>Technodom8010000956</v>
      </c>
    </row>
    <row r="2722" spans="1:5" x14ac:dyDescent="0.3">
      <c r="A2722" t="s">
        <v>445</v>
      </c>
      <c r="B2722">
        <v>7211004670</v>
      </c>
      <c r="C2722" t="s">
        <v>404</v>
      </c>
      <c r="D2722" t="s">
        <v>3634</v>
      </c>
      <c r="E2722" t="str">
        <f t="shared" si="42"/>
        <v>Technodom7211004670</v>
      </c>
    </row>
    <row r="2723" spans="1:5" x14ac:dyDescent="0.3">
      <c r="A2723" t="s">
        <v>445</v>
      </c>
      <c r="B2723">
        <v>7211004699</v>
      </c>
      <c r="C2723" t="s">
        <v>120</v>
      </c>
      <c r="D2723" t="s">
        <v>3635</v>
      </c>
      <c r="E2723" t="str">
        <f t="shared" si="42"/>
        <v>Technodom7211004699</v>
      </c>
    </row>
    <row r="2724" spans="1:5" x14ac:dyDescent="0.3">
      <c r="A2724" t="s">
        <v>445</v>
      </c>
      <c r="B2724">
        <v>1830008583</v>
      </c>
      <c r="C2724" t="s">
        <v>1623</v>
      </c>
      <c r="D2724" t="s">
        <v>3636</v>
      </c>
      <c r="E2724" t="str">
        <f t="shared" si="42"/>
        <v>Technodom1830008583</v>
      </c>
    </row>
    <row r="2725" spans="1:5" x14ac:dyDescent="0.3">
      <c r="A2725" t="s">
        <v>445</v>
      </c>
      <c r="B2725">
        <v>1830008493</v>
      </c>
      <c r="C2725" t="s">
        <v>1621</v>
      </c>
      <c r="D2725" t="s">
        <v>3637</v>
      </c>
      <c r="E2725" t="str">
        <f t="shared" si="42"/>
        <v>Technodom1830008493</v>
      </c>
    </row>
    <row r="2726" spans="1:5" x14ac:dyDescent="0.3">
      <c r="A2726" t="s">
        <v>445</v>
      </c>
      <c r="B2726">
        <v>1830008469</v>
      </c>
      <c r="C2726" t="s">
        <v>2418</v>
      </c>
      <c r="D2726" t="s">
        <v>3638</v>
      </c>
      <c r="E2726" t="str">
        <f t="shared" si="42"/>
        <v>Technodom1830008469</v>
      </c>
    </row>
    <row r="2727" spans="1:5" x14ac:dyDescent="0.3">
      <c r="A2727" t="s">
        <v>445</v>
      </c>
      <c r="B2727">
        <v>1830008468</v>
      </c>
      <c r="C2727" t="s">
        <v>1645</v>
      </c>
      <c r="D2727" t="s">
        <v>3639</v>
      </c>
      <c r="E2727" t="str">
        <f t="shared" si="42"/>
        <v>Technodom1830008468</v>
      </c>
    </row>
    <row r="2728" spans="1:5" x14ac:dyDescent="0.3">
      <c r="A2728" t="s">
        <v>445</v>
      </c>
      <c r="B2728">
        <v>1830008506</v>
      </c>
      <c r="C2728" t="s">
        <v>1639</v>
      </c>
      <c r="D2728" t="s">
        <v>3640</v>
      </c>
      <c r="E2728" t="str">
        <f t="shared" si="42"/>
        <v>Technodom1830008506</v>
      </c>
    </row>
    <row r="2729" spans="1:5" x14ac:dyDescent="0.3">
      <c r="A2729" t="s">
        <v>445</v>
      </c>
      <c r="B2729">
        <v>8010001135</v>
      </c>
      <c r="C2729" t="s">
        <v>398</v>
      </c>
      <c r="D2729" t="s">
        <v>3641</v>
      </c>
      <c r="E2729" t="str">
        <f t="shared" si="42"/>
        <v>Technodom8010001135</v>
      </c>
    </row>
    <row r="2730" spans="1:5" x14ac:dyDescent="0.3">
      <c r="A2730" t="s">
        <v>445</v>
      </c>
      <c r="B2730">
        <v>1830008496</v>
      </c>
      <c r="C2730" t="s">
        <v>1619</v>
      </c>
      <c r="D2730" t="s">
        <v>3642</v>
      </c>
      <c r="E2730" t="str">
        <f t="shared" si="42"/>
        <v>Technodom1830008496</v>
      </c>
    </row>
    <row r="2731" spans="1:5" x14ac:dyDescent="0.3">
      <c r="A2731" t="s">
        <v>445</v>
      </c>
      <c r="B2731">
        <v>1830008470</v>
      </c>
      <c r="C2731" t="s">
        <v>1637</v>
      </c>
      <c r="D2731" t="s">
        <v>3643</v>
      </c>
      <c r="E2731" t="str">
        <f t="shared" si="42"/>
        <v>Technodom1830008470</v>
      </c>
    </row>
    <row r="2732" spans="1:5" x14ac:dyDescent="0.3">
      <c r="A2732" t="s">
        <v>445</v>
      </c>
      <c r="B2732">
        <v>1830007698</v>
      </c>
      <c r="C2732" t="s">
        <v>1172</v>
      </c>
      <c r="D2732" t="s">
        <v>3644</v>
      </c>
      <c r="E2732" t="str">
        <f t="shared" si="42"/>
        <v>Technodom1830007698</v>
      </c>
    </row>
    <row r="2733" spans="1:5" x14ac:dyDescent="0.3">
      <c r="A2733" t="s">
        <v>445</v>
      </c>
      <c r="B2733">
        <v>3200001446</v>
      </c>
      <c r="C2733">
        <v>415480711</v>
      </c>
      <c r="D2733" t="s">
        <v>3645</v>
      </c>
      <c r="E2733" t="str">
        <f t="shared" si="42"/>
        <v>Technodom3200001446</v>
      </c>
    </row>
    <row r="2734" spans="1:5" x14ac:dyDescent="0.3">
      <c r="A2734" t="s">
        <v>445</v>
      </c>
      <c r="B2734">
        <v>3200001154</v>
      </c>
      <c r="C2734">
        <v>416500711</v>
      </c>
      <c r="D2734" t="s">
        <v>3646</v>
      </c>
      <c r="E2734" t="str">
        <f t="shared" si="42"/>
        <v>Technodom3200001154</v>
      </c>
    </row>
    <row r="2735" spans="1:5" x14ac:dyDescent="0.3">
      <c r="A2735" t="s">
        <v>445</v>
      </c>
      <c r="B2735">
        <v>3200001949</v>
      </c>
      <c r="C2735">
        <v>416700711</v>
      </c>
      <c r="D2735" t="s">
        <v>3647</v>
      </c>
      <c r="E2735" t="str">
        <f t="shared" si="42"/>
        <v>Technodom3200001949</v>
      </c>
    </row>
    <row r="2736" spans="1:5" x14ac:dyDescent="0.3">
      <c r="A2736" t="s">
        <v>445</v>
      </c>
      <c r="B2736">
        <v>3201000795</v>
      </c>
      <c r="C2736">
        <v>646596030</v>
      </c>
      <c r="D2736" t="s">
        <v>3648</v>
      </c>
      <c r="E2736" t="str">
        <f t="shared" si="42"/>
        <v>Technodom3201000795</v>
      </c>
    </row>
    <row r="2737" spans="1:5" x14ac:dyDescent="0.3">
      <c r="A2737" t="s">
        <v>445</v>
      </c>
      <c r="B2737">
        <v>3201111693</v>
      </c>
      <c r="C2737">
        <v>517205290</v>
      </c>
      <c r="D2737" t="s">
        <v>3649</v>
      </c>
      <c r="E2737" t="str">
        <f t="shared" si="42"/>
        <v>Technodom3201111693</v>
      </c>
    </row>
    <row r="2738" spans="1:5" x14ac:dyDescent="0.3">
      <c r="A2738" t="s">
        <v>445</v>
      </c>
      <c r="B2738">
        <v>3201111697</v>
      </c>
      <c r="C2738">
        <v>517305290</v>
      </c>
      <c r="D2738" t="s">
        <v>3650</v>
      </c>
      <c r="E2738" t="str">
        <f t="shared" si="42"/>
        <v>Technodom3201111697</v>
      </c>
    </row>
    <row r="2739" spans="1:5" x14ac:dyDescent="0.3">
      <c r="A2739" t="s">
        <v>445</v>
      </c>
      <c r="B2739">
        <v>8900535497</v>
      </c>
      <c r="C2739">
        <v>760206380</v>
      </c>
      <c r="D2739" t="s">
        <v>3651</v>
      </c>
      <c r="E2739" t="str">
        <f t="shared" si="42"/>
        <v>Technodom8900535497</v>
      </c>
    </row>
    <row r="2740" spans="1:5" x14ac:dyDescent="0.3">
      <c r="A2740" t="s">
        <v>445</v>
      </c>
      <c r="B2740">
        <v>8900535534</v>
      </c>
      <c r="C2740">
        <v>761246380</v>
      </c>
      <c r="D2740" t="s">
        <v>3652</v>
      </c>
      <c r="E2740" t="str">
        <f t="shared" si="42"/>
        <v>Technodom8900535534</v>
      </c>
    </row>
    <row r="2741" spans="1:5" x14ac:dyDescent="0.3">
      <c r="A2741" t="s">
        <v>445</v>
      </c>
      <c r="B2741">
        <v>3201002428</v>
      </c>
      <c r="C2741">
        <v>1280636046</v>
      </c>
      <c r="D2741" t="s">
        <v>3653</v>
      </c>
      <c r="E2741" t="str">
        <f t="shared" si="42"/>
        <v>Technodom3201002428</v>
      </c>
    </row>
    <row r="2742" spans="1:5" x14ac:dyDescent="0.3">
      <c r="A2742" t="s">
        <v>445</v>
      </c>
      <c r="B2742">
        <v>3201002790</v>
      </c>
      <c r="C2742">
        <v>1871529990</v>
      </c>
      <c r="D2742" t="s">
        <v>3654</v>
      </c>
      <c r="E2742" t="str">
        <f t="shared" si="42"/>
        <v>Technodom3201002790</v>
      </c>
    </row>
    <row r="2743" spans="1:5" x14ac:dyDescent="0.3">
      <c r="A2743" t="s">
        <v>445</v>
      </c>
      <c r="B2743">
        <v>3201000176</v>
      </c>
      <c r="C2743">
        <v>1874986030</v>
      </c>
      <c r="D2743" t="s">
        <v>3655</v>
      </c>
      <c r="E2743" t="str">
        <f t="shared" si="42"/>
        <v>Technodom3201000176</v>
      </c>
    </row>
    <row r="2744" spans="1:5" x14ac:dyDescent="0.3">
      <c r="A2744" t="s">
        <v>445</v>
      </c>
      <c r="B2744">
        <v>3201002705</v>
      </c>
      <c r="C2744">
        <v>1876349992</v>
      </c>
      <c r="D2744" t="s">
        <v>3656</v>
      </c>
      <c r="E2744" t="str">
        <f t="shared" si="42"/>
        <v>Technodom3201002705</v>
      </c>
    </row>
    <row r="2745" spans="1:5" x14ac:dyDescent="0.3">
      <c r="A2745" t="s">
        <v>445</v>
      </c>
      <c r="B2745">
        <v>3201002708</v>
      </c>
      <c r="C2745">
        <v>1880346032</v>
      </c>
      <c r="D2745" t="s">
        <v>3657</v>
      </c>
      <c r="E2745" t="str">
        <f t="shared" si="42"/>
        <v>Technodom3201002708</v>
      </c>
    </row>
    <row r="2746" spans="1:5" x14ac:dyDescent="0.3">
      <c r="A2746" t="s">
        <v>445</v>
      </c>
      <c r="B2746">
        <v>3201002729</v>
      </c>
      <c r="C2746">
        <v>1889586032</v>
      </c>
      <c r="D2746" t="s">
        <v>3658</v>
      </c>
      <c r="E2746" t="str">
        <f t="shared" si="42"/>
        <v>Technodom3201002729</v>
      </c>
    </row>
    <row r="2747" spans="1:5" x14ac:dyDescent="0.3">
      <c r="A2747" t="s">
        <v>445</v>
      </c>
      <c r="B2747">
        <v>3201002730</v>
      </c>
      <c r="C2747">
        <v>1889646030</v>
      </c>
      <c r="D2747" t="s">
        <v>3659</v>
      </c>
      <c r="E2747" t="str">
        <f t="shared" si="42"/>
        <v>Technodom3201002730</v>
      </c>
    </row>
    <row r="2748" spans="1:5" x14ac:dyDescent="0.3">
      <c r="A2748" t="s">
        <v>445</v>
      </c>
      <c r="B2748">
        <v>3201000401</v>
      </c>
      <c r="C2748">
        <v>1892159992</v>
      </c>
      <c r="D2748" t="s">
        <v>3660</v>
      </c>
      <c r="E2748" t="str">
        <f t="shared" si="42"/>
        <v>Technodom3201000401</v>
      </c>
    </row>
    <row r="2749" spans="1:5" x14ac:dyDescent="0.3">
      <c r="A2749" t="s">
        <v>445</v>
      </c>
      <c r="B2749">
        <v>3201002764</v>
      </c>
      <c r="C2749">
        <v>1894929992</v>
      </c>
      <c r="D2749" t="s">
        <v>3661</v>
      </c>
      <c r="E2749" t="str">
        <f t="shared" si="42"/>
        <v>Technodom3201002764</v>
      </c>
    </row>
    <row r="2750" spans="1:5" x14ac:dyDescent="0.3">
      <c r="A2750" t="s">
        <v>445</v>
      </c>
      <c r="B2750">
        <v>3201002766</v>
      </c>
      <c r="C2750">
        <v>1895206032</v>
      </c>
      <c r="D2750" t="s">
        <v>3662</v>
      </c>
      <c r="E2750" t="str">
        <f t="shared" si="42"/>
        <v>Technodom3201002766</v>
      </c>
    </row>
    <row r="2751" spans="1:5" x14ac:dyDescent="0.3">
      <c r="A2751" t="s">
        <v>445</v>
      </c>
      <c r="B2751">
        <v>3201002767</v>
      </c>
      <c r="C2751">
        <v>1895246032</v>
      </c>
      <c r="D2751" t="s">
        <v>3663</v>
      </c>
      <c r="E2751" t="str">
        <f t="shared" si="42"/>
        <v>Technodom3201002767</v>
      </c>
    </row>
    <row r="2752" spans="1:5" x14ac:dyDescent="0.3">
      <c r="A2752" t="s">
        <v>445</v>
      </c>
      <c r="B2752">
        <v>3201000253</v>
      </c>
      <c r="C2752">
        <v>1895896032</v>
      </c>
      <c r="D2752" t="s">
        <v>3664</v>
      </c>
      <c r="E2752" t="str">
        <f t="shared" si="42"/>
        <v>Technodom3201000253</v>
      </c>
    </row>
    <row r="2753" spans="1:5" x14ac:dyDescent="0.3">
      <c r="A2753" t="s">
        <v>445</v>
      </c>
      <c r="B2753">
        <v>3201111672</v>
      </c>
      <c r="C2753">
        <v>514495290</v>
      </c>
      <c r="D2753" t="s">
        <v>3665</v>
      </c>
      <c r="E2753" t="str">
        <f t="shared" si="42"/>
        <v>Technodom3201111672</v>
      </c>
    </row>
    <row r="2754" spans="1:5" x14ac:dyDescent="0.3">
      <c r="A2754" t="s">
        <v>445</v>
      </c>
      <c r="B2754">
        <v>3201019373</v>
      </c>
      <c r="C2754">
        <v>751156040</v>
      </c>
      <c r="D2754" t="s">
        <v>3666</v>
      </c>
      <c r="E2754" t="str">
        <f t="shared" si="42"/>
        <v>Technodom3201019373</v>
      </c>
    </row>
    <row r="2755" spans="1:5" x14ac:dyDescent="0.3">
      <c r="A2755" t="s">
        <v>445</v>
      </c>
      <c r="B2755">
        <v>3201000359</v>
      </c>
      <c r="C2755">
        <v>1756386411</v>
      </c>
      <c r="D2755" t="s">
        <v>3667</v>
      </c>
      <c r="E2755" t="str">
        <f t="shared" ref="E2755:E2818" si="43">A2755&amp;B2755</f>
        <v>Technodom3201000359</v>
      </c>
    </row>
    <row r="2756" spans="1:5" x14ac:dyDescent="0.3">
      <c r="A2756" t="s">
        <v>445</v>
      </c>
      <c r="B2756">
        <v>3201111663</v>
      </c>
      <c r="C2756">
        <v>517165290</v>
      </c>
      <c r="D2756" t="s">
        <v>3668</v>
      </c>
      <c r="E2756" t="str">
        <f t="shared" si="43"/>
        <v>Technodom3201111663</v>
      </c>
    </row>
    <row r="2757" spans="1:5" x14ac:dyDescent="0.3">
      <c r="A2757" t="s">
        <v>445</v>
      </c>
      <c r="B2757">
        <v>8900535572</v>
      </c>
      <c r="C2757">
        <v>763166380</v>
      </c>
      <c r="D2757" t="s">
        <v>3669</v>
      </c>
      <c r="E2757" t="str">
        <f t="shared" si="43"/>
        <v>Technodom8900535572</v>
      </c>
    </row>
    <row r="2758" spans="1:5" x14ac:dyDescent="0.3">
      <c r="A2758" t="s">
        <v>445</v>
      </c>
      <c r="B2758">
        <v>3201017822</v>
      </c>
      <c r="C2758">
        <v>1268916342</v>
      </c>
      <c r="D2758" t="s">
        <v>3670</v>
      </c>
      <c r="E2758" t="str">
        <f t="shared" si="43"/>
        <v>Technodom3201017822</v>
      </c>
    </row>
    <row r="2759" spans="1:5" x14ac:dyDescent="0.3">
      <c r="A2759" t="s">
        <v>445</v>
      </c>
      <c r="B2759">
        <v>3201000272</v>
      </c>
      <c r="C2759">
        <v>1291656046</v>
      </c>
      <c r="D2759" t="s">
        <v>3671</v>
      </c>
      <c r="E2759" t="str">
        <f t="shared" si="43"/>
        <v>Technodom3201000272</v>
      </c>
    </row>
    <row r="2760" spans="1:5" x14ac:dyDescent="0.3">
      <c r="A2760" t="s">
        <v>445</v>
      </c>
      <c r="B2760">
        <v>3201000189</v>
      </c>
      <c r="C2760">
        <v>617706040</v>
      </c>
      <c r="D2760" t="s">
        <v>3672</v>
      </c>
      <c r="E2760" t="str">
        <f t="shared" si="43"/>
        <v>Technodom3201000189</v>
      </c>
    </row>
    <row r="2761" spans="1:5" x14ac:dyDescent="0.3">
      <c r="A2761" t="s">
        <v>445</v>
      </c>
      <c r="B2761">
        <v>3201005778</v>
      </c>
      <c r="C2761">
        <v>651046040</v>
      </c>
      <c r="D2761" t="s">
        <v>3673</v>
      </c>
      <c r="E2761" t="str">
        <f t="shared" si="43"/>
        <v>Technodom3201005778</v>
      </c>
    </row>
    <row r="2762" spans="1:5" x14ac:dyDescent="0.3">
      <c r="A2762" t="s">
        <v>445</v>
      </c>
      <c r="B2762">
        <v>3201000515</v>
      </c>
      <c r="C2762">
        <v>570044291</v>
      </c>
      <c r="D2762" t="s">
        <v>3674</v>
      </c>
      <c r="E2762" t="str">
        <f t="shared" si="43"/>
        <v>Technodom3201000515</v>
      </c>
    </row>
    <row r="2763" spans="1:5" x14ac:dyDescent="0.3">
      <c r="A2763" t="s">
        <v>445</v>
      </c>
      <c r="B2763">
        <v>3201000537</v>
      </c>
      <c r="C2763">
        <v>576244291</v>
      </c>
      <c r="D2763" t="s">
        <v>3675</v>
      </c>
      <c r="E2763" t="str">
        <f t="shared" si="43"/>
        <v>Technodom3201000537</v>
      </c>
    </row>
    <row r="2764" spans="1:5" x14ac:dyDescent="0.3">
      <c r="A2764" t="s">
        <v>445</v>
      </c>
      <c r="B2764">
        <v>3201000538</v>
      </c>
      <c r="C2764">
        <v>576284291</v>
      </c>
      <c r="D2764" t="s">
        <v>3676</v>
      </c>
      <c r="E2764" t="str">
        <f t="shared" si="43"/>
        <v>Technodom3201000538</v>
      </c>
    </row>
    <row r="2765" spans="1:5" x14ac:dyDescent="0.3">
      <c r="A2765" t="s">
        <v>445</v>
      </c>
      <c r="B2765">
        <v>8000036226</v>
      </c>
      <c r="C2765" t="s">
        <v>3677</v>
      </c>
      <c r="D2765" t="s">
        <v>3678</v>
      </c>
      <c r="E2765" t="str">
        <f t="shared" si="43"/>
        <v>Technodom8000036226</v>
      </c>
    </row>
    <row r="2766" spans="1:5" x14ac:dyDescent="0.3">
      <c r="A2766" t="s">
        <v>445</v>
      </c>
      <c r="B2766">
        <v>8000035749</v>
      </c>
      <c r="C2766" t="s">
        <v>2427</v>
      </c>
      <c r="D2766" t="s">
        <v>3679</v>
      </c>
      <c r="E2766" t="str">
        <f t="shared" si="43"/>
        <v>Technodom8000035749</v>
      </c>
    </row>
    <row r="2767" spans="1:5" x14ac:dyDescent="0.3">
      <c r="A2767" t="s">
        <v>445</v>
      </c>
      <c r="B2767">
        <v>8010000732</v>
      </c>
      <c r="C2767" t="s">
        <v>3680</v>
      </c>
      <c r="D2767" t="s">
        <v>3681</v>
      </c>
      <c r="E2767" t="str">
        <f t="shared" si="43"/>
        <v>Technodom8010000732</v>
      </c>
    </row>
    <row r="2768" spans="1:5" x14ac:dyDescent="0.3">
      <c r="A2768" t="s">
        <v>445</v>
      </c>
      <c r="B2768">
        <v>8000036152</v>
      </c>
      <c r="C2768" t="s">
        <v>3682</v>
      </c>
      <c r="D2768" t="s">
        <v>3683</v>
      </c>
      <c r="E2768" t="str">
        <f t="shared" si="43"/>
        <v>Technodom8000036152</v>
      </c>
    </row>
    <row r="2769" spans="1:5" x14ac:dyDescent="0.3">
      <c r="A2769" t="s">
        <v>445</v>
      </c>
      <c r="B2769">
        <v>8000036227</v>
      </c>
      <c r="C2769" t="s">
        <v>3684</v>
      </c>
      <c r="D2769" t="s">
        <v>3685</v>
      </c>
      <c r="E2769" t="str">
        <f t="shared" si="43"/>
        <v>Technodom8000036227</v>
      </c>
    </row>
    <row r="2770" spans="1:5" x14ac:dyDescent="0.3">
      <c r="A2770" t="s">
        <v>445</v>
      </c>
      <c r="B2770">
        <v>8000036179</v>
      </c>
      <c r="C2770" t="s">
        <v>3686</v>
      </c>
      <c r="D2770" t="s">
        <v>3687</v>
      </c>
      <c r="E2770" t="str">
        <f t="shared" si="43"/>
        <v>Technodom8000036179</v>
      </c>
    </row>
    <row r="2771" spans="1:5" x14ac:dyDescent="0.3">
      <c r="A2771" t="s">
        <v>445</v>
      </c>
      <c r="B2771">
        <v>8000036192</v>
      </c>
      <c r="C2771" t="s">
        <v>3688</v>
      </c>
      <c r="D2771" t="s">
        <v>3689</v>
      </c>
      <c r="E2771" t="str">
        <f t="shared" si="43"/>
        <v>Technodom8000036192</v>
      </c>
    </row>
    <row r="2772" spans="1:5" x14ac:dyDescent="0.3">
      <c r="A2772" t="s">
        <v>445</v>
      </c>
      <c r="B2772">
        <v>7211003820</v>
      </c>
      <c r="C2772" t="s">
        <v>121</v>
      </c>
      <c r="D2772" t="s">
        <v>3690</v>
      </c>
      <c r="E2772" t="str">
        <f t="shared" si="43"/>
        <v>Technodom7211003820</v>
      </c>
    </row>
    <row r="2773" spans="1:5" x14ac:dyDescent="0.3">
      <c r="A2773" t="s">
        <v>445</v>
      </c>
      <c r="B2773">
        <v>8000035583</v>
      </c>
      <c r="C2773" t="s">
        <v>1684</v>
      </c>
      <c r="D2773" t="s">
        <v>3691</v>
      </c>
      <c r="E2773" t="str">
        <f t="shared" si="43"/>
        <v>Technodom8000035583</v>
      </c>
    </row>
    <row r="2774" spans="1:5" x14ac:dyDescent="0.3">
      <c r="A2774" t="s">
        <v>445</v>
      </c>
      <c r="B2774">
        <v>1830008418</v>
      </c>
      <c r="C2774" t="s">
        <v>1759</v>
      </c>
      <c r="D2774" t="s">
        <v>3692</v>
      </c>
      <c r="E2774" t="str">
        <f t="shared" si="43"/>
        <v>Technodom1830008418</v>
      </c>
    </row>
    <row r="2775" spans="1:5" x14ac:dyDescent="0.3">
      <c r="A2775" t="s">
        <v>445</v>
      </c>
      <c r="B2775">
        <v>1830007903</v>
      </c>
      <c r="C2775" t="s">
        <v>3693</v>
      </c>
      <c r="D2775" t="s">
        <v>3694</v>
      </c>
      <c r="E2775" t="str">
        <f t="shared" si="43"/>
        <v>Technodom1830007903</v>
      </c>
    </row>
    <row r="2776" spans="1:5" x14ac:dyDescent="0.3">
      <c r="A2776" t="s">
        <v>445</v>
      </c>
      <c r="B2776">
        <v>1110020257</v>
      </c>
      <c r="C2776" t="s">
        <v>455</v>
      </c>
      <c r="D2776" t="s">
        <v>3695</v>
      </c>
      <c r="E2776" t="str">
        <f t="shared" si="43"/>
        <v>Technodom1110020257</v>
      </c>
    </row>
    <row r="2777" spans="1:5" x14ac:dyDescent="0.3">
      <c r="A2777" t="s">
        <v>445</v>
      </c>
      <c r="B2777">
        <v>1110030468</v>
      </c>
      <c r="C2777" t="s">
        <v>843</v>
      </c>
      <c r="D2777" t="s">
        <v>3696</v>
      </c>
      <c r="E2777" t="str">
        <f t="shared" si="43"/>
        <v>Technodom1110030468</v>
      </c>
    </row>
    <row r="2778" spans="1:5" x14ac:dyDescent="0.3">
      <c r="A2778" t="s">
        <v>445</v>
      </c>
      <c r="B2778">
        <v>1110031671</v>
      </c>
      <c r="C2778" t="s">
        <v>3697</v>
      </c>
      <c r="D2778" t="s">
        <v>3698</v>
      </c>
      <c r="E2778" t="str">
        <f t="shared" si="43"/>
        <v>Technodom1110031671</v>
      </c>
    </row>
    <row r="2779" spans="1:5" x14ac:dyDescent="0.3">
      <c r="A2779" t="s">
        <v>445</v>
      </c>
      <c r="B2779">
        <v>1830007810</v>
      </c>
      <c r="C2779" t="s">
        <v>1162</v>
      </c>
      <c r="D2779" t="s">
        <v>3699</v>
      </c>
      <c r="E2779" t="str">
        <f t="shared" si="43"/>
        <v>Technodom1830007810</v>
      </c>
    </row>
    <row r="2780" spans="1:5" x14ac:dyDescent="0.3">
      <c r="A2780" t="s">
        <v>445</v>
      </c>
      <c r="B2780">
        <v>1830008018</v>
      </c>
      <c r="C2780" t="s">
        <v>2282</v>
      </c>
      <c r="D2780" t="s">
        <v>3700</v>
      </c>
      <c r="E2780" t="str">
        <f t="shared" si="43"/>
        <v>Technodom1830008018</v>
      </c>
    </row>
    <row r="2781" spans="1:5" x14ac:dyDescent="0.3">
      <c r="A2781" t="s">
        <v>445</v>
      </c>
      <c r="B2781">
        <v>1830007796</v>
      </c>
      <c r="C2781" t="s">
        <v>1726</v>
      </c>
      <c r="D2781" t="s">
        <v>3701</v>
      </c>
      <c r="E2781" t="str">
        <f t="shared" si="43"/>
        <v>Technodom1830007796</v>
      </c>
    </row>
    <row r="2782" spans="1:5" x14ac:dyDescent="0.3">
      <c r="A2782" t="s">
        <v>445</v>
      </c>
      <c r="B2782">
        <v>1830007912</v>
      </c>
      <c r="C2782" t="s">
        <v>1772</v>
      </c>
      <c r="D2782" t="s">
        <v>3702</v>
      </c>
      <c r="E2782" t="str">
        <f t="shared" si="43"/>
        <v>Technodom1830007912</v>
      </c>
    </row>
    <row r="2783" spans="1:5" x14ac:dyDescent="0.3">
      <c r="A2783" t="s">
        <v>445</v>
      </c>
      <c r="B2783">
        <v>1830008407</v>
      </c>
      <c r="C2783" t="s">
        <v>1776</v>
      </c>
      <c r="D2783" t="s">
        <v>3703</v>
      </c>
      <c r="E2783" t="str">
        <f t="shared" si="43"/>
        <v>Technodom1830008407</v>
      </c>
    </row>
    <row r="2784" spans="1:5" x14ac:dyDescent="0.3">
      <c r="A2784" t="s">
        <v>445</v>
      </c>
      <c r="B2784">
        <v>7211003815</v>
      </c>
      <c r="C2784" t="s">
        <v>3704</v>
      </c>
      <c r="D2784" t="s">
        <v>3705</v>
      </c>
      <c r="E2784" t="str">
        <f t="shared" si="43"/>
        <v>Technodom7211003815</v>
      </c>
    </row>
    <row r="2785" spans="1:5" x14ac:dyDescent="0.3">
      <c r="A2785" t="s">
        <v>445</v>
      </c>
      <c r="B2785">
        <v>7211003546</v>
      </c>
      <c r="C2785" t="s">
        <v>3706</v>
      </c>
      <c r="D2785" t="s">
        <v>3707</v>
      </c>
      <c r="E2785" t="str">
        <f t="shared" si="43"/>
        <v>Technodom7211003546</v>
      </c>
    </row>
    <row r="2786" spans="1:5" x14ac:dyDescent="0.3">
      <c r="A2786" t="s">
        <v>445</v>
      </c>
      <c r="B2786">
        <v>1510001922</v>
      </c>
      <c r="C2786" t="s">
        <v>3708</v>
      </c>
      <c r="D2786" t="s">
        <v>3709</v>
      </c>
      <c r="E2786" t="str">
        <f t="shared" si="43"/>
        <v>Technodom1510001922</v>
      </c>
    </row>
    <row r="2787" spans="1:5" x14ac:dyDescent="0.3">
      <c r="A2787" t="s">
        <v>445</v>
      </c>
      <c r="B2787">
        <v>1510001937</v>
      </c>
      <c r="C2787" t="s">
        <v>1655</v>
      </c>
      <c r="D2787" t="s">
        <v>3710</v>
      </c>
      <c r="E2787" t="str">
        <f t="shared" si="43"/>
        <v>Technodom1510001937</v>
      </c>
    </row>
    <row r="2788" spans="1:5" x14ac:dyDescent="0.3">
      <c r="A2788" t="s">
        <v>445</v>
      </c>
      <c r="B2788">
        <v>7211003294</v>
      </c>
      <c r="C2788" t="s">
        <v>1279</v>
      </c>
      <c r="D2788" t="s">
        <v>3711</v>
      </c>
      <c r="E2788" t="str">
        <f t="shared" si="43"/>
        <v>Technodom7211003294</v>
      </c>
    </row>
    <row r="2789" spans="1:5" x14ac:dyDescent="0.3">
      <c r="A2789" t="s">
        <v>445</v>
      </c>
      <c r="B2789">
        <v>7211000075</v>
      </c>
      <c r="C2789" t="s">
        <v>3712</v>
      </c>
      <c r="D2789" t="s">
        <v>3713</v>
      </c>
      <c r="E2789" t="str">
        <f t="shared" si="43"/>
        <v>Technodom7211000075</v>
      </c>
    </row>
    <row r="2790" spans="1:5" x14ac:dyDescent="0.3">
      <c r="A2790" t="s">
        <v>445</v>
      </c>
      <c r="B2790">
        <v>8000036181</v>
      </c>
      <c r="C2790" t="s">
        <v>78</v>
      </c>
      <c r="D2790" t="s">
        <v>380</v>
      </c>
      <c r="E2790" t="str">
        <f t="shared" si="43"/>
        <v>Technodom8000036181</v>
      </c>
    </row>
    <row r="2791" spans="1:5" x14ac:dyDescent="0.3">
      <c r="A2791" t="s">
        <v>445</v>
      </c>
      <c r="B2791">
        <v>8010000429</v>
      </c>
      <c r="C2791" t="s">
        <v>109</v>
      </c>
      <c r="D2791" t="s">
        <v>381</v>
      </c>
      <c r="E2791" t="str">
        <f t="shared" si="43"/>
        <v>Technodom8010000429</v>
      </c>
    </row>
    <row r="2792" spans="1:5" x14ac:dyDescent="0.3">
      <c r="A2792" t="s">
        <v>445</v>
      </c>
      <c r="B2792">
        <v>7211003242</v>
      </c>
      <c r="C2792" t="s">
        <v>3714</v>
      </c>
      <c r="D2792" t="s">
        <v>3715</v>
      </c>
      <c r="E2792" t="str">
        <f t="shared" si="43"/>
        <v>Technodom7211003242</v>
      </c>
    </row>
    <row r="2793" spans="1:5" x14ac:dyDescent="0.3">
      <c r="A2793" t="s">
        <v>445</v>
      </c>
      <c r="B2793">
        <v>7211004581</v>
      </c>
      <c r="C2793" t="s">
        <v>3716</v>
      </c>
      <c r="D2793" t="s">
        <v>3717</v>
      </c>
      <c r="E2793" t="str">
        <f t="shared" si="43"/>
        <v>Technodom7211004581</v>
      </c>
    </row>
    <row r="2794" spans="1:5" x14ac:dyDescent="0.3">
      <c r="A2794" t="s">
        <v>445</v>
      </c>
      <c r="B2794">
        <v>8010000020</v>
      </c>
      <c r="C2794" t="s">
        <v>3718</v>
      </c>
      <c r="D2794" t="s">
        <v>3719</v>
      </c>
      <c r="E2794" t="str">
        <f t="shared" si="43"/>
        <v>Technodom8010000020</v>
      </c>
    </row>
    <row r="2795" spans="1:5" x14ac:dyDescent="0.3">
      <c r="A2795" t="s">
        <v>445</v>
      </c>
      <c r="B2795">
        <v>1510001881</v>
      </c>
      <c r="C2795" t="s">
        <v>1330</v>
      </c>
      <c r="D2795" t="s">
        <v>3720</v>
      </c>
      <c r="E2795" t="str">
        <f t="shared" si="43"/>
        <v>Technodom1510001881</v>
      </c>
    </row>
    <row r="2796" spans="1:5" x14ac:dyDescent="0.3">
      <c r="A2796" t="s">
        <v>445</v>
      </c>
      <c r="B2796">
        <v>7211002465</v>
      </c>
      <c r="C2796" t="s">
        <v>564</v>
      </c>
      <c r="D2796" t="s">
        <v>3721</v>
      </c>
      <c r="E2796" t="str">
        <f t="shared" si="43"/>
        <v>Technodom7211002465</v>
      </c>
    </row>
    <row r="2797" spans="1:5" x14ac:dyDescent="0.3">
      <c r="A2797" t="s">
        <v>445</v>
      </c>
      <c r="B2797">
        <v>7211001263</v>
      </c>
      <c r="C2797" t="s">
        <v>503</v>
      </c>
      <c r="D2797" t="s">
        <v>3722</v>
      </c>
      <c r="E2797" t="str">
        <f t="shared" si="43"/>
        <v>Technodom7211001263</v>
      </c>
    </row>
    <row r="2798" spans="1:5" x14ac:dyDescent="0.3">
      <c r="A2798" t="s">
        <v>445</v>
      </c>
      <c r="B2798">
        <v>3200001924</v>
      </c>
      <c r="C2798">
        <v>413310711</v>
      </c>
      <c r="D2798" t="s">
        <v>3723</v>
      </c>
      <c r="E2798" t="str">
        <f t="shared" si="43"/>
        <v>Technodom3200001924</v>
      </c>
    </row>
    <row r="2799" spans="1:5" x14ac:dyDescent="0.3">
      <c r="A2799" t="s">
        <v>445</v>
      </c>
      <c r="B2799">
        <v>7211003460</v>
      </c>
      <c r="C2799" t="s">
        <v>55</v>
      </c>
      <c r="D2799" t="s">
        <v>3724</v>
      </c>
      <c r="E2799" t="str">
        <f t="shared" si="43"/>
        <v>Technodom7211003460</v>
      </c>
    </row>
    <row r="2800" spans="1:5" x14ac:dyDescent="0.3">
      <c r="A2800" t="s">
        <v>445</v>
      </c>
      <c r="B2800">
        <v>2211400648</v>
      </c>
      <c r="C2800" t="s">
        <v>430</v>
      </c>
      <c r="D2800" t="s">
        <v>3725</v>
      </c>
      <c r="E2800" t="str">
        <f t="shared" si="43"/>
        <v>Technodom2211400648</v>
      </c>
    </row>
    <row r="2801" spans="1:5" x14ac:dyDescent="0.3">
      <c r="A2801" t="s">
        <v>445</v>
      </c>
      <c r="B2801">
        <v>1510001599</v>
      </c>
      <c r="C2801" t="s">
        <v>66</v>
      </c>
      <c r="D2801" t="s">
        <v>3726</v>
      </c>
      <c r="E2801" t="str">
        <f t="shared" si="43"/>
        <v>Technodom1510001599</v>
      </c>
    </row>
    <row r="2802" spans="1:5" x14ac:dyDescent="0.3">
      <c r="A2802" t="s">
        <v>445</v>
      </c>
      <c r="B2802">
        <v>1830008192</v>
      </c>
      <c r="C2802" t="s">
        <v>1359</v>
      </c>
      <c r="D2802" t="s">
        <v>3727</v>
      </c>
      <c r="E2802" t="str">
        <f t="shared" si="43"/>
        <v>Technodom1830008192</v>
      </c>
    </row>
    <row r="2803" spans="1:5" x14ac:dyDescent="0.3">
      <c r="A2803" t="s">
        <v>445</v>
      </c>
      <c r="B2803">
        <v>8000036209</v>
      </c>
      <c r="C2803" t="s">
        <v>374</v>
      </c>
      <c r="D2803" t="s">
        <v>382</v>
      </c>
      <c r="E2803" t="str">
        <f t="shared" si="43"/>
        <v>Technodom8000036209</v>
      </c>
    </row>
    <row r="2804" spans="1:5" x14ac:dyDescent="0.3">
      <c r="A2804" t="s">
        <v>445</v>
      </c>
      <c r="B2804">
        <v>7211004655</v>
      </c>
      <c r="C2804" t="s">
        <v>2373</v>
      </c>
      <c r="D2804" t="s">
        <v>3728</v>
      </c>
      <c r="E2804" t="str">
        <f t="shared" si="43"/>
        <v>Technodom7211004655</v>
      </c>
    </row>
    <row r="2805" spans="1:5" x14ac:dyDescent="0.3">
      <c r="A2805" t="s">
        <v>445</v>
      </c>
      <c r="B2805">
        <v>2211401012</v>
      </c>
      <c r="C2805" t="s">
        <v>1703</v>
      </c>
      <c r="D2805" t="s">
        <v>3729</v>
      </c>
      <c r="E2805" t="str">
        <f t="shared" si="43"/>
        <v>Technodom2211401012</v>
      </c>
    </row>
    <row r="2806" spans="1:5" x14ac:dyDescent="0.3">
      <c r="A2806" t="s">
        <v>445</v>
      </c>
      <c r="B2806">
        <v>1830007642</v>
      </c>
      <c r="C2806" t="s">
        <v>1155</v>
      </c>
      <c r="D2806" t="s">
        <v>3730</v>
      </c>
      <c r="E2806" t="str">
        <f t="shared" si="43"/>
        <v>Technodom1830007642</v>
      </c>
    </row>
    <row r="2807" spans="1:5" x14ac:dyDescent="0.3">
      <c r="A2807" t="s">
        <v>445</v>
      </c>
      <c r="B2807">
        <v>1830008076</v>
      </c>
      <c r="C2807" t="s">
        <v>1681</v>
      </c>
      <c r="D2807" t="s">
        <v>3731</v>
      </c>
      <c r="E2807" t="str">
        <f t="shared" si="43"/>
        <v>Technodom1830008076</v>
      </c>
    </row>
    <row r="2808" spans="1:5" x14ac:dyDescent="0.3">
      <c r="A2808" t="s">
        <v>445</v>
      </c>
      <c r="B2808">
        <v>1830007716</v>
      </c>
      <c r="C2808" t="s">
        <v>1160</v>
      </c>
      <c r="D2808" t="s">
        <v>3732</v>
      </c>
      <c r="E2808" t="str">
        <f t="shared" si="43"/>
        <v>Technodom1830007716</v>
      </c>
    </row>
    <row r="2809" spans="1:5" x14ac:dyDescent="0.3">
      <c r="A2809" t="s">
        <v>445</v>
      </c>
      <c r="B2809">
        <v>1830007789</v>
      </c>
      <c r="C2809" t="s">
        <v>3733</v>
      </c>
      <c r="D2809" t="s">
        <v>3734</v>
      </c>
      <c r="E2809" t="str">
        <f t="shared" si="43"/>
        <v>Technodom1830007789</v>
      </c>
    </row>
    <row r="2810" spans="1:5" x14ac:dyDescent="0.3">
      <c r="A2810" t="s">
        <v>445</v>
      </c>
      <c r="B2810">
        <v>7211004474</v>
      </c>
      <c r="C2810" t="s">
        <v>415</v>
      </c>
      <c r="D2810" t="s">
        <v>3735</v>
      </c>
      <c r="E2810" t="str">
        <f t="shared" si="43"/>
        <v>Technodom7211004474</v>
      </c>
    </row>
    <row r="2811" spans="1:5" x14ac:dyDescent="0.3">
      <c r="A2811" t="s">
        <v>445</v>
      </c>
      <c r="B2811">
        <v>7211004046</v>
      </c>
      <c r="C2811" t="s">
        <v>1335</v>
      </c>
      <c r="D2811" t="s">
        <v>3736</v>
      </c>
      <c r="E2811" t="str">
        <f t="shared" si="43"/>
        <v>Technodom7211004046</v>
      </c>
    </row>
    <row r="2812" spans="1:5" x14ac:dyDescent="0.3">
      <c r="A2812" t="s">
        <v>445</v>
      </c>
      <c r="B2812">
        <v>7211002886</v>
      </c>
      <c r="C2812" t="s">
        <v>3737</v>
      </c>
      <c r="D2812" t="s">
        <v>3738</v>
      </c>
      <c r="E2812" t="str">
        <f t="shared" si="43"/>
        <v>Technodom7211002886</v>
      </c>
    </row>
    <row r="2813" spans="1:5" x14ac:dyDescent="0.3">
      <c r="A2813" t="s">
        <v>445</v>
      </c>
      <c r="B2813">
        <v>2100123565</v>
      </c>
      <c r="C2813" t="s">
        <v>3739</v>
      </c>
      <c r="D2813" t="s">
        <v>3740</v>
      </c>
      <c r="E2813" t="str">
        <f t="shared" si="43"/>
        <v>Technodom2100123565</v>
      </c>
    </row>
    <row r="2814" spans="1:5" x14ac:dyDescent="0.3">
      <c r="A2814" t="s">
        <v>445</v>
      </c>
      <c r="B2814">
        <v>2100123566</v>
      </c>
      <c r="C2814" t="s">
        <v>3741</v>
      </c>
      <c r="D2814" t="s">
        <v>3742</v>
      </c>
      <c r="E2814" t="str">
        <f t="shared" si="43"/>
        <v>Technodom2100123566</v>
      </c>
    </row>
    <row r="2815" spans="1:5" x14ac:dyDescent="0.3">
      <c r="A2815" t="s">
        <v>445</v>
      </c>
      <c r="B2815">
        <v>2100125392</v>
      </c>
      <c r="C2815" t="s">
        <v>399</v>
      </c>
      <c r="D2815" t="s">
        <v>3743</v>
      </c>
      <c r="E2815" t="str">
        <f t="shared" si="43"/>
        <v>Technodom2100125392</v>
      </c>
    </row>
    <row r="2816" spans="1:5" x14ac:dyDescent="0.3">
      <c r="A2816" t="s">
        <v>445</v>
      </c>
      <c r="B2816">
        <v>2100123567</v>
      </c>
      <c r="C2816" t="s">
        <v>3744</v>
      </c>
      <c r="D2816" t="s">
        <v>3745</v>
      </c>
      <c r="E2816" t="str">
        <f t="shared" si="43"/>
        <v>Technodom2100123567</v>
      </c>
    </row>
    <row r="2817" spans="1:5" x14ac:dyDescent="0.3">
      <c r="A2817" t="s">
        <v>445</v>
      </c>
      <c r="B2817">
        <v>2100121705</v>
      </c>
      <c r="C2817" t="s">
        <v>383</v>
      </c>
      <c r="D2817" t="s">
        <v>3746</v>
      </c>
      <c r="E2817" t="str">
        <f t="shared" si="43"/>
        <v>Technodom2100121705</v>
      </c>
    </row>
    <row r="2818" spans="1:5" x14ac:dyDescent="0.3">
      <c r="A2818" t="s">
        <v>445</v>
      </c>
      <c r="B2818">
        <v>2100121615</v>
      </c>
      <c r="C2818" t="s">
        <v>385</v>
      </c>
      <c r="D2818" t="s">
        <v>3747</v>
      </c>
      <c r="E2818" t="str">
        <f t="shared" si="43"/>
        <v>Technodom2100121615</v>
      </c>
    </row>
    <row r="2819" spans="1:5" x14ac:dyDescent="0.3">
      <c r="A2819" t="s">
        <v>445</v>
      </c>
      <c r="B2819">
        <v>2100121617</v>
      </c>
      <c r="C2819" t="s">
        <v>444</v>
      </c>
      <c r="D2819" t="s">
        <v>3748</v>
      </c>
      <c r="E2819" t="str">
        <f t="shared" ref="E2819:E2882" si="44">A2819&amp;B2819</f>
        <v>Technodom2100121617</v>
      </c>
    </row>
    <row r="2820" spans="1:5" x14ac:dyDescent="0.3">
      <c r="A2820" t="s">
        <v>445</v>
      </c>
      <c r="B2820">
        <v>2100121614</v>
      </c>
      <c r="C2820" t="s">
        <v>443</v>
      </c>
      <c r="D2820" t="s">
        <v>3749</v>
      </c>
      <c r="E2820" t="str">
        <f t="shared" si="44"/>
        <v>Technodom2100121614</v>
      </c>
    </row>
    <row r="2821" spans="1:5" x14ac:dyDescent="0.3">
      <c r="A2821" t="s">
        <v>445</v>
      </c>
      <c r="B2821">
        <v>2100121613</v>
      </c>
      <c r="C2821" t="s">
        <v>384</v>
      </c>
      <c r="D2821" t="s">
        <v>3750</v>
      </c>
      <c r="E2821" t="str">
        <f t="shared" si="44"/>
        <v>Technodom2100121613</v>
      </c>
    </row>
    <row r="2822" spans="1:5" x14ac:dyDescent="0.3">
      <c r="A2822" t="s">
        <v>445</v>
      </c>
      <c r="B2822">
        <v>2211401128</v>
      </c>
      <c r="C2822" t="s">
        <v>372</v>
      </c>
      <c r="D2822" t="s">
        <v>3751</v>
      </c>
      <c r="E2822" t="str">
        <f t="shared" si="44"/>
        <v>Technodom2211401128</v>
      </c>
    </row>
    <row r="2823" spans="1:5" x14ac:dyDescent="0.3">
      <c r="A2823" t="s">
        <v>445</v>
      </c>
      <c r="B2823">
        <v>2211401132</v>
      </c>
      <c r="C2823" t="s">
        <v>373</v>
      </c>
      <c r="D2823" t="s">
        <v>3752</v>
      </c>
      <c r="E2823" t="str">
        <f t="shared" si="44"/>
        <v>Technodom2211401132</v>
      </c>
    </row>
    <row r="2824" spans="1:5" x14ac:dyDescent="0.3">
      <c r="A2824" t="s">
        <v>445</v>
      </c>
      <c r="B2824">
        <v>1830008396</v>
      </c>
      <c r="C2824" t="s">
        <v>3753</v>
      </c>
      <c r="D2824" t="s">
        <v>3754</v>
      </c>
      <c r="E2824" t="str">
        <f t="shared" si="44"/>
        <v>Technodom1830008396</v>
      </c>
    </row>
    <row r="2825" spans="1:5" x14ac:dyDescent="0.3">
      <c r="A2825" t="s">
        <v>445</v>
      </c>
      <c r="B2825">
        <v>1830007627</v>
      </c>
      <c r="C2825" t="s">
        <v>1744</v>
      </c>
      <c r="D2825" t="s">
        <v>3755</v>
      </c>
      <c r="E2825" t="str">
        <f t="shared" si="44"/>
        <v>Technodom1830007627</v>
      </c>
    </row>
    <row r="2826" spans="1:5" x14ac:dyDescent="0.3">
      <c r="A2826" t="s">
        <v>445</v>
      </c>
      <c r="B2826">
        <v>1830007137</v>
      </c>
      <c r="C2826" t="s">
        <v>387</v>
      </c>
      <c r="D2826" t="s">
        <v>3756</v>
      </c>
      <c r="E2826" t="str">
        <f t="shared" si="44"/>
        <v>Technodom1830007137</v>
      </c>
    </row>
    <row r="2827" spans="1:5" x14ac:dyDescent="0.3">
      <c r="A2827" t="s">
        <v>445</v>
      </c>
      <c r="B2827">
        <v>1830008172</v>
      </c>
      <c r="C2827" t="s">
        <v>1272</v>
      </c>
      <c r="D2827" t="s">
        <v>3757</v>
      </c>
      <c r="E2827" t="str">
        <f t="shared" si="44"/>
        <v>Technodom1830008172</v>
      </c>
    </row>
    <row r="2828" spans="1:5" x14ac:dyDescent="0.3">
      <c r="A2828" t="s">
        <v>445</v>
      </c>
      <c r="B2828">
        <v>1830007584</v>
      </c>
      <c r="C2828" t="s">
        <v>1029</v>
      </c>
      <c r="D2828" t="s">
        <v>3758</v>
      </c>
      <c r="E2828" t="str">
        <f t="shared" si="44"/>
        <v>Technodom1830007584</v>
      </c>
    </row>
    <row r="2829" spans="1:5" x14ac:dyDescent="0.3">
      <c r="A2829" t="s">
        <v>445</v>
      </c>
      <c r="B2829">
        <v>7211004554</v>
      </c>
      <c r="C2829" t="s">
        <v>2185</v>
      </c>
      <c r="D2829" t="s">
        <v>3759</v>
      </c>
      <c r="E2829" t="str">
        <f t="shared" si="44"/>
        <v>Technodom7211004554</v>
      </c>
    </row>
    <row r="2830" spans="1:5" x14ac:dyDescent="0.3">
      <c r="A2830" t="s">
        <v>445</v>
      </c>
      <c r="B2830">
        <v>2100122366</v>
      </c>
      <c r="C2830" t="s">
        <v>3760</v>
      </c>
      <c r="D2830" t="s">
        <v>3761</v>
      </c>
      <c r="E2830" t="str">
        <f t="shared" si="44"/>
        <v>Technodom2100122366</v>
      </c>
    </row>
    <row r="2831" spans="1:5" x14ac:dyDescent="0.3">
      <c r="A2831" t="s">
        <v>445</v>
      </c>
      <c r="B2831">
        <v>3201000130</v>
      </c>
      <c r="C2831">
        <v>1871086030</v>
      </c>
      <c r="D2831" t="s">
        <v>3762</v>
      </c>
      <c r="E2831" t="str">
        <f t="shared" si="44"/>
        <v>Technodom3201000130</v>
      </c>
    </row>
    <row r="2832" spans="1:5" x14ac:dyDescent="0.3">
      <c r="A2832" t="s">
        <v>445</v>
      </c>
      <c r="B2832">
        <v>3201001758</v>
      </c>
      <c r="C2832">
        <v>1120916040</v>
      </c>
      <c r="D2832" t="s">
        <v>3763</v>
      </c>
      <c r="E2832" t="str">
        <f t="shared" si="44"/>
        <v>Technodom3201001758</v>
      </c>
    </row>
    <row r="2833" spans="1:5" x14ac:dyDescent="0.3">
      <c r="A2833" t="s">
        <v>445</v>
      </c>
      <c r="B2833">
        <v>7211004232</v>
      </c>
      <c r="C2833" t="s">
        <v>1724</v>
      </c>
      <c r="D2833" t="s">
        <v>3764</v>
      </c>
      <c r="E2833" t="str">
        <f t="shared" si="44"/>
        <v>Technodom7211004232</v>
      </c>
    </row>
    <row r="2834" spans="1:5" x14ac:dyDescent="0.3">
      <c r="A2834" t="s">
        <v>445</v>
      </c>
      <c r="B2834">
        <v>2100122683</v>
      </c>
      <c r="C2834" t="s">
        <v>386</v>
      </c>
      <c r="D2834" t="s">
        <v>3765</v>
      </c>
      <c r="E2834" t="str">
        <f t="shared" si="44"/>
        <v>Technodom2100122683</v>
      </c>
    </row>
    <row r="2835" spans="1:5" x14ac:dyDescent="0.3">
      <c r="A2835" t="s">
        <v>445</v>
      </c>
      <c r="B2835">
        <v>3201000287</v>
      </c>
      <c r="C2835">
        <v>1741016040</v>
      </c>
      <c r="D2835" t="s">
        <v>3766</v>
      </c>
      <c r="E2835" t="str">
        <f t="shared" si="44"/>
        <v>Technodom3201000287</v>
      </c>
    </row>
    <row r="2836" spans="1:5" x14ac:dyDescent="0.3">
      <c r="A2836" t="s">
        <v>445</v>
      </c>
      <c r="B2836">
        <v>1830007960</v>
      </c>
      <c r="C2836" t="s">
        <v>1732</v>
      </c>
      <c r="D2836" t="s">
        <v>3767</v>
      </c>
      <c r="E2836" t="str">
        <f t="shared" si="44"/>
        <v>Technodom1830007960</v>
      </c>
    </row>
    <row r="2837" spans="1:5" x14ac:dyDescent="0.3">
      <c r="A2837" t="s">
        <v>445</v>
      </c>
      <c r="B2837">
        <v>1830008504</v>
      </c>
      <c r="C2837" t="s">
        <v>1667</v>
      </c>
      <c r="D2837" t="s">
        <v>3768</v>
      </c>
      <c r="E2837" t="str">
        <f t="shared" si="44"/>
        <v>Technodom1830008504</v>
      </c>
    </row>
    <row r="2838" spans="1:5" x14ac:dyDescent="0.3">
      <c r="A2838" t="s">
        <v>445</v>
      </c>
      <c r="B2838">
        <v>1830003867</v>
      </c>
      <c r="C2838" t="s">
        <v>482</v>
      </c>
      <c r="D2838" t="s">
        <v>3769</v>
      </c>
      <c r="E2838" t="str">
        <f t="shared" si="44"/>
        <v>Technodom1830003867</v>
      </c>
    </row>
    <row r="2839" spans="1:5" x14ac:dyDescent="0.3">
      <c r="A2839" t="s">
        <v>445</v>
      </c>
      <c r="B2839">
        <v>1830008216</v>
      </c>
      <c r="C2839" t="s">
        <v>1439</v>
      </c>
      <c r="D2839" t="s">
        <v>3770</v>
      </c>
      <c r="E2839" t="str">
        <f t="shared" si="44"/>
        <v>Technodom1830008216</v>
      </c>
    </row>
    <row r="2840" spans="1:5" x14ac:dyDescent="0.3">
      <c r="A2840" t="s">
        <v>445</v>
      </c>
      <c r="B2840">
        <v>1830008555</v>
      </c>
      <c r="C2840" t="s">
        <v>1728</v>
      </c>
      <c r="D2840" t="s">
        <v>3771</v>
      </c>
      <c r="E2840" t="str">
        <f t="shared" si="44"/>
        <v>Technodom1830008555</v>
      </c>
    </row>
    <row r="2841" spans="1:5" x14ac:dyDescent="0.3">
      <c r="A2841" t="s">
        <v>445</v>
      </c>
      <c r="B2841">
        <v>1500636348</v>
      </c>
      <c r="C2841" t="s">
        <v>1761</v>
      </c>
      <c r="D2841" t="s">
        <v>3772</v>
      </c>
      <c r="E2841" t="str">
        <f t="shared" si="44"/>
        <v>Technodom1500636348</v>
      </c>
    </row>
    <row r="2842" spans="1:5" x14ac:dyDescent="0.3">
      <c r="A2842" t="s">
        <v>445</v>
      </c>
      <c r="B2842">
        <v>7211004612</v>
      </c>
      <c r="C2842" t="s">
        <v>1748</v>
      </c>
      <c r="D2842" t="s">
        <v>3773</v>
      </c>
      <c r="E2842" t="str">
        <f t="shared" si="44"/>
        <v>Technodom7211004612</v>
      </c>
    </row>
    <row r="2843" spans="1:5" x14ac:dyDescent="0.3">
      <c r="A2843" t="s">
        <v>445</v>
      </c>
      <c r="B2843">
        <v>2100125947</v>
      </c>
      <c r="C2843" t="s">
        <v>1880</v>
      </c>
      <c r="D2843" t="s">
        <v>3774</v>
      </c>
      <c r="E2843" t="str">
        <f t="shared" si="44"/>
        <v>Technodom2100125947</v>
      </c>
    </row>
    <row r="2844" spans="1:5" x14ac:dyDescent="0.3">
      <c r="A2844" t="s">
        <v>445</v>
      </c>
      <c r="B2844">
        <v>2100125948</v>
      </c>
      <c r="C2844" t="s">
        <v>1882</v>
      </c>
      <c r="D2844" t="s">
        <v>3775</v>
      </c>
      <c r="E2844" t="str">
        <f t="shared" si="44"/>
        <v>Technodom2100125948</v>
      </c>
    </row>
    <row r="2845" spans="1:5" x14ac:dyDescent="0.3">
      <c r="A2845" t="s">
        <v>445</v>
      </c>
      <c r="B2845">
        <v>3201002795</v>
      </c>
      <c r="C2845">
        <v>1873086030</v>
      </c>
      <c r="D2845" t="s">
        <v>3776</v>
      </c>
      <c r="E2845" t="str">
        <f t="shared" si="44"/>
        <v>Technodom3201002795</v>
      </c>
    </row>
    <row r="2846" spans="1:5" x14ac:dyDescent="0.3">
      <c r="A2846" t="s">
        <v>445</v>
      </c>
      <c r="B2846">
        <v>3201010611</v>
      </c>
      <c r="C2846">
        <v>1879984500</v>
      </c>
      <c r="D2846" t="s">
        <v>3777</v>
      </c>
      <c r="E2846" t="str">
        <f t="shared" si="44"/>
        <v>Technodom3201010611</v>
      </c>
    </row>
    <row r="2847" spans="1:5" x14ac:dyDescent="0.3">
      <c r="A2847" t="s">
        <v>445</v>
      </c>
      <c r="B2847">
        <v>3201019525</v>
      </c>
      <c r="C2847">
        <v>1896369993</v>
      </c>
      <c r="D2847" t="s">
        <v>3778</v>
      </c>
      <c r="E2847" t="str">
        <f t="shared" si="44"/>
        <v>Technodom3201019525</v>
      </c>
    </row>
    <row r="2848" spans="1:5" x14ac:dyDescent="0.3">
      <c r="A2848" t="s">
        <v>445</v>
      </c>
      <c r="B2848">
        <v>2100122747</v>
      </c>
      <c r="C2848" t="s">
        <v>418</v>
      </c>
      <c r="D2848" t="s">
        <v>3779</v>
      </c>
      <c r="E2848" t="str">
        <f t="shared" si="44"/>
        <v>Technodom2100122747</v>
      </c>
    </row>
    <row r="2849" spans="1:5" x14ac:dyDescent="0.3">
      <c r="A2849" t="s">
        <v>445</v>
      </c>
      <c r="B2849">
        <v>2100125950</v>
      </c>
      <c r="C2849" t="s">
        <v>420</v>
      </c>
      <c r="D2849" t="s">
        <v>3780</v>
      </c>
      <c r="E2849" t="str">
        <f t="shared" si="44"/>
        <v>Technodom2100125950</v>
      </c>
    </row>
    <row r="2850" spans="1:5" x14ac:dyDescent="0.3">
      <c r="A2850" t="s">
        <v>445</v>
      </c>
      <c r="B2850">
        <v>2100125949</v>
      </c>
      <c r="C2850" t="s">
        <v>2181</v>
      </c>
      <c r="D2850" t="s">
        <v>3781</v>
      </c>
      <c r="E2850" t="str">
        <f t="shared" si="44"/>
        <v>Technodom2100125949</v>
      </c>
    </row>
    <row r="2851" spans="1:5" x14ac:dyDescent="0.3">
      <c r="A2851" t="s">
        <v>445</v>
      </c>
      <c r="B2851">
        <v>2100126010</v>
      </c>
      <c r="C2851" t="s">
        <v>3782</v>
      </c>
      <c r="D2851" t="s">
        <v>3783</v>
      </c>
      <c r="E2851" t="str">
        <f t="shared" si="44"/>
        <v>Technodom2100126010</v>
      </c>
    </row>
    <row r="2852" spans="1:5" x14ac:dyDescent="0.3">
      <c r="A2852" t="s">
        <v>445</v>
      </c>
      <c r="B2852">
        <v>3201004896</v>
      </c>
      <c r="C2852" t="s">
        <v>436</v>
      </c>
      <c r="D2852" t="s">
        <v>3784</v>
      </c>
      <c r="E2852" t="str">
        <f t="shared" si="44"/>
        <v>Technodom3201004896</v>
      </c>
    </row>
    <row r="2853" spans="1:5" x14ac:dyDescent="0.3">
      <c r="A2853" t="s">
        <v>445</v>
      </c>
      <c r="B2853">
        <v>2211401050</v>
      </c>
      <c r="C2853" t="s">
        <v>127</v>
      </c>
      <c r="D2853" t="s">
        <v>3785</v>
      </c>
      <c r="E2853" t="str">
        <f t="shared" si="44"/>
        <v>Technodom2211401050</v>
      </c>
    </row>
    <row r="2854" spans="1:5" x14ac:dyDescent="0.3">
      <c r="A2854" t="s">
        <v>445</v>
      </c>
      <c r="B2854">
        <v>2211401034</v>
      </c>
      <c r="C2854" t="s">
        <v>396</v>
      </c>
      <c r="D2854" t="s">
        <v>3786</v>
      </c>
      <c r="E2854" t="str">
        <f t="shared" si="44"/>
        <v>Technodom2211401034</v>
      </c>
    </row>
    <row r="2855" spans="1:5" x14ac:dyDescent="0.3">
      <c r="A2855" t="s">
        <v>445</v>
      </c>
      <c r="B2855">
        <v>2211401035</v>
      </c>
      <c r="C2855" t="s">
        <v>395</v>
      </c>
      <c r="D2855" t="s">
        <v>3787</v>
      </c>
      <c r="E2855" t="str">
        <f t="shared" si="44"/>
        <v>Technodom2211401035</v>
      </c>
    </row>
    <row r="2856" spans="1:5" x14ac:dyDescent="0.3">
      <c r="A2856" t="s">
        <v>445</v>
      </c>
      <c r="B2856">
        <v>7211003968</v>
      </c>
      <c r="C2856" t="s">
        <v>47</v>
      </c>
      <c r="D2856" t="s">
        <v>3788</v>
      </c>
      <c r="E2856" t="str">
        <f t="shared" si="44"/>
        <v>Technodom7211003968</v>
      </c>
    </row>
    <row r="2857" spans="1:5" x14ac:dyDescent="0.3">
      <c r="A2857" t="s">
        <v>445</v>
      </c>
      <c r="B2857">
        <v>2211400481</v>
      </c>
      <c r="C2857" t="s">
        <v>3789</v>
      </c>
      <c r="D2857" t="s">
        <v>3790</v>
      </c>
      <c r="E2857" t="str">
        <f t="shared" si="44"/>
        <v>Technodom2211400481</v>
      </c>
    </row>
    <row r="2858" spans="1:5" x14ac:dyDescent="0.3">
      <c r="A2858" t="s">
        <v>445</v>
      </c>
      <c r="B2858">
        <v>2211400969</v>
      </c>
      <c r="C2858" t="s">
        <v>1991</v>
      </c>
      <c r="D2858" t="s">
        <v>3791</v>
      </c>
      <c r="E2858" t="str">
        <f t="shared" si="44"/>
        <v>Technodom2211400969</v>
      </c>
    </row>
    <row r="2859" spans="1:5" x14ac:dyDescent="0.3">
      <c r="A2859" t="s">
        <v>445</v>
      </c>
      <c r="B2859">
        <v>2211400971</v>
      </c>
      <c r="C2859" t="s">
        <v>3792</v>
      </c>
      <c r="D2859" t="s">
        <v>3793</v>
      </c>
      <c r="E2859" t="str">
        <f t="shared" si="44"/>
        <v>Technodom2211400971</v>
      </c>
    </row>
    <row r="2860" spans="1:5" x14ac:dyDescent="0.3">
      <c r="A2860" t="s">
        <v>445</v>
      </c>
      <c r="B2860">
        <v>1830008455</v>
      </c>
      <c r="C2860" t="s">
        <v>1641</v>
      </c>
      <c r="D2860" t="s">
        <v>3794</v>
      </c>
      <c r="E2860" t="str">
        <f t="shared" si="44"/>
        <v>Technodom1830008455</v>
      </c>
    </row>
    <row r="2861" spans="1:5" x14ac:dyDescent="0.3">
      <c r="A2861" t="s">
        <v>445</v>
      </c>
      <c r="B2861">
        <v>7211002749</v>
      </c>
      <c r="C2861" t="s">
        <v>397</v>
      </c>
      <c r="D2861" t="s">
        <v>3795</v>
      </c>
      <c r="E2861" t="str">
        <f t="shared" si="44"/>
        <v>Technodom7211002749</v>
      </c>
    </row>
    <row r="2862" spans="1:5" x14ac:dyDescent="0.3">
      <c r="A2862" t="s">
        <v>445</v>
      </c>
      <c r="B2862">
        <v>7211004773</v>
      </c>
      <c r="C2862" t="s">
        <v>1677</v>
      </c>
      <c r="D2862" t="s">
        <v>3796</v>
      </c>
      <c r="E2862" t="str">
        <f t="shared" si="44"/>
        <v>Technodom7211004773</v>
      </c>
    </row>
    <row r="2863" spans="1:5" x14ac:dyDescent="0.3">
      <c r="A2863" t="s">
        <v>445</v>
      </c>
      <c r="B2863">
        <v>7211002180</v>
      </c>
      <c r="C2863" t="s">
        <v>568</v>
      </c>
      <c r="D2863" t="s">
        <v>3797</v>
      </c>
      <c r="E2863" t="str">
        <f t="shared" si="44"/>
        <v>Technodom7211002180</v>
      </c>
    </row>
    <row r="2864" spans="1:5" x14ac:dyDescent="0.3">
      <c r="A2864" t="s">
        <v>445</v>
      </c>
      <c r="B2864">
        <v>2211401049</v>
      </c>
      <c r="C2864" t="s">
        <v>126</v>
      </c>
      <c r="D2864" t="s">
        <v>3798</v>
      </c>
      <c r="E2864" t="str">
        <f t="shared" si="44"/>
        <v>Technodom2211401049</v>
      </c>
    </row>
    <row r="2865" spans="1:5" x14ac:dyDescent="0.3">
      <c r="A2865" t="s">
        <v>445</v>
      </c>
      <c r="B2865">
        <v>2211401091</v>
      </c>
      <c r="C2865" t="s">
        <v>394</v>
      </c>
      <c r="D2865" t="s">
        <v>3799</v>
      </c>
      <c r="E2865" t="str">
        <f t="shared" si="44"/>
        <v>Technodom2211401091</v>
      </c>
    </row>
    <row r="2866" spans="1:5" x14ac:dyDescent="0.3">
      <c r="A2866" t="s">
        <v>445</v>
      </c>
      <c r="B2866">
        <v>2211401092</v>
      </c>
      <c r="C2866" t="s">
        <v>393</v>
      </c>
      <c r="D2866" t="s">
        <v>3800</v>
      </c>
      <c r="E2866" t="str">
        <f t="shared" si="44"/>
        <v>Technodom2211401092</v>
      </c>
    </row>
    <row r="2867" spans="1:5" x14ac:dyDescent="0.3">
      <c r="A2867" t="s">
        <v>445</v>
      </c>
      <c r="B2867">
        <v>1830008124</v>
      </c>
      <c r="C2867" t="s">
        <v>3801</v>
      </c>
      <c r="D2867" t="s">
        <v>3802</v>
      </c>
      <c r="E2867" t="str">
        <f t="shared" si="44"/>
        <v>Technodom1830008124</v>
      </c>
    </row>
    <row r="2868" spans="1:5" x14ac:dyDescent="0.3">
      <c r="A2868" t="s">
        <v>445</v>
      </c>
      <c r="B2868">
        <v>1830008463</v>
      </c>
      <c r="C2868" t="s">
        <v>1665</v>
      </c>
      <c r="D2868" t="s">
        <v>3803</v>
      </c>
      <c r="E2868" t="str">
        <f t="shared" si="44"/>
        <v>Technodom1830008463</v>
      </c>
    </row>
    <row r="2869" spans="1:5" x14ac:dyDescent="0.3">
      <c r="A2869" t="s">
        <v>445</v>
      </c>
      <c r="B2869">
        <v>2211401093</v>
      </c>
      <c r="C2869" t="s">
        <v>392</v>
      </c>
      <c r="D2869" t="s">
        <v>3804</v>
      </c>
      <c r="E2869" t="str">
        <f t="shared" si="44"/>
        <v>Technodom2211401093</v>
      </c>
    </row>
    <row r="2870" spans="1:5" x14ac:dyDescent="0.3">
      <c r="A2870" t="s">
        <v>445</v>
      </c>
      <c r="B2870">
        <v>2211401094</v>
      </c>
      <c r="C2870" t="s">
        <v>391</v>
      </c>
      <c r="D2870" t="s">
        <v>3805</v>
      </c>
      <c r="E2870" t="str">
        <f t="shared" si="44"/>
        <v>Technodom2211401094</v>
      </c>
    </row>
    <row r="2871" spans="1:5" x14ac:dyDescent="0.3">
      <c r="A2871" t="s">
        <v>445</v>
      </c>
      <c r="B2871">
        <v>1830008499</v>
      </c>
      <c r="C2871" t="s">
        <v>1962</v>
      </c>
      <c r="D2871" t="s">
        <v>3806</v>
      </c>
      <c r="E2871" t="str">
        <f t="shared" si="44"/>
        <v>Technodom1830008499</v>
      </c>
    </row>
    <row r="2872" spans="1:5" x14ac:dyDescent="0.3">
      <c r="A2872" t="s">
        <v>445</v>
      </c>
      <c r="B2872">
        <v>2211400973</v>
      </c>
      <c r="C2872" t="s">
        <v>3807</v>
      </c>
      <c r="D2872" t="s">
        <v>3808</v>
      </c>
      <c r="E2872" t="str">
        <f t="shared" si="44"/>
        <v>Technodom2211400973</v>
      </c>
    </row>
    <row r="2873" spans="1:5" x14ac:dyDescent="0.3">
      <c r="A2873" t="s">
        <v>445</v>
      </c>
      <c r="B2873">
        <v>9100023405</v>
      </c>
      <c r="C2873">
        <v>4166522</v>
      </c>
      <c r="D2873" t="s">
        <v>3809</v>
      </c>
      <c r="E2873" t="str">
        <f t="shared" si="44"/>
        <v>Technodom9100023405</v>
      </c>
    </row>
    <row r="2874" spans="1:5" x14ac:dyDescent="0.3">
      <c r="A2874" t="s">
        <v>445</v>
      </c>
      <c r="B2874">
        <v>1830004932</v>
      </c>
      <c r="C2874" t="s">
        <v>560</v>
      </c>
      <c r="D2874" t="s">
        <v>3810</v>
      </c>
      <c r="E2874" t="str">
        <f t="shared" si="44"/>
        <v>Technodom1830004932</v>
      </c>
    </row>
    <row r="2875" spans="1:5" x14ac:dyDescent="0.3">
      <c r="A2875" t="s">
        <v>3811</v>
      </c>
      <c r="B2875">
        <v>7211003955</v>
      </c>
      <c r="C2875" t="s">
        <v>1244</v>
      </c>
      <c r="D2875" t="s">
        <v>3812</v>
      </c>
      <c r="E2875" t="str">
        <f t="shared" si="44"/>
        <v>Fora7211003955</v>
      </c>
    </row>
    <row r="2876" spans="1:5" x14ac:dyDescent="0.3">
      <c r="A2876" t="s">
        <v>3811</v>
      </c>
      <c r="B2876">
        <v>7211003925</v>
      </c>
      <c r="C2876" t="s">
        <v>59</v>
      </c>
      <c r="D2876" t="s">
        <v>3813</v>
      </c>
      <c r="E2876" t="str">
        <f t="shared" si="44"/>
        <v>Fora7211003925</v>
      </c>
    </row>
    <row r="2877" spans="1:5" x14ac:dyDescent="0.3">
      <c r="A2877" t="s">
        <v>3811</v>
      </c>
      <c r="B2877">
        <v>7211002803</v>
      </c>
      <c r="C2877" t="s">
        <v>1141</v>
      </c>
      <c r="D2877" t="s">
        <v>3814</v>
      </c>
      <c r="E2877" t="str">
        <f t="shared" si="44"/>
        <v>Fora7211002803</v>
      </c>
    </row>
    <row r="2878" spans="1:5" x14ac:dyDescent="0.3">
      <c r="A2878" t="s">
        <v>3811</v>
      </c>
      <c r="B2878">
        <v>7211002492</v>
      </c>
      <c r="C2878" t="s">
        <v>2125</v>
      </c>
      <c r="D2878" t="s">
        <v>3815</v>
      </c>
      <c r="E2878" t="str">
        <f t="shared" si="44"/>
        <v>Fora7211002492</v>
      </c>
    </row>
    <row r="2879" spans="1:5" x14ac:dyDescent="0.3">
      <c r="A2879" t="s">
        <v>3811</v>
      </c>
      <c r="B2879">
        <v>7211003316</v>
      </c>
      <c r="C2879" t="s">
        <v>60</v>
      </c>
      <c r="D2879" t="s">
        <v>3816</v>
      </c>
      <c r="E2879" t="str">
        <f t="shared" si="44"/>
        <v>Fora7211003316</v>
      </c>
    </row>
    <row r="2880" spans="1:5" x14ac:dyDescent="0.3">
      <c r="A2880" t="s">
        <v>3811</v>
      </c>
      <c r="B2880">
        <v>8010000739</v>
      </c>
      <c r="C2880" t="s">
        <v>1104</v>
      </c>
      <c r="D2880" t="s">
        <v>3817</v>
      </c>
      <c r="E2880" t="str">
        <f t="shared" si="44"/>
        <v>Fora8010000739</v>
      </c>
    </row>
    <row r="2881" spans="1:5" x14ac:dyDescent="0.3">
      <c r="A2881" t="s">
        <v>3811</v>
      </c>
      <c r="B2881">
        <v>7211003001</v>
      </c>
      <c r="C2881" t="s">
        <v>2451</v>
      </c>
      <c r="D2881" t="s">
        <v>3818</v>
      </c>
      <c r="E2881" t="str">
        <f t="shared" si="44"/>
        <v>Fora7211003001</v>
      </c>
    </row>
    <row r="2882" spans="1:5" x14ac:dyDescent="0.3">
      <c r="A2882" t="s">
        <v>3811</v>
      </c>
      <c r="B2882">
        <v>7211003234</v>
      </c>
      <c r="C2882" t="s">
        <v>925</v>
      </c>
      <c r="D2882" t="s">
        <v>3819</v>
      </c>
      <c r="E2882" t="str">
        <f t="shared" si="44"/>
        <v>Fora7211003234</v>
      </c>
    </row>
    <row r="2883" spans="1:5" x14ac:dyDescent="0.3">
      <c r="A2883" t="s">
        <v>3811</v>
      </c>
      <c r="B2883">
        <v>2027455120</v>
      </c>
      <c r="C2883">
        <v>2745512</v>
      </c>
      <c r="D2883" t="s">
        <v>3820</v>
      </c>
      <c r="E2883" t="str">
        <f t="shared" ref="E2883:E2946" si="45">A2883&amp;B2883</f>
        <v>Fora2027455120</v>
      </c>
    </row>
    <row r="2884" spans="1:5" x14ac:dyDescent="0.3">
      <c r="A2884" t="s">
        <v>3811</v>
      </c>
      <c r="B2884">
        <v>2100102187</v>
      </c>
      <c r="C2884" t="s">
        <v>1457</v>
      </c>
      <c r="D2884" t="s">
        <v>3821</v>
      </c>
      <c r="E2884" t="str">
        <f t="shared" si="45"/>
        <v>Fora2100102187</v>
      </c>
    </row>
    <row r="2885" spans="1:5" x14ac:dyDescent="0.3">
      <c r="A2885" t="s">
        <v>3811</v>
      </c>
      <c r="B2885">
        <v>1830007854</v>
      </c>
      <c r="C2885" t="s">
        <v>497</v>
      </c>
      <c r="D2885" t="s">
        <v>3822</v>
      </c>
      <c r="E2885" t="str">
        <f t="shared" si="45"/>
        <v>Fora1830007854</v>
      </c>
    </row>
    <row r="2886" spans="1:5" x14ac:dyDescent="0.3">
      <c r="A2886" t="s">
        <v>3811</v>
      </c>
      <c r="B2886">
        <v>1830007856</v>
      </c>
      <c r="C2886" t="s">
        <v>3823</v>
      </c>
      <c r="D2886" t="s">
        <v>3824</v>
      </c>
      <c r="E2886" t="str">
        <f t="shared" si="45"/>
        <v>Fora1830007856</v>
      </c>
    </row>
    <row r="2887" spans="1:5" x14ac:dyDescent="0.3">
      <c r="A2887" t="s">
        <v>3811</v>
      </c>
      <c r="B2887">
        <v>1830007817</v>
      </c>
      <c r="C2887" t="s">
        <v>1931</v>
      </c>
      <c r="D2887" t="s">
        <v>3825</v>
      </c>
      <c r="E2887" t="str">
        <f t="shared" si="45"/>
        <v>Fora1830007817</v>
      </c>
    </row>
    <row r="2888" spans="1:5" x14ac:dyDescent="0.3">
      <c r="A2888" t="s">
        <v>3811</v>
      </c>
      <c r="B2888">
        <v>1830007670</v>
      </c>
      <c r="C2888" t="s">
        <v>1607</v>
      </c>
      <c r="D2888" t="s">
        <v>3826</v>
      </c>
      <c r="E2888" t="str">
        <f t="shared" si="45"/>
        <v>Fora1830007670</v>
      </c>
    </row>
    <row r="2889" spans="1:5" x14ac:dyDescent="0.3">
      <c r="A2889" t="s">
        <v>3811</v>
      </c>
      <c r="B2889">
        <v>2100101961</v>
      </c>
      <c r="C2889" t="s">
        <v>700</v>
      </c>
      <c r="D2889" t="s">
        <v>3827</v>
      </c>
      <c r="E2889" t="str">
        <f t="shared" si="45"/>
        <v>Fora2100101961</v>
      </c>
    </row>
    <row r="2890" spans="1:5" x14ac:dyDescent="0.3">
      <c r="A2890" t="s">
        <v>3811</v>
      </c>
      <c r="B2890">
        <v>2100101964</v>
      </c>
      <c r="C2890" t="s">
        <v>3828</v>
      </c>
      <c r="D2890" t="s">
        <v>3829</v>
      </c>
      <c r="E2890" t="str">
        <f t="shared" si="45"/>
        <v>Fora2100101964</v>
      </c>
    </row>
    <row r="2891" spans="1:5" x14ac:dyDescent="0.3">
      <c r="A2891" t="s">
        <v>3811</v>
      </c>
      <c r="B2891">
        <v>1830008071</v>
      </c>
      <c r="C2891" t="s">
        <v>1517</v>
      </c>
      <c r="D2891" t="s">
        <v>3830</v>
      </c>
      <c r="E2891" t="str">
        <f t="shared" si="45"/>
        <v>Fora1830008071</v>
      </c>
    </row>
    <row r="2892" spans="1:5" x14ac:dyDescent="0.3">
      <c r="A2892" t="s">
        <v>3811</v>
      </c>
      <c r="B2892">
        <v>1830008084</v>
      </c>
      <c r="C2892" t="s">
        <v>3831</v>
      </c>
      <c r="D2892" t="s">
        <v>3832</v>
      </c>
      <c r="E2892" t="str">
        <f t="shared" si="45"/>
        <v>Fora1830008084</v>
      </c>
    </row>
    <row r="2893" spans="1:5" x14ac:dyDescent="0.3">
      <c r="A2893" t="s">
        <v>3811</v>
      </c>
      <c r="B2893">
        <v>2100086690</v>
      </c>
      <c r="C2893" t="s">
        <v>521</v>
      </c>
      <c r="D2893" t="s">
        <v>3833</v>
      </c>
      <c r="E2893" t="str">
        <f t="shared" si="45"/>
        <v>Fora2100086690</v>
      </c>
    </row>
    <row r="2894" spans="1:5" x14ac:dyDescent="0.3">
      <c r="A2894" t="s">
        <v>3811</v>
      </c>
      <c r="B2894">
        <v>1830007886</v>
      </c>
      <c r="C2894" t="s">
        <v>1529</v>
      </c>
      <c r="D2894" t="s">
        <v>3834</v>
      </c>
      <c r="E2894" t="str">
        <f t="shared" si="45"/>
        <v>Fora1830007886</v>
      </c>
    </row>
    <row r="2895" spans="1:5" x14ac:dyDescent="0.3">
      <c r="A2895" t="s">
        <v>3811</v>
      </c>
      <c r="B2895">
        <v>1830008103</v>
      </c>
      <c r="C2895" t="s">
        <v>1521</v>
      </c>
      <c r="D2895" t="s">
        <v>3835</v>
      </c>
      <c r="E2895" t="str">
        <f t="shared" si="45"/>
        <v>Fora1830008103</v>
      </c>
    </row>
    <row r="2896" spans="1:5" x14ac:dyDescent="0.3">
      <c r="A2896" t="s">
        <v>3811</v>
      </c>
      <c r="B2896">
        <v>1830007828</v>
      </c>
      <c r="C2896" t="s">
        <v>1262</v>
      </c>
      <c r="D2896" t="s">
        <v>3836</v>
      </c>
      <c r="E2896" t="str">
        <f t="shared" si="45"/>
        <v>Fora1830007828</v>
      </c>
    </row>
    <row r="2897" spans="1:5" x14ac:dyDescent="0.3">
      <c r="A2897" t="s">
        <v>3811</v>
      </c>
      <c r="B2897">
        <v>1830006013</v>
      </c>
      <c r="C2897" t="s">
        <v>423</v>
      </c>
      <c r="D2897" t="s">
        <v>3837</v>
      </c>
      <c r="E2897" t="str">
        <f t="shared" si="45"/>
        <v>Fora1830006013</v>
      </c>
    </row>
    <row r="2898" spans="1:5" x14ac:dyDescent="0.3">
      <c r="A2898" t="s">
        <v>3811</v>
      </c>
      <c r="B2898">
        <v>2100059178</v>
      </c>
      <c r="C2898" t="s">
        <v>3838</v>
      </c>
      <c r="D2898" t="s">
        <v>3839</v>
      </c>
      <c r="E2898" t="str">
        <f t="shared" si="45"/>
        <v>Fora2100059178</v>
      </c>
    </row>
    <row r="2899" spans="1:5" x14ac:dyDescent="0.3">
      <c r="A2899" t="s">
        <v>3811</v>
      </c>
      <c r="B2899">
        <v>2100058891</v>
      </c>
      <c r="C2899" t="s">
        <v>586</v>
      </c>
      <c r="D2899" t="s">
        <v>3840</v>
      </c>
      <c r="E2899" t="str">
        <f t="shared" si="45"/>
        <v>Fora2100058891</v>
      </c>
    </row>
    <row r="2900" spans="1:5" x14ac:dyDescent="0.3">
      <c r="A2900" t="s">
        <v>3811</v>
      </c>
      <c r="B2900">
        <v>7211002441</v>
      </c>
      <c r="C2900" t="s">
        <v>40</v>
      </c>
      <c r="D2900" t="s">
        <v>3841</v>
      </c>
      <c r="E2900" t="str">
        <f t="shared" si="45"/>
        <v>Fora7211002441</v>
      </c>
    </row>
    <row r="2901" spans="1:5" x14ac:dyDescent="0.3">
      <c r="A2901" t="s">
        <v>3811</v>
      </c>
      <c r="B2901">
        <v>7211002459</v>
      </c>
      <c r="C2901" t="s">
        <v>41</v>
      </c>
      <c r="D2901" t="s">
        <v>3842</v>
      </c>
      <c r="E2901" t="str">
        <f t="shared" si="45"/>
        <v>Fora7211002459</v>
      </c>
    </row>
    <row r="2902" spans="1:5" x14ac:dyDescent="0.3">
      <c r="A2902" t="s">
        <v>3811</v>
      </c>
      <c r="B2902">
        <v>2100115225</v>
      </c>
      <c r="C2902" t="s">
        <v>1891</v>
      </c>
      <c r="D2902" t="s">
        <v>3843</v>
      </c>
      <c r="E2902" t="str">
        <f t="shared" si="45"/>
        <v>Fora2100115225</v>
      </c>
    </row>
    <row r="2903" spans="1:5" x14ac:dyDescent="0.3">
      <c r="A2903" t="s">
        <v>3811</v>
      </c>
      <c r="B2903">
        <v>2100115226</v>
      </c>
      <c r="C2903" t="s">
        <v>3844</v>
      </c>
      <c r="D2903" t="s">
        <v>3845</v>
      </c>
      <c r="E2903" t="str">
        <f t="shared" si="45"/>
        <v>Fora2100115226</v>
      </c>
    </row>
    <row r="2904" spans="1:5" x14ac:dyDescent="0.3">
      <c r="A2904" t="s">
        <v>3811</v>
      </c>
      <c r="B2904">
        <v>2100115220</v>
      </c>
      <c r="C2904" t="s">
        <v>3022</v>
      </c>
      <c r="D2904" t="s">
        <v>3846</v>
      </c>
      <c r="E2904" t="str">
        <f t="shared" si="45"/>
        <v>Fora2100115220</v>
      </c>
    </row>
    <row r="2905" spans="1:5" x14ac:dyDescent="0.3">
      <c r="A2905" t="s">
        <v>3811</v>
      </c>
      <c r="B2905">
        <v>7211001550</v>
      </c>
      <c r="C2905" t="s">
        <v>1900</v>
      </c>
      <c r="D2905" t="s">
        <v>3847</v>
      </c>
      <c r="E2905" t="str">
        <f t="shared" si="45"/>
        <v>Fora7211001550</v>
      </c>
    </row>
    <row r="2906" spans="1:5" x14ac:dyDescent="0.3">
      <c r="A2906" t="s">
        <v>3811</v>
      </c>
      <c r="B2906">
        <v>7211002511</v>
      </c>
      <c r="C2906" t="s">
        <v>3167</v>
      </c>
      <c r="D2906" t="s">
        <v>3848</v>
      </c>
      <c r="E2906" t="str">
        <f t="shared" si="45"/>
        <v>Fora7211002511</v>
      </c>
    </row>
    <row r="2907" spans="1:5" x14ac:dyDescent="0.3">
      <c r="A2907" t="s">
        <v>3811</v>
      </c>
      <c r="B2907">
        <v>7211002513</v>
      </c>
      <c r="C2907" t="s">
        <v>3849</v>
      </c>
      <c r="D2907" t="s">
        <v>3850</v>
      </c>
      <c r="E2907" t="str">
        <f t="shared" si="45"/>
        <v>Fora7211002513</v>
      </c>
    </row>
    <row r="2908" spans="1:5" x14ac:dyDescent="0.3">
      <c r="A2908" t="s">
        <v>3811</v>
      </c>
      <c r="B2908">
        <v>7211003998</v>
      </c>
      <c r="C2908" t="s">
        <v>2416</v>
      </c>
      <c r="D2908" t="s">
        <v>3851</v>
      </c>
      <c r="E2908" t="str">
        <f t="shared" si="45"/>
        <v>Fora7211003998</v>
      </c>
    </row>
    <row r="2909" spans="1:5" x14ac:dyDescent="0.3">
      <c r="A2909" t="s">
        <v>3811</v>
      </c>
      <c r="B2909">
        <v>8000036226</v>
      </c>
      <c r="C2909" t="s">
        <v>3677</v>
      </c>
      <c r="D2909" t="s">
        <v>3852</v>
      </c>
      <c r="E2909" t="str">
        <f t="shared" si="45"/>
        <v>Fora8000036226</v>
      </c>
    </row>
    <row r="2910" spans="1:5" x14ac:dyDescent="0.3">
      <c r="A2910" t="s">
        <v>3811</v>
      </c>
      <c r="B2910">
        <v>8000035039</v>
      </c>
      <c r="C2910" t="s">
        <v>3853</v>
      </c>
      <c r="D2910" t="s">
        <v>3854</v>
      </c>
      <c r="E2910" t="str">
        <f t="shared" si="45"/>
        <v>Fora8000035039</v>
      </c>
    </row>
    <row r="2911" spans="1:5" x14ac:dyDescent="0.3">
      <c r="A2911" t="s">
        <v>3811</v>
      </c>
      <c r="B2911">
        <v>8000035748</v>
      </c>
      <c r="C2911" t="s">
        <v>867</v>
      </c>
      <c r="D2911" t="s">
        <v>3855</v>
      </c>
      <c r="E2911" t="str">
        <f t="shared" si="45"/>
        <v>Fora8000035748</v>
      </c>
    </row>
    <row r="2912" spans="1:5" x14ac:dyDescent="0.3">
      <c r="A2912" t="s">
        <v>3811</v>
      </c>
      <c r="B2912">
        <v>8000036179</v>
      </c>
      <c r="C2912" t="s">
        <v>3686</v>
      </c>
      <c r="D2912" t="s">
        <v>3856</v>
      </c>
      <c r="E2912" t="str">
        <f t="shared" si="45"/>
        <v>Fora8000036179</v>
      </c>
    </row>
    <row r="2913" spans="1:5" x14ac:dyDescent="0.3">
      <c r="A2913" t="s">
        <v>3811</v>
      </c>
      <c r="B2913">
        <v>8010000601</v>
      </c>
      <c r="C2913" t="s">
        <v>1657</v>
      </c>
      <c r="D2913" t="s">
        <v>3857</v>
      </c>
      <c r="E2913" t="str">
        <f t="shared" si="45"/>
        <v>Fora8010000601</v>
      </c>
    </row>
    <row r="2914" spans="1:5" x14ac:dyDescent="0.3">
      <c r="A2914" t="s">
        <v>3811</v>
      </c>
      <c r="B2914">
        <v>1500813213</v>
      </c>
      <c r="C2914" t="s">
        <v>3581</v>
      </c>
      <c r="D2914" t="s">
        <v>3858</v>
      </c>
      <c r="E2914" t="str">
        <f t="shared" si="45"/>
        <v>Fora1500813213</v>
      </c>
    </row>
    <row r="2915" spans="1:5" x14ac:dyDescent="0.3">
      <c r="A2915" t="s">
        <v>3811</v>
      </c>
      <c r="B2915">
        <v>9100004192</v>
      </c>
      <c r="C2915">
        <v>4090124</v>
      </c>
      <c r="D2915" t="s">
        <v>3859</v>
      </c>
      <c r="E2915" t="str">
        <f t="shared" si="45"/>
        <v>Fora9100004192</v>
      </c>
    </row>
    <row r="2916" spans="1:5" x14ac:dyDescent="0.3">
      <c r="A2916" t="s">
        <v>3811</v>
      </c>
      <c r="B2916">
        <v>9100004193</v>
      </c>
      <c r="C2916">
        <v>4090126</v>
      </c>
      <c r="D2916" t="s">
        <v>3860</v>
      </c>
      <c r="E2916" t="str">
        <f t="shared" si="45"/>
        <v>Fora9100004193</v>
      </c>
    </row>
    <row r="2917" spans="1:5" x14ac:dyDescent="0.3">
      <c r="A2917" t="s">
        <v>3811</v>
      </c>
      <c r="B2917">
        <v>9100004140</v>
      </c>
      <c r="C2917">
        <v>4090120</v>
      </c>
      <c r="D2917" t="s">
        <v>3861</v>
      </c>
      <c r="E2917" t="str">
        <f t="shared" si="45"/>
        <v>Fora9100004140</v>
      </c>
    </row>
    <row r="2918" spans="1:5" x14ac:dyDescent="0.3">
      <c r="A2918" t="s">
        <v>3811</v>
      </c>
      <c r="B2918">
        <v>9100004179</v>
      </c>
      <c r="C2918">
        <v>4090122</v>
      </c>
      <c r="D2918" t="s">
        <v>3862</v>
      </c>
      <c r="E2918" t="str">
        <f t="shared" si="45"/>
        <v>Fora9100004179</v>
      </c>
    </row>
    <row r="2919" spans="1:5" x14ac:dyDescent="0.3">
      <c r="A2919" t="s">
        <v>3811</v>
      </c>
      <c r="B2919">
        <v>9100004180</v>
      </c>
      <c r="C2919">
        <v>4090118</v>
      </c>
      <c r="D2919" t="s">
        <v>3863</v>
      </c>
      <c r="E2919" t="str">
        <f t="shared" si="45"/>
        <v>Fora9100004180</v>
      </c>
    </row>
    <row r="2920" spans="1:5" x14ac:dyDescent="0.3">
      <c r="A2920" t="s">
        <v>3811</v>
      </c>
      <c r="B2920">
        <v>9100004194</v>
      </c>
      <c r="C2920">
        <v>4090128</v>
      </c>
      <c r="D2920" t="s">
        <v>3864</v>
      </c>
      <c r="E2920" t="str">
        <f t="shared" si="45"/>
        <v>Fora9100004194</v>
      </c>
    </row>
    <row r="2921" spans="1:5" x14ac:dyDescent="0.3">
      <c r="A2921" t="s">
        <v>3811</v>
      </c>
      <c r="B2921">
        <v>2100102182</v>
      </c>
      <c r="C2921" t="s">
        <v>2752</v>
      </c>
      <c r="D2921" t="s">
        <v>3865</v>
      </c>
      <c r="E2921" t="str">
        <f t="shared" si="45"/>
        <v>Fora2100102182</v>
      </c>
    </row>
    <row r="2922" spans="1:5" x14ac:dyDescent="0.3">
      <c r="A2922" t="s">
        <v>3811</v>
      </c>
      <c r="B2922">
        <v>7211004683</v>
      </c>
      <c r="C2922" t="s">
        <v>118</v>
      </c>
      <c r="D2922" t="s">
        <v>3866</v>
      </c>
      <c r="E2922" t="str">
        <f t="shared" si="45"/>
        <v>Fora7211004683</v>
      </c>
    </row>
    <row r="2923" spans="1:5" x14ac:dyDescent="0.3">
      <c r="A2923" t="s">
        <v>3811</v>
      </c>
      <c r="B2923">
        <v>7211004670</v>
      </c>
      <c r="C2923" t="s">
        <v>404</v>
      </c>
      <c r="D2923" t="s">
        <v>3867</v>
      </c>
      <c r="E2923" t="str">
        <f t="shared" si="45"/>
        <v>Fora7211004670</v>
      </c>
    </row>
    <row r="2924" spans="1:5" x14ac:dyDescent="0.3">
      <c r="A2924" t="s">
        <v>3811</v>
      </c>
      <c r="B2924">
        <v>2027439120</v>
      </c>
      <c r="C2924">
        <v>2743912</v>
      </c>
      <c r="D2924" t="s">
        <v>3868</v>
      </c>
      <c r="E2924" t="str">
        <f t="shared" si="45"/>
        <v>Fora2027439120</v>
      </c>
    </row>
    <row r="2925" spans="1:5" x14ac:dyDescent="0.3">
      <c r="A2925" t="s">
        <v>3811</v>
      </c>
      <c r="B2925">
        <v>2027437120</v>
      </c>
      <c r="C2925">
        <v>2743712</v>
      </c>
      <c r="D2925" t="s">
        <v>3869</v>
      </c>
      <c r="E2925" t="str">
        <f t="shared" si="45"/>
        <v>Fora2027437120</v>
      </c>
    </row>
    <row r="2926" spans="1:5" x14ac:dyDescent="0.3">
      <c r="A2926" t="s">
        <v>3811</v>
      </c>
      <c r="B2926">
        <v>2027441120</v>
      </c>
      <c r="C2926">
        <v>2744112</v>
      </c>
      <c r="D2926" t="s">
        <v>3870</v>
      </c>
      <c r="E2926" t="str">
        <f t="shared" si="45"/>
        <v>Fora2027441120</v>
      </c>
    </row>
    <row r="2927" spans="1:5" x14ac:dyDescent="0.3">
      <c r="A2927" t="s">
        <v>3811</v>
      </c>
      <c r="B2927">
        <v>2027449120</v>
      </c>
      <c r="C2927">
        <v>2744912</v>
      </c>
      <c r="D2927" t="s">
        <v>3871</v>
      </c>
      <c r="E2927" t="str">
        <f t="shared" si="45"/>
        <v>Fora2027449120</v>
      </c>
    </row>
    <row r="2928" spans="1:5" x14ac:dyDescent="0.3">
      <c r="A2928" t="s">
        <v>3811</v>
      </c>
      <c r="B2928">
        <v>1830006703</v>
      </c>
      <c r="C2928" t="s">
        <v>2225</v>
      </c>
      <c r="D2928" t="s">
        <v>3872</v>
      </c>
      <c r="E2928" t="str">
        <f t="shared" si="45"/>
        <v>Fora1830006703</v>
      </c>
    </row>
    <row r="2929" spans="1:5" x14ac:dyDescent="0.3">
      <c r="A2929" t="s">
        <v>3811</v>
      </c>
      <c r="B2929">
        <v>1830007990</v>
      </c>
      <c r="C2929" t="s">
        <v>1182</v>
      </c>
      <c r="D2929" t="s">
        <v>3873</v>
      </c>
      <c r="E2929" t="str">
        <f t="shared" si="45"/>
        <v>Fora1830007990</v>
      </c>
    </row>
    <row r="2930" spans="1:5" x14ac:dyDescent="0.3">
      <c r="A2930" t="s">
        <v>3811</v>
      </c>
      <c r="B2930">
        <v>1830008226</v>
      </c>
      <c r="C2930" t="s">
        <v>546</v>
      </c>
      <c r="D2930" t="s">
        <v>3874</v>
      </c>
      <c r="E2930" t="str">
        <f t="shared" si="45"/>
        <v>Fora1830008226</v>
      </c>
    </row>
    <row r="2931" spans="1:5" x14ac:dyDescent="0.3">
      <c r="A2931" t="s">
        <v>3811</v>
      </c>
      <c r="B2931">
        <v>1830006306</v>
      </c>
      <c r="C2931" t="s">
        <v>2222</v>
      </c>
      <c r="D2931" t="s">
        <v>3875</v>
      </c>
      <c r="E2931" t="str">
        <f t="shared" si="45"/>
        <v>Fora1830006306</v>
      </c>
    </row>
    <row r="2932" spans="1:5" x14ac:dyDescent="0.3">
      <c r="A2932" t="s">
        <v>3811</v>
      </c>
      <c r="B2932">
        <v>8000035985</v>
      </c>
      <c r="C2932" t="s">
        <v>1258</v>
      </c>
      <c r="D2932" t="s">
        <v>3876</v>
      </c>
      <c r="E2932" t="str">
        <f t="shared" si="45"/>
        <v>Fora8000035985</v>
      </c>
    </row>
    <row r="2933" spans="1:5" x14ac:dyDescent="0.3">
      <c r="A2933" t="s">
        <v>3811</v>
      </c>
      <c r="B2933">
        <v>7211004400</v>
      </c>
      <c r="C2933" t="s">
        <v>3594</v>
      </c>
      <c r="D2933" t="s">
        <v>3877</v>
      </c>
      <c r="E2933" t="str">
        <f t="shared" si="45"/>
        <v>Fora7211004400</v>
      </c>
    </row>
    <row r="2934" spans="1:5" x14ac:dyDescent="0.3">
      <c r="A2934" t="s">
        <v>3811</v>
      </c>
      <c r="B2934">
        <v>8000036062</v>
      </c>
      <c r="C2934" t="s">
        <v>1252</v>
      </c>
      <c r="D2934" t="s">
        <v>3878</v>
      </c>
      <c r="E2934" t="str">
        <f t="shared" si="45"/>
        <v>Fora8000036062</v>
      </c>
    </row>
    <row r="2935" spans="1:5" x14ac:dyDescent="0.3">
      <c r="A2935" t="s">
        <v>3811</v>
      </c>
      <c r="B2935">
        <v>1500814332</v>
      </c>
      <c r="C2935" t="s">
        <v>1250</v>
      </c>
      <c r="D2935" t="s">
        <v>3879</v>
      </c>
      <c r="E2935" t="str">
        <f t="shared" si="45"/>
        <v>Fora1500814332</v>
      </c>
    </row>
    <row r="2936" spans="1:5" x14ac:dyDescent="0.3">
      <c r="A2936" t="s">
        <v>3811</v>
      </c>
      <c r="B2936">
        <v>7211004050</v>
      </c>
      <c r="C2936" t="s">
        <v>1114</v>
      </c>
      <c r="D2936" t="s">
        <v>3880</v>
      </c>
      <c r="E2936" t="str">
        <f t="shared" si="45"/>
        <v>Fora7211004050</v>
      </c>
    </row>
    <row r="2937" spans="1:5" x14ac:dyDescent="0.3">
      <c r="A2937" t="s">
        <v>3811</v>
      </c>
      <c r="B2937">
        <v>7211003141</v>
      </c>
      <c r="C2937" t="s">
        <v>898</v>
      </c>
      <c r="D2937" t="s">
        <v>3881</v>
      </c>
      <c r="E2937" t="str">
        <f t="shared" si="45"/>
        <v>Fora7211003141</v>
      </c>
    </row>
    <row r="2938" spans="1:5" x14ac:dyDescent="0.3">
      <c r="A2938" t="s">
        <v>3811</v>
      </c>
      <c r="B2938">
        <v>7211003314</v>
      </c>
      <c r="C2938" t="s">
        <v>1345</v>
      </c>
      <c r="D2938" t="s">
        <v>3882</v>
      </c>
      <c r="E2938" t="str">
        <f t="shared" si="45"/>
        <v>Fora7211003314</v>
      </c>
    </row>
    <row r="2939" spans="1:5" x14ac:dyDescent="0.3">
      <c r="A2939" t="s">
        <v>3811</v>
      </c>
      <c r="B2939">
        <v>1500818696</v>
      </c>
      <c r="C2939" t="s">
        <v>3883</v>
      </c>
      <c r="D2939" t="s">
        <v>3884</v>
      </c>
      <c r="E2939" t="str">
        <f t="shared" si="45"/>
        <v>Fora1500818696</v>
      </c>
    </row>
    <row r="2940" spans="1:5" x14ac:dyDescent="0.3">
      <c r="A2940" t="s">
        <v>3811</v>
      </c>
      <c r="B2940">
        <v>8010000031</v>
      </c>
      <c r="C2940" t="s">
        <v>1686</v>
      </c>
      <c r="D2940" t="s">
        <v>3885</v>
      </c>
      <c r="E2940" t="str">
        <f t="shared" si="45"/>
        <v>Fora8010000031</v>
      </c>
    </row>
    <row r="2941" spans="1:5" x14ac:dyDescent="0.3">
      <c r="A2941" t="s">
        <v>3811</v>
      </c>
      <c r="B2941">
        <v>8010000982</v>
      </c>
      <c r="C2941" t="s">
        <v>1274</v>
      </c>
      <c r="D2941" t="s">
        <v>3886</v>
      </c>
      <c r="E2941" t="str">
        <f t="shared" si="45"/>
        <v>Fora8010000982</v>
      </c>
    </row>
    <row r="2942" spans="1:5" x14ac:dyDescent="0.3">
      <c r="A2942" t="s">
        <v>3811</v>
      </c>
      <c r="B2942">
        <v>1500868890</v>
      </c>
      <c r="C2942" t="s">
        <v>1343</v>
      </c>
      <c r="D2942" t="s">
        <v>3887</v>
      </c>
      <c r="E2942" t="str">
        <f t="shared" si="45"/>
        <v>Fora1500868890</v>
      </c>
    </row>
    <row r="2943" spans="1:5" x14ac:dyDescent="0.3">
      <c r="A2943" t="s">
        <v>3811</v>
      </c>
      <c r="B2943">
        <v>8010000095</v>
      </c>
      <c r="C2943" t="s">
        <v>819</v>
      </c>
      <c r="D2943" t="s">
        <v>3888</v>
      </c>
      <c r="E2943" t="str">
        <f t="shared" si="45"/>
        <v>Fora8010000095</v>
      </c>
    </row>
    <row r="2944" spans="1:5" x14ac:dyDescent="0.3">
      <c r="A2944" t="s">
        <v>3811</v>
      </c>
      <c r="B2944">
        <v>1510001005</v>
      </c>
      <c r="C2944" t="s">
        <v>544</v>
      </c>
      <c r="D2944" t="s">
        <v>3889</v>
      </c>
      <c r="E2944" t="str">
        <f t="shared" si="45"/>
        <v>Fora1510001005</v>
      </c>
    </row>
    <row r="2945" spans="1:5" x14ac:dyDescent="0.3">
      <c r="A2945" t="s">
        <v>3811</v>
      </c>
      <c r="B2945">
        <v>1510001152</v>
      </c>
      <c r="C2945" t="s">
        <v>3890</v>
      </c>
      <c r="D2945" t="s">
        <v>3891</v>
      </c>
      <c r="E2945" t="str">
        <f t="shared" si="45"/>
        <v>Fora1510001152</v>
      </c>
    </row>
    <row r="2946" spans="1:5" x14ac:dyDescent="0.3">
      <c r="A2946" t="s">
        <v>3811</v>
      </c>
      <c r="B2946">
        <v>1510001599</v>
      </c>
      <c r="C2946" t="s">
        <v>66</v>
      </c>
      <c r="D2946" t="s">
        <v>3892</v>
      </c>
      <c r="E2946" t="str">
        <f t="shared" si="45"/>
        <v>Fora1510001599</v>
      </c>
    </row>
    <row r="2947" spans="1:5" x14ac:dyDescent="0.3">
      <c r="A2947" t="s">
        <v>3811</v>
      </c>
      <c r="B2947">
        <v>8010000033</v>
      </c>
      <c r="C2947" t="s">
        <v>64</v>
      </c>
      <c r="D2947" t="s">
        <v>3893</v>
      </c>
      <c r="E2947" t="str">
        <f t="shared" ref="E2947:E3010" si="46">A2947&amp;B2947</f>
        <v>Fora8010000033</v>
      </c>
    </row>
    <row r="2948" spans="1:5" x14ac:dyDescent="0.3">
      <c r="A2948" t="s">
        <v>3811</v>
      </c>
      <c r="B2948">
        <v>2100115981</v>
      </c>
      <c r="C2948" t="s">
        <v>1184</v>
      </c>
      <c r="D2948" t="s">
        <v>3894</v>
      </c>
      <c r="E2948" t="str">
        <f t="shared" si="46"/>
        <v>Fora2100115981</v>
      </c>
    </row>
    <row r="2949" spans="1:5" x14ac:dyDescent="0.3">
      <c r="A2949" t="s">
        <v>3811</v>
      </c>
      <c r="B2949">
        <v>2100104352</v>
      </c>
      <c r="C2949" t="s">
        <v>2442</v>
      </c>
      <c r="D2949" t="s">
        <v>3895</v>
      </c>
      <c r="E2949" t="str">
        <f t="shared" si="46"/>
        <v>Fora2100104352</v>
      </c>
    </row>
    <row r="2950" spans="1:5" x14ac:dyDescent="0.3">
      <c r="A2950" t="s">
        <v>3811</v>
      </c>
      <c r="B2950">
        <v>2100104350</v>
      </c>
      <c r="C2950" t="s">
        <v>2444</v>
      </c>
      <c r="D2950" t="s">
        <v>3896</v>
      </c>
      <c r="E2950" t="str">
        <f t="shared" si="46"/>
        <v>Fora2100104350</v>
      </c>
    </row>
    <row r="2951" spans="1:5" x14ac:dyDescent="0.3">
      <c r="A2951" t="s">
        <v>3811</v>
      </c>
      <c r="B2951">
        <v>2100102184</v>
      </c>
      <c r="C2951" t="s">
        <v>3897</v>
      </c>
      <c r="D2951" t="s">
        <v>3898</v>
      </c>
      <c r="E2951" t="str">
        <f t="shared" si="46"/>
        <v>Fora2100102184</v>
      </c>
    </row>
    <row r="2952" spans="1:5" x14ac:dyDescent="0.3">
      <c r="A2952" t="s">
        <v>3811</v>
      </c>
      <c r="B2952">
        <v>2100094124</v>
      </c>
      <c r="C2952" t="s">
        <v>3361</v>
      </c>
      <c r="D2952" t="s">
        <v>3899</v>
      </c>
      <c r="E2952" t="str">
        <f t="shared" si="46"/>
        <v>Fora2100094124</v>
      </c>
    </row>
    <row r="2953" spans="1:5" x14ac:dyDescent="0.3">
      <c r="A2953" t="s">
        <v>3811</v>
      </c>
      <c r="B2953">
        <v>2100094120</v>
      </c>
      <c r="C2953" t="s">
        <v>434</v>
      </c>
      <c r="D2953" t="s">
        <v>3900</v>
      </c>
      <c r="E2953" t="str">
        <f t="shared" si="46"/>
        <v>Fora2100094120</v>
      </c>
    </row>
    <row r="2954" spans="1:5" x14ac:dyDescent="0.3">
      <c r="A2954" t="s">
        <v>3811</v>
      </c>
      <c r="B2954">
        <v>2100104351</v>
      </c>
      <c r="C2954" t="s">
        <v>3006</v>
      </c>
      <c r="D2954" t="s">
        <v>3901</v>
      </c>
      <c r="E2954" t="str">
        <f t="shared" si="46"/>
        <v>Fora2100104351</v>
      </c>
    </row>
    <row r="2955" spans="1:5" x14ac:dyDescent="0.3">
      <c r="A2955" t="s">
        <v>3811</v>
      </c>
      <c r="B2955">
        <v>2100121739</v>
      </c>
      <c r="C2955" t="s">
        <v>650</v>
      </c>
      <c r="D2955" t="s">
        <v>3902</v>
      </c>
      <c r="E2955" t="str">
        <f t="shared" si="46"/>
        <v>Fora2100121739</v>
      </c>
    </row>
    <row r="2956" spans="1:5" x14ac:dyDescent="0.3">
      <c r="A2956" t="s">
        <v>3811</v>
      </c>
      <c r="B2956">
        <v>2100104354</v>
      </c>
      <c r="C2956" t="s">
        <v>2446</v>
      </c>
      <c r="D2956" t="s">
        <v>3903</v>
      </c>
      <c r="E2956" t="str">
        <f t="shared" si="46"/>
        <v>Fora2100104354</v>
      </c>
    </row>
    <row r="2957" spans="1:5" x14ac:dyDescent="0.3">
      <c r="A2957" t="s">
        <v>3811</v>
      </c>
      <c r="B2957">
        <v>2100094126</v>
      </c>
      <c r="C2957" t="s">
        <v>433</v>
      </c>
      <c r="D2957" t="s">
        <v>3904</v>
      </c>
      <c r="E2957" t="str">
        <f t="shared" si="46"/>
        <v>Fora2100094126</v>
      </c>
    </row>
    <row r="2958" spans="1:5" x14ac:dyDescent="0.3">
      <c r="A2958" t="s">
        <v>3811</v>
      </c>
      <c r="B2958">
        <v>2100121737</v>
      </c>
      <c r="C2958" t="s">
        <v>614</v>
      </c>
      <c r="D2958" t="s">
        <v>3905</v>
      </c>
      <c r="E2958" t="str">
        <f t="shared" si="46"/>
        <v>Fora2100121737</v>
      </c>
    </row>
    <row r="2959" spans="1:5" x14ac:dyDescent="0.3">
      <c r="A2959" t="s">
        <v>3811</v>
      </c>
      <c r="B2959">
        <v>2100121732</v>
      </c>
      <c r="C2959" t="s">
        <v>652</v>
      </c>
      <c r="D2959" t="s">
        <v>3906</v>
      </c>
      <c r="E2959" t="str">
        <f t="shared" si="46"/>
        <v>Fora2100121732</v>
      </c>
    </row>
    <row r="2960" spans="1:5" x14ac:dyDescent="0.3">
      <c r="A2960" t="s">
        <v>3811</v>
      </c>
      <c r="B2960">
        <v>2100121738</v>
      </c>
      <c r="C2960" t="s">
        <v>616</v>
      </c>
      <c r="D2960" t="s">
        <v>3907</v>
      </c>
      <c r="E2960" t="str">
        <f t="shared" si="46"/>
        <v>Fora2100121738</v>
      </c>
    </row>
    <row r="2961" spans="1:5" x14ac:dyDescent="0.3">
      <c r="A2961" t="s">
        <v>3811</v>
      </c>
      <c r="B2961">
        <v>2100104353</v>
      </c>
      <c r="C2961" t="s">
        <v>2023</v>
      </c>
      <c r="D2961" t="s">
        <v>3908</v>
      </c>
      <c r="E2961" t="str">
        <f t="shared" si="46"/>
        <v>Fora2100104353</v>
      </c>
    </row>
    <row r="2962" spans="1:5" x14ac:dyDescent="0.3">
      <c r="A2962" t="s">
        <v>3811</v>
      </c>
      <c r="B2962">
        <v>1830005679</v>
      </c>
      <c r="C2962" t="s">
        <v>1894</v>
      </c>
      <c r="D2962" t="s">
        <v>3909</v>
      </c>
      <c r="E2962" t="str">
        <f t="shared" si="46"/>
        <v>Fora1830005679</v>
      </c>
    </row>
    <row r="2963" spans="1:5" x14ac:dyDescent="0.3">
      <c r="A2963" t="s">
        <v>3811</v>
      </c>
      <c r="B2963">
        <v>2100102186</v>
      </c>
      <c r="C2963" t="s">
        <v>841</v>
      </c>
      <c r="D2963" t="s">
        <v>3910</v>
      </c>
      <c r="E2963" t="str">
        <f t="shared" si="46"/>
        <v>Fora2100102186</v>
      </c>
    </row>
    <row r="2964" spans="1:5" x14ac:dyDescent="0.3">
      <c r="A2964" t="s">
        <v>3811</v>
      </c>
      <c r="B2964">
        <v>2100102185</v>
      </c>
      <c r="C2964" t="s">
        <v>1459</v>
      </c>
      <c r="D2964" t="s">
        <v>3911</v>
      </c>
      <c r="E2964" t="str">
        <f t="shared" si="46"/>
        <v>Fora2100102185</v>
      </c>
    </row>
    <row r="2965" spans="1:5" x14ac:dyDescent="0.3">
      <c r="A2965" t="s">
        <v>3811</v>
      </c>
      <c r="B2965">
        <v>2100088431</v>
      </c>
      <c r="C2965" t="s">
        <v>3912</v>
      </c>
      <c r="D2965" t="s">
        <v>3913</v>
      </c>
      <c r="E2965" t="str">
        <f t="shared" si="46"/>
        <v>Fora2100088431</v>
      </c>
    </row>
    <row r="2966" spans="1:5" x14ac:dyDescent="0.3">
      <c r="A2966" t="s">
        <v>3811</v>
      </c>
      <c r="B2966">
        <v>1830007217</v>
      </c>
      <c r="C2966" t="s">
        <v>2040</v>
      </c>
      <c r="D2966" t="s">
        <v>3914</v>
      </c>
      <c r="E2966" t="str">
        <f t="shared" si="46"/>
        <v>Fora1830007217</v>
      </c>
    </row>
    <row r="2967" spans="1:5" x14ac:dyDescent="0.3">
      <c r="A2967" t="s">
        <v>3811</v>
      </c>
      <c r="B2967">
        <v>1830007156</v>
      </c>
      <c r="C2967" t="s">
        <v>411</v>
      </c>
      <c r="D2967" t="s">
        <v>3915</v>
      </c>
      <c r="E2967" t="str">
        <f t="shared" si="46"/>
        <v>Fora1830007156</v>
      </c>
    </row>
    <row r="2968" spans="1:5" x14ac:dyDescent="0.3">
      <c r="A2968" t="s">
        <v>3811</v>
      </c>
      <c r="B2968">
        <v>1830008227</v>
      </c>
      <c r="C2968" t="s">
        <v>10</v>
      </c>
      <c r="D2968" t="s">
        <v>3916</v>
      </c>
      <c r="E2968" t="str">
        <f t="shared" si="46"/>
        <v>Fora1830008227</v>
      </c>
    </row>
    <row r="2969" spans="1:5" x14ac:dyDescent="0.3">
      <c r="A2969" t="s">
        <v>3811</v>
      </c>
      <c r="B2969">
        <v>1830007269</v>
      </c>
      <c r="C2969" t="s">
        <v>1092</v>
      </c>
      <c r="D2969" t="s">
        <v>3917</v>
      </c>
      <c r="E2969" t="str">
        <f t="shared" si="46"/>
        <v>Fora1830007269</v>
      </c>
    </row>
    <row r="2970" spans="1:5" x14ac:dyDescent="0.3">
      <c r="A2970" t="s">
        <v>3811</v>
      </c>
      <c r="B2970">
        <v>1830007686</v>
      </c>
      <c r="C2970" t="s">
        <v>3918</v>
      </c>
      <c r="D2970" t="s">
        <v>3919</v>
      </c>
      <c r="E2970" t="str">
        <f t="shared" si="46"/>
        <v>Fora1830007686</v>
      </c>
    </row>
    <row r="2971" spans="1:5" x14ac:dyDescent="0.3">
      <c r="A2971" t="s">
        <v>3811</v>
      </c>
      <c r="B2971">
        <v>1830004589</v>
      </c>
      <c r="C2971" t="s">
        <v>491</v>
      </c>
      <c r="D2971" t="s">
        <v>3920</v>
      </c>
      <c r="E2971" t="str">
        <f t="shared" si="46"/>
        <v>Fora1830004589</v>
      </c>
    </row>
    <row r="2972" spans="1:5" x14ac:dyDescent="0.3">
      <c r="A2972" t="s">
        <v>3811</v>
      </c>
      <c r="B2972">
        <v>1830006532</v>
      </c>
      <c r="C2972" t="s">
        <v>888</v>
      </c>
      <c r="D2972" t="s">
        <v>3921</v>
      </c>
      <c r="E2972" t="str">
        <f t="shared" si="46"/>
        <v>Fora1830006532</v>
      </c>
    </row>
    <row r="2973" spans="1:5" x14ac:dyDescent="0.3">
      <c r="A2973" t="s">
        <v>3811</v>
      </c>
      <c r="B2973">
        <v>1830007111</v>
      </c>
      <c r="C2973" t="s">
        <v>1075</v>
      </c>
      <c r="D2973" t="s">
        <v>3922</v>
      </c>
      <c r="E2973" t="str">
        <f t="shared" si="46"/>
        <v>Fora1830007111</v>
      </c>
    </row>
    <row r="2974" spans="1:5" x14ac:dyDescent="0.3">
      <c r="A2974" t="s">
        <v>3811</v>
      </c>
      <c r="B2974">
        <v>1830003867</v>
      </c>
      <c r="C2974" t="s">
        <v>482</v>
      </c>
      <c r="D2974" t="s">
        <v>3923</v>
      </c>
      <c r="E2974" t="str">
        <f t="shared" si="46"/>
        <v>Fora1830003867</v>
      </c>
    </row>
    <row r="2975" spans="1:5" x14ac:dyDescent="0.3">
      <c r="A2975" t="s">
        <v>3811</v>
      </c>
      <c r="B2975">
        <v>1830005197</v>
      </c>
      <c r="C2975" t="s">
        <v>529</v>
      </c>
      <c r="D2975" t="s">
        <v>3924</v>
      </c>
      <c r="E2975" t="str">
        <f t="shared" si="46"/>
        <v>Fora1830005197</v>
      </c>
    </row>
    <row r="2976" spans="1:5" x14ac:dyDescent="0.3">
      <c r="A2976" t="s">
        <v>3811</v>
      </c>
      <c r="B2976">
        <v>1830007105</v>
      </c>
      <c r="C2976" t="s">
        <v>355</v>
      </c>
      <c r="D2976" t="s">
        <v>3925</v>
      </c>
      <c r="E2976" t="str">
        <f t="shared" si="46"/>
        <v>Fora1830007105</v>
      </c>
    </row>
    <row r="2977" spans="1:5" x14ac:dyDescent="0.3">
      <c r="A2977" t="s">
        <v>3811</v>
      </c>
      <c r="B2977">
        <v>2027443120</v>
      </c>
      <c r="C2977">
        <v>2744312</v>
      </c>
      <c r="D2977" t="s">
        <v>3926</v>
      </c>
      <c r="E2977" t="str">
        <f t="shared" si="46"/>
        <v>Fora2027443120</v>
      </c>
    </row>
    <row r="2978" spans="1:5" x14ac:dyDescent="0.3">
      <c r="A2978" t="s">
        <v>3811</v>
      </c>
      <c r="B2978">
        <v>2100102192</v>
      </c>
      <c r="C2978" t="s">
        <v>2864</v>
      </c>
      <c r="D2978" t="s">
        <v>3927</v>
      </c>
      <c r="E2978" t="str">
        <f t="shared" si="46"/>
        <v>Fora2100102192</v>
      </c>
    </row>
    <row r="2979" spans="1:5" x14ac:dyDescent="0.3">
      <c r="A2979" t="s">
        <v>3811</v>
      </c>
      <c r="B2979">
        <v>2100098999</v>
      </c>
      <c r="C2979" t="s">
        <v>3928</v>
      </c>
      <c r="D2979" t="s">
        <v>3929</v>
      </c>
      <c r="E2979" t="str">
        <f t="shared" si="46"/>
        <v>Fora2100098999</v>
      </c>
    </row>
    <row r="2980" spans="1:5" x14ac:dyDescent="0.3">
      <c r="A2980" t="s">
        <v>3811</v>
      </c>
      <c r="B2980">
        <v>2211400904</v>
      </c>
      <c r="C2980" t="s">
        <v>3930</v>
      </c>
      <c r="D2980" t="s">
        <v>3931</v>
      </c>
      <c r="E2980" t="str">
        <f t="shared" si="46"/>
        <v>Fora2211400904</v>
      </c>
    </row>
    <row r="2981" spans="1:5" x14ac:dyDescent="0.3">
      <c r="A2981" t="s">
        <v>3811</v>
      </c>
      <c r="B2981">
        <v>2211400795</v>
      </c>
      <c r="C2981" t="s">
        <v>3932</v>
      </c>
      <c r="D2981" t="s">
        <v>3933</v>
      </c>
      <c r="E2981" t="str">
        <f t="shared" si="46"/>
        <v>Fora2211400795</v>
      </c>
    </row>
    <row r="2982" spans="1:5" x14ac:dyDescent="0.3">
      <c r="A2982" t="s">
        <v>3811</v>
      </c>
      <c r="B2982">
        <v>2211400854</v>
      </c>
      <c r="C2982" t="s">
        <v>29</v>
      </c>
      <c r="D2982" t="s">
        <v>3934</v>
      </c>
      <c r="E2982" t="str">
        <f t="shared" si="46"/>
        <v>Fora2211400854</v>
      </c>
    </row>
    <row r="2983" spans="1:5" x14ac:dyDescent="0.3">
      <c r="A2983" t="s">
        <v>3811</v>
      </c>
      <c r="B2983">
        <v>2211401018</v>
      </c>
      <c r="C2983" t="s">
        <v>2470</v>
      </c>
      <c r="D2983" t="s">
        <v>3935</v>
      </c>
      <c r="E2983" t="str">
        <f t="shared" si="46"/>
        <v>Fora2211401018</v>
      </c>
    </row>
    <row r="2984" spans="1:5" x14ac:dyDescent="0.3">
      <c r="A2984" t="s">
        <v>3811</v>
      </c>
      <c r="B2984">
        <v>2211401014</v>
      </c>
      <c r="C2984" t="s">
        <v>371</v>
      </c>
      <c r="D2984" t="s">
        <v>3936</v>
      </c>
      <c r="E2984" t="str">
        <f t="shared" si="46"/>
        <v>Fora2211401014</v>
      </c>
    </row>
    <row r="2985" spans="1:5" x14ac:dyDescent="0.3">
      <c r="A2985" t="s">
        <v>3811</v>
      </c>
      <c r="B2985">
        <v>2211401014</v>
      </c>
      <c r="C2985" t="s">
        <v>371</v>
      </c>
      <c r="D2985" t="s">
        <v>3937</v>
      </c>
      <c r="E2985" t="str">
        <f t="shared" si="46"/>
        <v>Fora2211401014</v>
      </c>
    </row>
    <row r="2986" spans="1:5" x14ac:dyDescent="0.3">
      <c r="A2986" t="s">
        <v>3811</v>
      </c>
      <c r="B2986">
        <v>2211400444</v>
      </c>
      <c r="C2986" t="s">
        <v>2894</v>
      </c>
      <c r="D2986" t="s">
        <v>3938</v>
      </c>
      <c r="E2986" t="str">
        <f t="shared" si="46"/>
        <v>Fora2211400444</v>
      </c>
    </row>
    <row r="2987" spans="1:5" x14ac:dyDescent="0.3">
      <c r="A2987" t="s">
        <v>3811</v>
      </c>
      <c r="B2987">
        <v>2211400921</v>
      </c>
      <c r="C2987" t="s">
        <v>33</v>
      </c>
      <c r="D2987" t="s">
        <v>3939</v>
      </c>
      <c r="E2987" t="str">
        <f t="shared" si="46"/>
        <v>Fora2211400921</v>
      </c>
    </row>
    <row r="2988" spans="1:5" x14ac:dyDescent="0.3">
      <c r="A2988" t="s">
        <v>3811</v>
      </c>
      <c r="B2988">
        <v>2211400769</v>
      </c>
      <c r="C2988" t="s">
        <v>1189</v>
      </c>
      <c r="D2988" t="s">
        <v>3940</v>
      </c>
      <c r="E2988" t="str">
        <f t="shared" si="46"/>
        <v>Fora2211400769</v>
      </c>
    </row>
    <row r="2989" spans="1:5" x14ac:dyDescent="0.3">
      <c r="A2989" t="s">
        <v>3811</v>
      </c>
      <c r="B2989">
        <v>2100090225</v>
      </c>
      <c r="C2989" t="s">
        <v>3941</v>
      </c>
      <c r="D2989" t="s">
        <v>3942</v>
      </c>
      <c r="E2989" t="str">
        <f t="shared" si="46"/>
        <v>Fora2100090225</v>
      </c>
    </row>
    <row r="2990" spans="1:5" x14ac:dyDescent="0.3">
      <c r="A2990" t="s">
        <v>3811</v>
      </c>
      <c r="B2990">
        <v>2100090224</v>
      </c>
      <c r="C2990" t="s">
        <v>2412</v>
      </c>
      <c r="D2990" t="s">
        <v>3943</v>
      </c>
      <c r="E2990" t="str">
        <f t="shared" si="46"/>
        <v>Fora2100090224</v>
      </c>
    </row>
    <row r="2991" spans="1:5" x14ac:dyDescent="0.3">
      <c r="A2991" t="s">
        <v>3811</v>
      </c>
      <c r="B2991">
        <v>9100036465</v>
      </c>
      <c r="C2991">
        <v>4192124</v>
      </c>
      <c r="D2991" t="s">
        <v>3944</v>
      </c>
      <c r="E2991" t="str">
        <f t="shared" si="46"/>
        <v>Fora9100036465</v>
      </c>
    </row>
    <row r="2992" spans="1:5" x14ac:dyDescent="0.3">
      <c r="A2992" t="s">
        <v>3811</v>
      </c>
      <c r="B2992">
        <v>9100036466</v>
      </c>
      <c r="C2992">
        <v>4192126</v>
      </c>
      <c r="D2992" t="s">
        <v>3945</v>
      </c>
      <c r="E2992" t="str">
        <f t="shared" si="46"/>
        <v>Fora9100036466</v>
      </c>
    </row>
    <row r="2993" spans="1:5" x14ac:dyDescent="0.3">
      <c r="A2993" t="s">
        <v>3811</v>
      </c>
      <c r="B2993">
        <v>9100036467</v>
      </c>
      <c r="C2993">
        <v>4192128</v>
      </c>
      <c r="D2993" t="s">
        <v>3946</v>
      </c>
      <c r="E2993" t="str">
        <f t="shared" si="46"/>
        <v>Fora9100036467</v>
      </c>
    </row>
    <row r="2994" spans="1:5" x14ac:dyDescent="0.3">
      <c r="A2994" t="s">
        <v>3811</v>
      </c>
      <c r="B2994">
        <v>2100094926</v>
      </c>
      <c r="C2994" t="s">
        <v>630</v>
      </c>
      <c r="D2994" t="s">
        <v>3947</v>
      </c>
      <c r="E2994" t="str">
        <f t="shared" si="46"/>
        <v>Fora2100094926</v>
      </c>
    </row>
    <row r="2995" spans="1:5" x14ac:dyDescent="0.3">
      <c r="A2995" t="s">
        <v>3811</v>
      </c>
      <c r="B2995">
        <v>2100095878</v>
      </c>
      <c r="C2995" t="s">
        <v>632</v>
      </c>
      <c r="D2995" t="s">
        <v>3948</v>
      </c>
      <c r="E2995" t="str">
        <f t="shared" si="46"/>
        <v>Fora2100095878</v>
      </c>
    </row>
    <row r="2996" spans="1:5" x14ac:dyDescent="0.3">
      <c r="A2996" t="s">
        <v>3811</v>
      </c>
      <c r="B2996">
        <v>2100095879</v>
      </c>
      <c r="C2996" t="s">
        <v>2438</v>
      </c>
      <c r="D2996" t="s">
        <v>3949</v>
      </c>
      <c r="E2996" t="str">
        <f t="shared" si="46"/>
        <v>Fora2100095879</v>
      </c>
    </row>
    <row r="2997" spans="1:5" x14ac:dyDescent="0.3">
      <c r="A2997" t="s">
        <v>3811</v>
      </c>
      <c r="B2997">
        <v>2100094922</v>
      </c>
      <c r="C2997" t="s">
        <v>634</v>
      </c>
      <c r="D2997" t="s">
        <v>3950</v>
      </c>
      <c r="E2997" t="str">
        <f t="shared" si="46"/>
        <v>Fora2100094922</v>
      </c>
    </row>
    <row r="2998" spans="1:5" x14ac:dyDescent="0.3">
      <c r="A2998" t="s">
        <v>3811</v>
      </c>
      <c r="B2998">
        <v>2100094924</v>
      </c>
      <c r="C2998" t="s">
        <v>2159</v>
      </c>
      <c r="D2998" t="s">
        <v>3951</v>
      </c>
      <c r="E2998" t="str">
        <f t="shared" si="46"/>
        <v>Fora2100094924</v>
      </c>
    </row>
    <row r="2999" spans="1:5" x14ac:dyDescent="0.3">
      <c r="A2999" t="s">
        <v>3811</v>
      </c>
      <c r="B2999">
        <v>2100094923</v>
      </c>
      <c r="C2999" t="s">
        <v>636</v>
      </c>
      <c r="D2999" t="s">
        <v>3952</v>
      </c>
      <c r="E2999" t="str">
        <f t="shared" si="46"/>
        <v>Fora2100094923</v>
      </c>
    </row>
    <row r="3000" spans="1:5" x14ac:dyDescent="0.3">
      <c r="A3000" t="s">
        <v>3811</v>
      </c>
      <c r="B3000">
        <v>8010000557</v>
      </c>
      <c r="C3000" t="s">
        <v>2174</v>
      </c>
      <c r="D3000" t="s">
        <v>3953</v>
      </c>
      <c r="E3000" t="str">
        <f t="shared" si="46"/>
        <v>Fora8010000557</v>
      </c>
    </row>
    <row r="3001" spans="1:5" x14ac:dyDescent="0.3">
      <c r="A3001" t="s">
        <v>3811</v>
      </c>
      <c r="B3001">
        <v>1500636319</v>
      </c>
      <c r="C3001" t="s">
        <v>505</v>
      </c>
      <c r="D3001" t="s">
        <v>3954</v>
      </c>
      <c r="E3001" t="str">
        <f t="shared" si="46"/>
        <v>Fora1500636319</v>
      </c>
    </row>
    <row r="3002" spans="1:5" x14ac:dyDescent="0.3">
      <c r="A3002" t="s">
        <v>3811</v>
      </c>
      <c r="B3002">
        <v>1510001948</v>
      </c>
      <c r="C3002" t="s">
        <v>857</v>
      </c>
      <c r="D3002" t="s">
        <v>3955</v>
      </c>
      <c r="E3002" t="str">
        <f t="shared" si="46"/>
        <v>Fora1510001948</v>
      </c>
    </row>
    <row r="3003" spans="1:5" x14ac:dyDescent="0.3">
      <c r="A3003" t="s">
        <v>3811</v>
      </c>
      <c r="B3003">
        <v>8000035621</v>
      </c>
      <c r="C3003" t="s">
        <v>1365</v>
      </c>
      <c r="D3003" t="s">
        <v>3956</v>
      </c>
      <c r="E3003" t="str">
        <f t="shared" si="46"/>
        <v>Fora8000035621</v>
      </c>
    </row>
    <row r="3004" spans="1:5" x14ac:dyDescent="0.3">
      <c r="A3004" t="s">
        <v>3811</v>
      </c>
      <c r="B3004">
        <v>9100036415</v>
      </c>
      <c r="C3004">
        <v>4190224</v>
      </c>
      <c r="D3004" t="s">
        <v>3957</v>
      </c>
      <c r="E3004" t="str">
        <f t="shared" si="46"/>
        <v>Fora9100036415</v>
      </c>
    </row>
    <row r="3005" spans="1:5" x14ac:dyDescent="0.3">
      <c r="A3005" t="s">
        <v>3811</v>
      </c>
      <c r="B3005">
        <v>1830007933</v>
      </c>
      <c r="C3005" t="s">
        <v>98</v>
      </c>
      <c r="D3005" t="s">
        <v>3958</v>
      </c>
      <c r="E3005" t="str">
        <f t="shared" si="46"/>
        <v>Fora1830007933</v>
      </c>
    </row>
    <row r="3006" spans="1:5" x14ac:dyDescent="0.3">
      <c r="A3006" t="s">
        <v>3811</v>
      </c>
      <c r="B3006">
        <v>1500635821</v>
      </c>
      <c r="C3006" t="s">
        <v>1373</v>
      </c>
      <c r="D3006" t="s">
        <v>3959</v>
      </c>
      <c r="E3006" t="str">
        <f t="shared" si="46"/>
        <v>Fora1500635821</v>
      </c>
    </row>
    <row r="3007" spans="1:5" x14ac:dyDescent="0.3">
      <c r="A3007" t="s">
        <v>3811</v>
      </c>
      <c r="B3007">
        <v>2100068613</v>
      </c>
      <c r="C3007" t="s">
        <v>484</v>
      </c>
      <c r="D3007" t="s">
        <v>3960</v>
      </c>
      <c r="E3007" t="str">
        <f t="shared" si="46"/>
        <v>Fora2100068613</v>
      </c>
    </row>
    <row r="3008" spans="1:5" x14ac:dyDescent="0.3">
      <c r="A3008" t="s">
        <v>3811</v>
      </c>
      <c r="B3008">
        <v>1830007634</v>
      </c>
      <c r="C3008" t="s">
        <v>2202</v>
      </c>
      <c r="D3008" t="s">
        <v>3961</v>
      </c>
      <c r="E3008" t="str">
        <f t="shared" si="46"/>
        <v>Fora1830007634</v>
      </c>
    </row>
    <row r="3009" spans="1:5" x14ac:dyDescent="0.3">
      <c r="A3009" t="s">
        <v>3811</v>
      </c>
      <c r="B3009">
        <v>1830007247</v>
      </c>
      <c r="C3009" t="s">
        <v>2204</v>
      </c>
      <c r="D3009" t="s">
        <v>3962</v>
      </c>
      <c r="E3009" t="str">
        <f t="shared" si="46"/>
        <v>Fora1830007247</v>
      </c>
    </row>
    <row r="3010" spans="1:5" x14ac:dyDescent="0.3">
      <c r="A3010" t="s">
        <v>3811</v>
      </c>
      <c r="B3010">
        <v>2100102194</v>
      </c>
      <c r="C3010" t="s">
        <v>2750</v>
      </c>
      <c r="D3010" t="s">
        <v>3963</v>
      </c>
      <c r="E3010" t="str">
        <f t="shared" si="46"/>
        <v>Fora2100102194</v>
      </c>
    </row>
    <row r="3011" spans="1:5" x14ac:dyDescent="0.3">
      <c r="A3011" t="s">
        <v>3811</v>
      </c>
      <c r="B3011">
        <v>2027447120</v>
      </c>
      <c r="C3011">
        <v>2744712</v>
      </c>
      <c r="D3011" t="s">
        <v>3964</v>
      </c>
      <c r="E3011" t="str">
        <f t="shared" ref="E3011:E3074" si="47">A3011&amp;B3011</f>
        <v>Fora2027447120</v>
      </c>
    </row>
    <row r="3012" spans="1:5" x14ac:dyDescent="0.3">
      <c r="A3012" t="s">
        <v>3811</v>
      </c>
      <c r="B3012">
        <v>8000035379</v>
      </c>
      <c r="C3012" t="s">
        <v>2210</v>
      </c>
      <c r="D3012" t="s">
        <v>3965</v>
      </c>
      <c r="E3012" t="str">
        <f t="shared" si="47"/>
        <v>Fora8000035379</v>
      </c>
    </row>
    <row r="3013" spans="1:5" x14ac:dyDescent="0.3">
      <c r="A3013" t="s">
        <v>3811</v>
      </c>
      <c r="B3013">
        <v>7211002582</v>
      </c>
      <c r="C3013" t="s">
        <v>3966</v>
      </c>
      <c r="D3013" t="s">
        <v>3967</v>
      </c>
      <c r="E3013" t="str">
        <f t="shared" si="47"/>
        <v>Fora7211002582</v>
      </c>
    </row>
    <row r="3014" spans="1:5" x14ac:dyDescent="0.3">
      <c r="A3014" t="s">
        <v>3811</v>
      </c>
      <c r="B3014">
        <v>8000035883</v>
      </c>
      <c r="C3014" t="s">
        <v>2641</v>
      </c>
      <c r="D3014" t="s">
        <v>3968</v>
      </c>
      <c r="E3014" t="str">
        <f t="shared" si="47"/>
        <v>Fora8000035883</v>
      </c>
    </row>
    <row r="3015" spans="1:5" x14ac:dyDescent="0.3">
      <c r="A3015" t="s">
        <v>3811</v>
      </c>
      <c r="B3015">
        <v>1830008216</v>
      </c>
      <c r="C3015" t="s">
        <v>1439</v>
      </c>
      <c r="D3015" t="s">
        <v>3969</v>
      </c>
      <c r="E3015" t="str">
        <f t="shared" si="47"/>
        <v>Fora1830008216</v>
      </c>
    </row>
    <row r="3016" spans="1:5" x14ac:dyDescent="0.3">
      <c r="A3016" t="s">
        <v>3811</v>
      </c>
      <c r="B3016">
        <v>1830008213</v>
      </c>
      <c r="C3016" t="s">
        <v>1513</v>
      </c>
      <c r="D3016" t="s">
        <v>3970</v>
      </c>
      <c r="E3016" t="str">
        <f t="shared" si="47"/>
        <v>Fora1830008213</v>
      </c>
    </row>
    <row r="3017" spans="1:5" x14ac:dyDescent="0.3">
      <c r="A3017" t="s">
        <v>3811</v>
      </c>
      <c r="B3017">
        <v>1830006329</v>
      </c>
      <c r="C3017" t="s">
        <v>678</v>
      </c>
      <c r="D3017" t="s">
        <v>3971</v>
      </c>
      <c r="E3017" t="str">
        <f t="shared" si="47"/>
        <v>Fora1830006329</v>
      </c>
    </row>
    <row r="3018" spans="1:5" x14ac:dyDescent="0.3">
      <c r="A3018" t="s">
        <v>3811</v>
      </c>
      <c r="B3018">
        <v>1830007569</v>
      </c>
      <c r="C3018" t="s">
        <v>1612</v>
      </c>
      <c r="D3018" t="s">
        <v>3972</v>
      </c>
      <c r="E3018" t="str">
        <f t="shared" si="47"/>
        <v>Fora1830007569</v>
      </c>
    </row>
    <row r="3019" spans="1:5" x14ac:dyDescent="0.3">
      <c r="A3019" t="s">
        <v>3811</v>
      </c>
      <c r="B3019">
        <v>1830007849</v>
      </c>
      <c r="C3019" t="s">
        <v>1709</v>
      </c>
      <c r="D3019" t="s">
        <v>3973</v>
      </c>
      <c r="E3019" t="str">
        <f t="shared" si="47"/>
        <v>Fora1830007849</v>
      </c>
    </row>
    <row r="3020" spans="1:5" x14ac:dyDescent="0.3">
      <c r="A3020" t="s">
        <v>3811</v>
      </c>
      <c r="B3020">
        <v>1830008461</v>
      </c>
      <c r="C3020" t="s">
        <v>424</v>
      </c>
      <c r="D3020" t="s">
        <v>3974</v>
      </c>
      <c r="E3020" t="str">
        <f t="shared" si="47"/>
        <v>Fora1830008461</v>
      </c>
    </row>
    <row r="3021" spans="1:5" x14ac:dyDescent="0.3">
      <c r="A3021" t="s">
        <v>3811</v>
      </c>
      <c r="B3021">
        <v>1830007642</v>
      </c>
      <c r="C3021" t="s">
        <v>1155</v>
      </c>
      <c r="D3021" t="s">
        <v>3975</v>
      </c>
      <c r="E3021" t="str">
        <f t="shared" si="47"/>
        <v>Fora1830007642</v>
      </c>
    </row>
    <row r="3022" spans="1:5" x14ac:dyDescent="0.3">
      <c r="A3022" t="s">
        <v>3811</v>
      </c>
      <c r="B3022">
        <v>1830007868</v>
      </c>
      <c r="C3022" t="s">
        <v>1158</v>
      </c>
      <c r="D3022" t="s">
        <v>3976</v>
      </c>
      <c r="E3022" t="str">
        <f t="shared" si="47"/>
        <v>Fora1830007868</v>
      </c>
    </row>
    <row r="3023" spans="1:5" x14ac:dyDescent="0.3">
      <c r="A3023" t="s">
        <v>3811</v>
      </c>
      <c r="B3023">
        <v>1830007716</v>
      </c>
      <c r="C3023" t="s">
        <v>1160</v>
      </c>
      <c r="D3023" t="s">
        <v>3977</v>
      </c>
      <c r="E3023" t="str">
        <f t="shared" si="47"/>
        <v>Fora1830007716</v>
      </c>
    </row>
    <row r="3024" spans="1:5" x14ac:dyDescent="0.3">
      <c r="A3024" t="s">
        <v>3811</v>
      </c>
      <c r="B3024">
        <v>1830007715</v>
      </c>
      <c r="C3024" t="s">
        <v>409</v>
      </c>
      <c r="D3024" t="s">
        <v>3978</v>
      </c>
      <c r="E3024" t="str">
        <f t="shared" si="47"/>
        <v>Fora1830007715</v>
      </c>
    </row>
    <row r="3025" spans="1:5" x14ac:dyDescent="0.3">
      <c r="A3025" t="s">
        <v>3811</v>
      </c>
      <c r="B3025">
        <v>1830007809</v>
      </c>
      <c r="C3025" t="s">
        <v>410</v>
      </c>
      <c r="D3025" t="s">
        <v>3979</v>
      </c>
      <c r="E3025" t="str">
        <f t="shared" si="47"/>
        <v>Fora1830007809</v>
      </c>
    </row>
    <row r="3026" spans="1:5" x14ac:dyDescent="0.3">
      <c r="A3026" t="s">
        <v>3811</v>
      </c>
      <c r="B3026">
        <v>1830006582</v>
      </c>
      <c r="C3026" t="s">
        <v>1084</v>
      </c>
      <c r="D3026" t="s">
        <v>3980</v>
      </c>
      <c r="E3026" t="str">
        <f t="shared" si="47"/>
        <v>Fora1830006582</v>
      </c>
    </row>
    <row r="3027" spans="1:5" x14ac:dyDescent="0.3">
      <c r="A3027" t="s">
        <v>3811</v>
      </c>
      <c r="B3027">
        <v>1830007804</v>
      </c>
      <c r="C3027" t="s">
        <v>1419</v>
      </c>
      <c r="D3027" t="s">
        <v>3981</v>
      </c>
      <c r="E3027" t="str">
        <f t="shared" si="47"/>
        <v>Fora1830007804</v>
      </c>
    </row>
    <row r="3028" spans="1:5" x14ac:dyDescent="0.3">
      <c r="A3028" t="s">
        <v>3811</v>
      </c>
      <c r="B3028">
        <v>1830006016</v>
      </c>
      <c r="C3028" t="s">
        <v>706</v>
      </c>
      <c r="D3028" t="s">
        <v>3982</v>
      </c>
      <c r="E3028" t="str">
        <f t="shared" si="47"/>
        <v>Fora1830006016</v>
      </c>
    </row>
    <row r="3029" spans="1:5" x14ac:dyDescent="0.3">
      <c r="A3029" t="s">
        <v>3811</v>
      </c>
      <c r="B3029">
        <v>1830008557</v>
      </c>
      <c r="C3029" t="s">
        <v>1631</v>
      </c>
      <c r="D3029" t="s">
        <v>3983</v>
      </c>
      <c r="E3029" t="str">
        <f t="shared" si="47"/>
        <v>Fora1830008557</v>
      </c>
    </row>
    <row r="3030" spans="1:5" x14ac:dyDescent="0.3">
      <c r="A3030" t="s">
        <v>3811</v>
      </c>
      <c r="B3030">
        <v>1830006239</v>
      </c>
      <c r="C3030" t="s">
        <v>2682</v>
      </c>
      <c r="D3030" t="s">
        <v>3984</v>
      </c>
      <c r="E3030" t="str">
        <f t="shared" si="47"/>
        <v>Fora1830006239</v>
      </c>
    </row>
    <row r="3031" spans="1:5" x14ac:dyDescent="0.3">
      <c r="A3031" t="s">
        <v>3811</v>
      </c>
      <c r="B3031">
        <v>1830008144</v>
      </c>
      <c r="C3031" t="s">
        <v>97</v>
      </c>
      <c r="D3031" t="s">
        <v>3985</v>
      </c>
      <c r="E3031" t="str">
        <f t="shared" si="47"/>
        <v>Fora1830008144</v>
      </c>
    </row>
    <row r="3032" spans="1:5" x14ac:dyDescent="0.3">
      <c r="A3032" t="s">
        <v>3811</v>
      </c>
      <c r="B3032">
        <v>1830003934</v>
      </c>
      <c r="C3032" t="s">
        <v>921</v>
      </c>
      <c r="D3032" t="s">
        <v>3986</v>
      </c>
      <c r="E3032" t="str">
        <f t="shared" si="47"/>
        <v>Fora1830003934</v>
      </c>
    </row>
    <row r="3033" spans="1:5" x14ac:dyDescent="0.3">
      <c r="A3033" t="s">
        <v>3811</v>
      </c>
      <c r="B3033">
        <v>1830007113</v>
      </c>
      <c r="C3033" t="s">
        <v>3987</v>
      </c>
      <c r="D3033" t="s">
        <v>3988</v>
      </c>
      <c r="E3033" t="str">
        <f t="shared" si="47"/>
        <v>Fora1830007113</v>
      </c>
    </row>
    <row r="3034" spans="1:5" x14ac:dyDescent="0.3">
      <c r="A3034" t="s">
        <v>3811</v>
      </c>
      <c r="B3034">
        <v>2100104676</v>
      </c>
      <c r="C3034" t="s">
        <v>839</v>
      </c>
      <c r="D3034" t="s">
        <v>3989</v>
      </c>
      <c r="E3034" t="str">
        <f t="shared" si="47"/>
        <v>Fora2100104676</v>
      </c>
    </row>
    <row r="3035" spans="1:5" x14ac:dyDescent="0.3">
      <c r="A3035" t="s">
        <v>3811</v>
      </c>
      <c r="B3035">
        <v>2100075393</v>
      </c>
      <c r="C3035" t="s">
        <v>3990</v>
      </c>
      <c r="D3035" t="s">
        <v>3991</v>
      </c>
      <c r="E3035" t="str">
        <f t="shared" si="47"/>
        <v>Fora2100075393</v>
      </c>
    </row>
    <row r="3036" spans="1:5" x14ac:dyDescent="0.3">
      <c r="A3036" t="s">
        <v>3811</v>
      </c>
      <c r="B3036">
        <v>2100098995</v>
      </c>
      <c r="C3036" t="s">
        <v>654</v>
      </c>
      <c r="D3036" t="s">
        <v>3992</v>
      </c>
      <c r="E3036" t="str">
        <f t="shared" si="47"/>
        <v>Fora2100098995</v>
      </c>
    </row>
    <row r="3037" spans="1:5" x14ac:dyDescent="0.3">
      <c r="A3037" t="s">
        <v>3811</v>
      </c>
      <c r="B3037">
        <v>2100098996</v>
      </c>
      <c r="C3037" t="s">
        <v>656</v>
      </c>
      <c r="D3037" t="s">
        <v>3993</v>
      </c>
      <c r="E3037" t="str">
        <f t="shared" si="47"/>
        <v>Fora2100098996</v>
      </c>
    </row>
    <row r="3038" spans="1:5" x14ac:dyDescent="0.3">
      <c r="A3038" t="s">
        <v>3811</v>
      </c>
      <c r="B3038">
        <v>7211002269</v>
      </c>
      <c r="C3038" t="s">
        <v>1079</v>
      </c>
      <c r="D3038" t="s">
        <v>3994</v>
      </c>
      <c r="E3038" t="str">
        <f t="shared" si="47"/>
        <v>Fora7211002269</v>
      </c>
    </row>
    <row r="3039" spans="1:5" x14ac:dyDescent="0.3">
      <c r="A3039" t="s">
        <v>3811</v>
      </c>
      <c r="B3039">
        <v>2027445120</v>
      </c>
      <c r="C3039">
        <v>2744512</v>
      </c>
      <c r="D3039" t="s">
        <v>3995</v>
      </c>
      <c r="E3039" t="str">
        <f t="shared" si="47"/>
        <v>Fora2027445120</v>
      </c>
    </row>
    <row r="3040" spans="1:5" x14ac:dyDescent="0.3">
      <c r="A3040" t="s">
        <v>3811</v>
      </c>
      <c r="B3040">
        <v>2027453120</v>
      </c>
      <c r="C3040">
        <v>2745312</v>
      </c>
      <c r="D3040" t="s">
        <v>3996</v>
      </c>
      <c r="E3040" t="str">
        <f t="shared" si="47"/>
        <v>Fora2027453120</v>
      </c>
    </row>
    <row r="3041" spans="1:5" x14ac:dyDescent="0.3">
      <c r="A3041" t="s">
        <v>3811</v>
      </c>
      <c r="B3041">
        <v>1830004590</v>
      </c>
      <c r="C3041" t="s">
        <v>3997</v>
      </c>
      <c r="D3041" t="s">
        <v>3998</v>
      </c>
      <c r="E3041" t="str">
        <f t="shared" si="47"/>
        <v>Fora1830004590</v>
      </c>
    </row>
    <row r="3042" spans="1:5" x14ac:dyDescent="0.3">
      <c r="A3042" t="s">
        <v>3811</v>
      </c>
      <c r="B3042">
        <v>8000035667</v>
      </c>
      <c r="C3042" t="s">
        <v>2352</v>
      </c>
      <c r="D3042" t="s">
        <v>3999</v>
      </c>
      <c r="E3042" t="str">
        <f t="shared" si="47"/>
        <v>Fora8000035667</v>
      </c>
    </row>
    <row r="3043" spans="1:5" x14ac:dyDescent="0.3">
      <c r="A3043" t="s">
        <v>3811</v>
      </c>
      <c r="B3043">
        <v>1510001898</v>
      </c>
      <c r="C3043" t="s">
        <v>1240</v>
      </c>
      <c r="D3043" t="s">
        <v>4000</v>
      </c>
      <c r="E3043" t="str">
        <f t="shared" si="47"/>
        <v>Fora1510001898</v>
      </c>
    </row>
    <row r="3044" spans="1:5" x14ac:dyDescent="0.3">
      <c r="A3044" t="s">
        <v>3811</v>
      </c>
      <c r="B3044">
        <v>7211002374</v>
      </c>
      <c r="C3044" t="s">
        <v>813</v>
      </c>
      <c r="D3044" t="s">
        <v>4001</v>
      </c>
      <c r="E3044" t="str">
        <f t="shared" si="47"/>
        <v>Fora7211002374</v>
      </c>
    </row>
    <row r="3045" spans="1:5" x14ac:dyDescent="0.3">
      <c r="A3045" t="s">
        <v>3811</v>
      </c>
      <c r="B3045">
        <v>7211002180</v>
      </c>
      <c r="C3045" t="s">
        <v>568</v>
      </c>
      <c r="D3045" t="s">
        <v>4002</v>
      </c>
      <c r="E3045" t="str">
        <f t="shared" si="47"/>
        <v>Fora7211002180</v>
      </c>
    </row>
    <row r="3046" spans="1:5" x14ac:dyDescent="0.3">
      <c r="A3046" t="s">
        <v>3811</v>
      </c>
      <c r="B3046">
        <v>7211002130</v>
      </c>
      <c r="C3046" t="s">
        <v>2384</v>
      </c>
      <c r="D3046" t="s">
        <v>4003</v>
      </c>
      <c r="E3046" t="str">
        <f t="shared" si="47"/>
        <v>Fora7211002130</v>
      </c>
    </row>
    <row r="3047" spans="1:5" x14ac:dyDescent="0.3">
      <c r="A3047" t="s">
        <v>3811</v>
      </c>
      <c r="B3047">
        <v>7211002851</v>
      </c>
      <c r="C3047" t="s">
        <v>954</v>
      </c>
      <c r="D3047" t="s">
        <v>4004</v>
      </c>
      <c r="E3047" t="str">
        <f t="shared" si="47"/>
        <v>Fora7211002851</v>
      </c>
    </row>
    <row r="3048" spans="1:5" x14ac:dyDescent="0.3">
      <c r="A3048" t="s">
        <v>3811</v>
      </c>
      <c r="B3048">
        <v>8010000464</v>
      </c>
      <c r="C3048" t="s">
        <v>4005</v>
      </c>
      <c r="D3048" t="s">
        <v>4006</v>
      </c>
      <c r="E3048" t="str">
        <f t="shared" si="47"/>
        <v>Fora8010000464</v>
      </c>
    </row>
    <row r="3049" spans="1:5" x14ac:dyDescent="0.3">
      <c r="A3049" t="s">
        <v>3811</v>
      </c>
      <c r="B3049">
        <v>8010000465</v>
      </c>
      <c r="C3049" t="s">
        <v>894</v>
      </c>
      <c r="D3049" t="s">
        <v>4007</v>
      </c>
      <c r="E3049" t="str">
        <f t="shared" si="47"/>
        <v>Fora8010000465</v>
      </c>
    </row>
    <row r="3050" spans="1:5" x14ac:dyDescent="0.3">
      <c r="A3050" t="s">
        <v>3811</v>
      </c>
      <c r="B3050">
        <v>7211002463</v>
      </c>
      <c r="C3050" t="s">
        <v>2388</v>
      </c>
      <c r="D3050" t="s">
        <v>4008</v>
      </c>
      <c r="E3050" t="str">
        <f t="shared" si="47"/>
        <v>Fora7211002463</v>
      </c>
    </row>
    <row r="3051" spans="1:5" x14ac:dyDescent="0.3">
      <c r="A3051" t="s">
        <v>3811</v>
      </c>
      <c r="B3051">
        <v>7211001804</v>
      </c>
      <c r="C3051" t="s">
        <v>2549</v>
      </c>
      <c r="D3051" t="s">
        <v>4009</v>
      </c>
      <c r="E3051" t="str">
        <f t="shared" si="47"/>
        <v>Fora7211001804</v>
      </c>
    </row>
    <row r="3052" spans="1:5" x14ac:dyDescent="0.3">
      <c r="A3052" t="s">
        <v>3811</v>
      </c>
      <c r="B3052">
        <v>7211001263</v>
      </c>
      <c r="C3052" t="s">
        <v>503</v>
      </c>
      <c r="D3052" t="s">
        <v>4010</v>
      </c>
      <c r="E3052" t="str">
        <f t="shared" si="47"/>
        <v>Fora7211001263</v>
      </c>
    </row>
    <row r="3053" spans="1:5" x14ac:dyDescent="0.3">
      <c r="A3053" t="s">
        <v>3811</v>
      </c>
      <c r="B3053">
        <v>7211002472</v>
      </c>
      <c r="C3053" t="s">
        <v>4011</v>
      </c>
      <c r="D3053" t="s">
        <v>4012</v>
      </c>
      <c r="E3053" t="str">
        <f t="shared" si="47"/>
        <v>Fora7211002472</v>
      </c>
    </row>
    <row r="3054" spans="1:5" x14ac:dyDescent="0.3">
      <c r="A3054" t="s">
        <v>3811</v>
      </c>
      <c r="B3054">
        <v>7211001086</v>
      </c>
      <c r="C3054" t="s">
        <v>2547</v>
      </c>
      <c r="D3054" t="s">
        <v>4013</v>
      </c>
      <c r="E3054" t="str">
        <f t="shared" si="47"/>
        <v>Fora7211001086</v>
      </c>
    </row>
    <row r="3055" spans="1:5" x14ac:dyDescent="0.3">
      <c r="A3055" t="s">
        <v>3811</v>
      </c>
      <c r="B3055">
        <v>1830007954</v>
      </c>
      <c r="C3055" t="s">
        <v>2431</v>
      </c>
      <c r="D3055" t="s">
        <v>4014</v>
      </c>
      <c r="E3055" t="str">
        <f t="shared" si="47"/>
        <v>Fora1830007954</v>
      </c>
    </row>
    <row r="3056" spans="1:5" x14ac:dyDescent="0.3">
      <c r="A3056" t="s">
        <v>3811</v>
      </c>
      <c r="B3056">
        <v>1830008007</v>
      </c>
      <c r="C3056" t="s">
        <v>550</v>
      </c>
      <c r="D3056" t="s">
        <v>4015</v>
      </c>
      <c r="E3056" t="str">
        <f t="shared" si="47"/>
        <v>Fora1830008007</v>
      </c>
    </row>
    <row r="3057" spans="1:5" x14ac:dyDescent="0.3">
      <c r="A3057" t="s">
        <v>3811</v>
      </c>
      <c r="B3057">
        <v>1830007977</v>
      </c>
      <c r="C3057" t="s">
        <v>1371</v>
      </c>
      <c r="D3057" t="s">
        <v>4016</v>
      </c>
      <c r="E3057" t="str">
        <f t="shared" si="47"/>
        <v>Fora1830007977</v>
      </c>
    </row>
    <row r="3058" spans="1:5" x14ac:dyDescent="0.3">
      <c r="A3058" t="s">
        <v>4017</v>
      </c>
      <c r="B3058">
        <v>2210014988</v>
      </c>
      <c r="C3058" t="s">
        <v>602</v>
      </c>
      <c r="D3058" t="s">
        <v>4018</v>
      </c>
      <c r="E3058" t="str">
        <f t="shared" si="47"/>
        <v>DNS2210014988</v>
      </c>
    </row>
    <row r="3059" spans="1:5" x14ac:dyDescent="0.3">
      <c r="A3059" t="s">
        <v>4017</v>
      </c>
      <c r="B3059">
        <v>2210018825</v>
      </c>
      <c r="C3059" t="s">
        <v>606</v>
      </c>
      <c r="D3059" t="s">
        <v>4019</v>
      </c>
      <c r="E3059" t="str">
        <f t="shared" si="47"/>
        <v>DNS2210018825</v>
      </c>
    </row>
    <row r="3060" spans="1:5" x14ac:dyDescent="0.3">
      <c r="A3060" t="s">
        <v>4017</v>
      </c>
      <c r="B3060">
        <v>2211400744</v>
      </c>
      <c r="C3060" t="s">
        <v>2324</v>
      </c>
      <c r="D3060" t="s">
        <v>4020</v>
      </c>
      <c r="E3060" t="str">
        <f t="shared" si="47"/>
        <v>DNS2211400744</v>
      </c>
    </row>
    <row r="3061" spans="1:5" x14ac:dyDescent="0.3">
      <c r="A3061" t="s">
        <v>4017</v>
      </c>
      <c r="B3061">
        <v>1600004831</v>
      </c>
      <c r="C3061" t="s">
        <v>604</v>
      </c>
      <c r="D3061" t="s">
        <v>4021</v>
      </c>
      <c r="E3061" t="str">
        <f t="shared" si="47"/>
        <v>DNS1600004831</v>
      </c>
    </row>
    <row r="3062" spans="1:5" x14ac:dyDescent="0.3">
      <c r="A3062" t="s">
        <v>4017</v>
      </c>
      <c r="B3062">
        <v>2211400813</v>
      </c>
      <c r="C3062" t="s">
        <v>1779</v>
      </c>
      <c r="D3062" t="s">
        <v>4022</v>
      </c>
      <c r="E3062" t="str">
        <f t="shared" si="47"/>
        <v>DNS2211400813</v>
      </c>
    </row>
    <row r="3063" spans="1:5" x14ac:dyDescent="0.3">
      <c r="A3063" t="s">
        <v>4017</v>
      </c>
      <c r="B3063">
        <v>2211400878</v>
      </c>
      <c r="C3063" t="s">
        <v>2347</v>
      </c>
      <c r="D3063" t="s">
        <v>4023</v>
      </c>
      <c r="E3063" t="str">
        <f t="shared" si="47"/>
        <v>DNS2211400878</v>
      </c>
    </row>
    <row r="3064" spans="1:5" x14ac:dyDescent="0.3">
      <c r="A3064" t="s">
        <v>4017</v>
      </c>
      <c r="B3064">
        <v>7211004366</v>
      </c>
      <c r="C3064" t="s">
        <v>1381</v>
      </c>
      <c r="D3064" t="s">
        <v>4024</v>
      </c>
      <c r="E3064" t="str">
        <f t="shared" si="47"/>
        <v>DNS7211004366</v>
      </c>
    </row>
    <row r="3065" spans="1:5" x14ac:dyDescent="0.3">
      <c r="A3065" t="s">
        <v>4017</v>
      </c>
      <c r="B3065">
        <v>7211004072</v>
      </c>
      <c r="C3065" t="s">
        <v>1377</v>
      </c>
      <c r="D3065" t="s">
        <v>4025</v>
      </c>
      <c r="E3065" t="str">
        <f t="shared" si="47"/>
        <v>DNS7211004072</v>
      </c>
    </row>
    <row r="3066" spans="1:5" x14ac:dyDescent="0.3">
      <c r="A3066" t="s">
        <v>4017</v>
      </c>
      <c r="B3066">
        <v>7211003955</v>
      </c>
      <c r="C3066" t="s">
        <v>1244</v>
      </c>
      <c r="D3066" t="s">
        <v>4026</v>
      </c>
      <c r="E3066" t="str">
        <f t="shared" si="47"/>
        <v>DNS7211003955</v>
      </c>
    </row>
    <row r="3067" spans="1:5" x14ac:dyDescent="0.3">
      <c r="A3067" t="s">
        <v>4017</v>
      </c>
      <c r="B3067">
        <v>7211002803</v>
      </c>
      <c r="C3067" t="s">
        <v>1141</v>
      </c>
      <c r="D3067" t="s">
        <v>4027</v>
      </c>
      <c r="E3067" t="str">
        <f t="shared" si="47"/>
        <v>DNS7211002803</v>
      </c>
    </row>
    <row r="3068" spans="1:5" x14ac:dyDescent="0.3">
      <c r="A3068" t="s">
        <v>4017</v>
      </c>
      <c r="B3068">
        <v>7211002505</v>
      </c>
      <c r="C3068" t="s">
        <v>680</v>
      </c>
      <c r="D3068" t="s">
        <v>4028</v>
      </c>
      <c r="E3068" t="str">
        <f t="shared" si="47"/>
        <v>DNS7211002505</v>
      </c>
    </row>
    <row r="3069" spans="1:5" x14ac:dyDescent="0.3">
      <c r="A3069" t="s">
        <v>4017</v>
      </c>
      <c r="B3069">
        <v>7211000870</v>
      </c>
      <c r="C3069" t="s">
        <v>776</v>
      </c>
      <c r="D3069" t="s">
        <v>4029</v>
      </c>
      <c r="E3069" t="str">
        <f t="shared" si="47"/>
        <v>DNS7211000870</v>
      </c>
    </row>
    <row r="3070" spans="1:5" x14ac:dyDescent="0.3">
      <c r="A3070" t="s">
        <v>4017</v>
      </c>
      <c r="B3070">
        <v>7211002825</v>
      </c>
      <c r="C3070" t="s">
        <v>1337</v>
      </c>
      <c r="D3070" t="s">
        <v>4030</v>
      </c>
      <c r="E3070" t="str">
        <f t="shared" si="47"/>
        <v>DNS7211002825</v>
      </c>
    </row>
    <row r="3071" spans="1:5" x14ac:dyDescent="0.3">
      <c r="A3071" t="s">
        <v>4017</v>
      </c>
      <c r="B3071">
        <v>7211004244</v>
      </c>
      <c r="C3071" t="s">
        <v>61</v>
      </c>
      <c r="D3071" t="s">
        <v>4031</v>
      </c>
      <c r="E3071" t="str">
        <f t="shared" si="47"/>
        <v>DNS7211004244</v>
      </c>
    </row>
    <row r="3072" spans="1:5" x14ac:dyDescent="0.3">
      <c r="A3072" t="s">
        <v>4017</v>
      </c>
      <c r="B3072">
        <v>7211003925</v>
      </c>
      <c r="C3072" t="s">
        <v>59</v>
      </c>
      <c r="D3072" t="s">
        <v>4032</v>
      </c>
      <c r="E3072" t="str">
        <f t="shared" si="47"/>
        <v>DNS7211003925</v>
      </c>
    </row>
    <row r="3073" spans="1:5" x14ac:dyDescent="0.3">
      <c r="A3073" t="s">
        <v>4017</v>
      </c>
      <c r="B3073">
        <v>7211004274</v>
      </c>
      <c r="C3073" t="s">
        <v>53</v>
      </c>
      <c r="D3073" t="s">
        <v>4033</v>
      </c>
      <c r="E3073" t="str">
        <f t="shared" si="47"/>
        <v>DNS7211004274</v>
      </c>
    </row>
    <row r="3074" spans="1:5" x14ac:dyDescent="0.3">
      <c r="A3074" t="s">
        <v>4017</v>
      </c>
      <c r="B3074">
        <v>7211004054</v>
      </c>
      <c r="C3074" t="s">
        <v>58</v>
      </c>
      <c r="D3074" t="s">
        <v>4034</v>
      </c>
      <c r="E3074" t="str">
        <f t="shared" si="47"/>
        <v>DNS7211004054</v>
      </c>
    </row>
    <row r="3075" spans="1:5" x14ac:dyDescent="0.3">
      <c r="A3075" t="s">
        <v>4017</v>
      </c>
      <c r="B3075">
        <v>7211001147</v>
      </c>
      <c r="C3075" t="s">
        <v>3149</v>
      </c>
      <c r="D3075" t="s">
        <v>4035</v>
      </c>
      <c r="E3075" t="str">
        <f t="shared" ref="E3075:E3138" si="48">A3075&amp;B3075</f>
        <v>DNS7211001147</v>
      </c>
    </row>
    <row r="3076" spans="1:5" x14ac:dyDescent="0.3">
      <c r="A3076" t="s">
        <v>4017</v>
      </c>
      <c r="B3076">
        <v>7211003267</v>
      </c>
      <c r="C3076" t="s">
        <v>1102</v>
      </c>
      <c r="D3076" t="s">
        <v>4036</v>
      </c>
      <c r="E3076" t="str">
        <f t="shared" si="48"/>
        <v>DNS7211003267</v>
      </c>
    </row>
    <row r="3077" spans="1:5" x14ac:dyDescent="0.3">
      <c r="A3077" t="s">
        <v>4017</v>
      </c>
      <c r="B3077">
        <v>7211003001</v>
      </c>
      <c r="C3077" t="s">
        <v>2451</v>
      </c>
      <c r="D3077" t="s">
        <v>4037</v>
      </c>
      <c r="E3077" t="str">
        <f t="shared" si="48"/>
        <v>DNS7211003001</v>
      </c>
    </row>
    <row r="3078" spans="1:5" x14ac:dyDescent="0.3">
      <c r="A3078" t="s">
        <v>4017</v>
      </c>
      <c r="B3078">
        <v>7211003234</v>
      </c>
      <c r="C3078" t="s">
        <v>925</v>
      </c>
      <c r="D3078" t="s">
        <v>4038</v>
      </c>
      <c r="E3078" t="str">
        <f t="shared" si="48"/>
        <v>DNS7211003234</v>
      </c>
    </row>
    <row r="3079" spans="1:5" x14ac:dyDescent="0.3">
      <c r="A3079" t="s">
        <v>4017</v>
      </c>
      <c r="B3079">
        <v>7211002608</v>
      </c>
      <c r="C3079" t="s">
        <v>54</v>
      </c>
      <c r="D3079" t="s">
        <v>4039</v>
      </c>
      <c r="E3079" t="str">
        <f t="shared" si="48"/>
        <v>DNS7211002608</v>
      </c>
    </row>
    <row r="3080" spans="1:5" x14ac:dyDescent="0.3">
      <c r="A3080" t="s">
        <v>4017</v>
      </c>
      <c r="B3080">
        <v>7211004030</v>
      </c>
      <c r="C3080" t="s">
        <v>56</v>
      </c>
      <c r="D3080" t="s">
        <v>4040</v>
      </c>
      <c r="E3080" t="str">
        <f t="shared" si="48"/>
        <v>DNS7211004030</v>
      </c>
    </row>
    <row r="3081" spans="1:5" x14ac:dyDescent="0.3">
      <c r="A3081" t="s">
        <v>4017</v>
      </c>
      <c r="B3081">
        <v>8000036086</v>
      </c>
      <c r="C3081" t="s">
        <v>2198</v>
      </c>
      <c r="D3081" t="s">
        <v>4041</v>
      </c>
      <c r="E3081" t="str">
        <f t="shared" si="48"/>
        <v>DNS8000036086</v>
      </c>
    </row>
    <row r="3082" spans="1:5" x14ac:dyDescent="0.3">
      <c r="A3082" t="s">
        <v>4017</v>
      </c>
      <c r="B3082">
        <v>7211004046</v>
      </c>
      <c r="C3082" t="s">
        <v>1335</v>
      </c>
      <c r="D3082" t="s">
        <v>4042</v>
      </c>
      <c r="E3082" t="str">
        <f t="shared" si="48"/>
        <v>DNS7211004046</v>
      </c>
    </row>
    <row r="3083" spans="1:5" x14ac:dyDescent="0.3">
      <c r="A3083" t="s">
        <v>4017</v>
      </c>
      <c r="B3083">
        <v>7211004259</v>
      </c>
      <c r="C3083" t="s">
        <v>419</v>
      </c>
      <c r="D3083" t="s">
        <v>4043</v>
      </c>
      <c r="E3083" t="str">
        <f t="shared" si="48"/>
        <v>DNS7211004259</v>
      </c>
    </row>
    <row r="3084" spans="1:5" x14ac:dyDescent="0.3">
      <c r="A3084" t="s">
        <v>4017</v>
      </c>
      <c r="B3084">
        <v>7211002493</v>
      </c>
      <c r="C3084" t="s">
        <v>2123</v>
      </c>
      <c r="D3084" t="s">
        <v>4044</v>
      </c>
      <c r="E3084" t="str">
        <f t="shared" si="48"/>
        <v>DNS7211002493</v>
      </c>
    </row>
    <row r="3085" spans="1:5" x14ac:dyDescent="0.3">
      <c r="A3085" t="s">
        <v>4017</v>
      </c>
      <c r="B3085">
        <v>7211003316</v>
      </c>
      <c r="C3085" t="s">
        <v>60</v>
      </c>
      <c r="D3085" t="s">
        <v>4045</v>
      </c>
      <c r="E3085" t="str">
        <f t="shared" si="48"/>
        <v>DNS7211003316</v>
      </c>
    </row>
    <row r="3086" spans="1:5" x14ac:dyDescent="0.3">
      <c r="A3086" t="s">
        <v>4017</v>
      </c>
      <c r="B3086">
        <v>2100080265</v>
      </c>
      <c r="C3086" t="s">
        <v>4046</v>
      </c>
      <c r="D3086" t="s">
        <v>4047</v>
      </c>
      <c r="E3086" t="str">
        <f t="shared" si="48"/>
        <v>DNS2100080265</v>
      </c>
    </row>
    <row r="3087" spans="1:5" x14ac:dyDescent="0.3">
      <c r="A3087" t="s">
        <v>4017</v>
      </c>
      <c r="B3087">
        <v>2100078561</v>
      </c>
      <c r="C3087" t="s">
        <v>4048</v>
      </c>
      <c r="D3087" t="s">
        <v>4049</v>
      </c>
      <c r="E3087" t="str">
        <f t="shared" si="48"/>
        <v>DNS2100078561</v>
      </c>
    </row>
    <row r="3088" spans="1:5" x14ac:dyDescent="0.3">
      <c r="A3088" t="s">
        <v>4017</v>
      </c>
      <c r="B3088">
        <v>2100060368</v>
      </c>
      <c r="C3088" t="s">
        <v>1798</v>
      </c>
      <c r="D3088" t="s">
        <v>4050</v>
      </c>
      <c r="E3088" t="str">
        <f t="shared" si="48"/>
        <v>DNS2100060368</v>
      </c>
    </row>
    <row r="3089" spans="1:5" x14ac:dyDescent="0.3">
      <c r="A3089" t="s">
        <v>4017</v>
      </c>
      <c r="B3089">
        <v>1830007687</v>
      </c>
      <c r="C3089" t="s">
        <v>1402</v>
      </c>
      <c r="D3089" t="s">
        <v>4051</v>
      </c>
      <c r="E3089" t="str">
        <f t="shared" si="48"/>
        <v>DNS1830007687</v>
      </c>
    </row>
    <row r="3090" spans="1:5" x14ac:dyDescent="0.3">
      <c r="A3090" t="s">
        <v>4017</v>
      </c>
      <c r="B3090">
        <v>2100124406</v>
      </c>
      <c r="C3090" t="s">
        <v>4052</v>
      </c>
      <c r="D3090" t="s">
        <v>4053</v>
      </c>
      <c r="E3090" t="str">
        <f t="shared" si="48"/>
        <v>DNS2100124406</v>
      </c>
    </row>
    <row r="3091" spans="1:5" x14ac:dyDescent="0.3">
      <c r="A3091" t="s">
        <v>4017</v>
      </c>
      <c r="B3091">
        <v>1830007671</v>
      </c>
      <c r="C3091" t="s">
        <v>1832</v>
      </c>
      <c r="D3091" t="s">
        <v>4054</v>
      </c>
      <c r="E3091" t="str">
        <f t="shared" si="48"/>
        <v>DNS1830007671</v>
      </c>
    </row>
    <row r="3092" spans="1:5" x14ac:dyDescent="0.3">
      <c r="A3092" t="s">
        <v>4017</v>
      </c>
      <c r="B3092">
        <v>2100099842</v>
      </c>
      <c r="C3092" t="s">
        <v>4055</v>
      </c>
      <c r="D3092" t="s">
        <v>4056</v>
      </c>
      <c r="E3092" t="str">
        <f t="shared" si="48"/>
        <v>DNS2100099842</v>
      </c>
    </row>
    <row r="3093" spans="1:5" x14ac:dyDescent="0.3">
      <c r="A3093" t="s">
        <v>4017</v>
      </c>
      <c r="B3093">
        <v>1830008153</v>
      </c>
      <c r="C3093" t="s">
        <v>4057</v>
      </c>
      <c r="D3093" t="s">
        <v>4058</v>
      </c>
      <c r="E3093" t="str">
        <f t="shared" si="48"/>
        <v>DNS1830008153</v>
      </c>
    </row>
    <row r="3094" spans="1:5" x14ac:dyDescent="0.3">
      <c r="A3094" t="s">
        <v>4017</v>
      </c>
      <c r="B3094">
        <v>2100101299</v>
      </c>
      <c r="C3094" t="s">
        <v>4059</v>
      </c>
      <c r="D3094" t="s">
        <v>4060</v>
      </c>
      <c r="E3094" t="str">
        <f t="shared" si="48"/>
        <v>DNS2100101299</v>
      </c>
    </row>
    <row r="3095" spans="1:5" x14ac:dyDescent="0.3">
      <c r="A3095" t="s">
        <v>4017</v>
      </c>
      <c r="B3095">
        <v>2100101964</v>
      </c>
      <c r="C3095" t="s">
        <v>3828</v>
      </c>
      <c r="D3095" t="s">
        <v>4061</v>
      </c>
      <c r="E3095" t="str">
        <f t="shared" si="48"/>
        <v>DNS2100101964</v>
      </c>
    </row>
    <row r="3096" spans="1:5" x14ac:dyDescent="0.3">
      <c r="A3096" t="s">
        <v>4017</v>
      </c>
      <c r="B3096">
        <v>2100101969</v>
      </c>
      <c r="C3096" t="s">
        <v>4062</v>
      </c>
      <c r="D3096" t="s">
        <v>4063</v>
      </c>
      <c r="E3096" t="str">
        <f t="shared" si="48"/>
        <v>DNS2100101969</v>
      </c>
    </row>
    <row r="3097" spans="1:5" x14ac:dyDescent="0.3">
      <c r="A3097" t="s">
        <v>4017</v>
      </c>
      <c r="B3097">
        <v>2100102482</v>
      </c>
      <c r="C3097" t="s">
        <v>2454</v>
      </c>
      <c r="D3097" t="s">
        <v>4064</v>
      </c>
      <c r="E3097" t="str">
        <f t="shared" si="48"/>
        <v>DNS2100102482</v>
      </c>
    </row>
    <row r="3098" spans="1:5" x14ac:dyDescent="0.3">
      <c r="A3098" t="s">
        <v>4017</v>
      </c>
      <c r="B3098">
        <v>2100110439</v>
      </c>
      <c r="C3098" t="s">
        <v>4065</v>
      </c>
      <c r="D3098" t="s">
        <v>4066</v>
      </c>
      <c r="E3098" t="str">
        <f t="shared" si="48"/>
        <v>DNS2100110439</v>
      </c>
    </row>
    <row r="3099" spans="1:5" x14ac:dyDescent="0.3">
      <c r="A3099" t="s">
        <v>4017</v>
      </c>
      <c r="B3099">
        <v>2100098659</v>
      </c>
      <c r="C3099" t="s">
        <v>1835</v>
      </c>
      <c r="D3099" t="s">
        <v>4067</v>
      </c>
      <c r="E3099" t="str">
        <f t="shared" si="48"/>
        <v>DNS2100098659</v>
      </c>
    </row>
    <row r="3100" spans="1:5" x14ac:dyDescent="0.3">
      <c r="A3100" t="s">
        <v>4017</v>
      </c>
      <c r="B3100">
        <v>2100086098</v>
      </c>
      <c r="C3100" t="s">
        <v>2583</v>
      </c>
      <c r="D3100" t="s">
        <v>4068</v>
      </c>
      <c r="E3100" t="str">
        <f t="shared" si="48"/>
        <v>DNS2100086098</v>
      </c>
    </row>
    <row r="3101" spans="1:5" x14ac:dyDescent="0.3">
      <c r="A3101" t="s">
        <v>4017</v>
      </c>
      <c r="B3101">
        <v>2100086690</v>
      </c>
      <c r="C3101" t="s">
        <v>521</v>
      </c>
      <c r="D3101" t="s">
        <v>4069</v>
      </c>
      <c r="E3101" t="str">
        <f t="shared" si="48"/>
        <v>DNS2100086690</v>
      </c>
    </row>
    <row r="3102" spans="1:5" x14ac:dyDescent="0.3">
      <c r="A3102" t="s">
        <v>4017</v>
      </c>
      <c r="B3102">
        <v>1830006538</v>
      </c>
      <c r="C3102" t="s">
        <v>4070</v>
      </c>
      <c r="D3102" t="s">
        <v>4071</v>
      </c>
      <c r="E3102" t="str">
        <f t="shared" si="48"/>
        <v>DNS1830006538</v>
      </c>
    </row>
    <row r="3103" spans="1:5" x14ac:dyDescent="0.3">
      <c r="A3103" t="s">
        <v>4017</v>
      </c>
      <c r="B3103">
        <v>1830005200</v>
      </c>
      <c r="C3103" t="s">
        <v>4072</v>
      </c>
      <c r="D3103" t="s">
        <v>4073</v>
      </c>
      <c r="E3103" t="str">
        <f t="shared" si="48"/>
        <v>DNS1830005200</v>
      </c>
    </row>
    <row r="3104" spans="1:5" x14ac:dyDescent="0.3">
      <c r="A3104" t="s">
        <v>4017</v>
      </c>
      <c r="B3104">
        <v>1830004959</v>
      </c>
      <c r="C3104" t="s">
        <v>4074</v>
      </c>
      <c r="D3104" t="s">
        <v>4075</v>
      </c>
      <c r="E3104" t="str">
        <f t="shared" si="48"/>
        <v>DNS1830004959</v>
      </c>
    </row>
    <row r="3105" spans="1:5" x14ac:dyDescent="0.3">
      <c r="A3105" t="s">
        <v>4017</v>
      </c>
      <c r="B3105">
        <v>1830005680</v>
      </c>
      <c r="C3105" t="s">
        <v>1388</v>
      </c>
      <c r="D3105" t="s">
        <v>4076</v>
      </c>
      <c r="E3105" t="str">
        <f t="shared" si="48"/>
        <v>DNS1830005680</v>
      </c>
    </row>
    <row r="3106" spans="1:5" x14ac:dyDescent="0.3">
      <c r="A3106" t="s">
        <v>4017</v>
      </c>
      <c r="B3106">
        <v>1830007098</v>
      </c>
      <c r="C3106" t="s">
        <v>4077</v>
      </c>
      <c r="D3106" t="s">
        <v>4078</v>
      </c>
      <c r="E3106" t="str">
        <f t="shared" si="48"/>
        <v>DNS1830007098</v>
      </c>
    </row>
    <row r="3107" spans="1:5" x14ac:dyDescent="0.3">
      <c r="A3107" t="s">
        <v>4017</v>
      </c>
      <c r="B3107">
        <v>1830007378</v>
      </c>
      <c r="C3107" t="s">
        <v>4079</v>
      </c>
      <c r="D3107" t="s">
        <v>4080</v>
      </c>
      <c r="E3107" t="str">
        <f t="shared" si="48"/>
        <v>DNS1830007378</v>
      </c>
    </row>
    <row r="3108" spans="1:5" x14ac:dyDescent="0.3">
      <c r="A3108" t="s">
        <v>4017</v>
      </c>
      <c r="B3108">
        <v>1830007946</v>
      </c>
      <c r="C3108" t="s">
        <v>1394</v>
      </c>
      <c r="D3108" t="s">
        <v>4081</v>
      </c>
      <c r="E3108" t="str">
        <f t="shared" si="48"/>
        <v>DNS1830007946</v>
      </c>
    </row>
    <row r="3109" spans="1:5" x14ac:dyDescent="0.3">
      <c r="A3109" t="s">
        <v>4017</v>
      </c>
      <c r="B3109">
        <v>1830008184</v>
      </c>
      <c r="C3109" t="s">
        <v>1427</v>
      </c>
      <c r="D3109" t="s">
        <v>4082</v>
      </c>
      <c r="E3109" t="str">
        <f t="shared" si="48"/>
        <v>DNS1830008184</v>
      </c>
    </row>
    <row r="3110" spans="1:5" x14ac:dyDescent="0.3">
      <c r="A3110" t="s">
        <v>4017</v>
      </c>
      <c r="B3110">
        <v>1830007878</v>
      </c>
      <c r="C3110" t="s">
        <v>4083</v>
      </c>
      <c r="D3110" t="s">
        <v>4084</v>
      </c>
      <c r="E3110" t="str">
        <f t="shared" si="48"/>
        <v>DNS1830007878</v>
      </c>
    </row>
    <row r="3111" spans="1:5" x14ac:dyDescent="0.3">
      <c r="A3111" t="s">
        <v>4017</v>
      </c>
      <c r="B3111">
        <v>1830007828</v>
      </c>
      <c r="C3111" t="s">
        <v>1262</v>
      </c>
      <c r="D3111" t="s">
        <v>4085</v>
      </c>
      <c r="E3111" t="str">
        <f t="shared" si="48"/>
        <v>DNS1830007828</v>
      </c>
    </row>
    <row r="3112" spans="1:5" x14ac:dyDescent="0.3">
      <c r="A3112" t="s">
        <v>4017</v>
      </c>
      <c r="B3112">
        <v>1110030485</v>
      </c>
      <c r="C3112" t="s">
        <v>835</v>
      </c>
      <c r="D3112" t="s">
        <v>4086</v>
      </c>
      <c r="E3112" t="str">
        <f t="shared" si="48"/>
        <v>DNS1110030485</v>
      </c>
    </row>
    <row r="3113" spans="1:5" x14ac:dyDescent="0.3">
      <c r="A3113" t="s">
        <v>4017</v>
      </c>
      <c r="B3113">
        <v>1830007520</v>
      </c>
      <c r="C3113" t="s">
        <v>7</v>
      </c>
      <c r="D3113" t="s">
        <v>4087</v>
      </c>
      <c r="E3113" t="str">
        <f t="shared" si="48"/>
        <v>DNS1830007520</v>
      </c>
    </row>
    <row r="3114" spans="1:5" x14ac:dyDescent="0.3">
      <c r="A3114" t="s">
        <v>4017</v>
      </c>
      <c r="B3114">
        <v>2820101010</v>
      </c>
      <c r="C3114" t="s">
        <v>2045</v>
      </c>
      <c r="D3114" t="s">
        <v>4088</v>
      </c>
      <c r="E3114" t="str">
        <f t="shared" si="48"/>
        <v>DNS2820101010</v>
      </c>
    </row>
    <row r="3115" spans="1:5" x14ac:dyDescent="0.3">
      <c r="A3115" t="s">
        <v>4017</v>
      </c>
      <c r="B3115">
        <v>1510001501</v>
      </c>
      <c r="C3115" t="s">
        <v>1108</v>
      </c>
      <c r="D3115" t="s">
        <v>4089</v>
      </c>
      <c r="E3115" t="str">
        <f t="shared" si="48"/>
        <v>DNS1510001501</v>
      </c>
    </row>
    <row r="3116" spans="1:5" x14ac:dyDescent="0.3">
      <c r="A3116" t="s">
        <v>4017</v>
      </c>
      <c r="B3116">
        <v>2100058891</v>
      </c>
      <c r="C3116" t="s">
        <v>586</v>
      </c>
      <c r="D3116" t="s">
        <v>4090</v>
      </c>
      <c r="E3116" t="str">
        <f t="shared" si="48"/>
        <v>DNS2100058891</v>
      </c>
    </row>
    <row r="3117" spans="1:5" x14ac:dyDescent="0.3">
      <c r="A3117" t="s">
        <v>4017</v>
      </c>
      <c r="B3117">
        <v>8000035958</v>
      </c>
      <c r="C3117" t="s">
        <v>1112</v>
      </c>
      <c r="D3117" t="s">
        <v>4091</v>
      </c>
      <c r="E3117" t="str">
        <f t="shared" si="48"/>
        <v>DNS8000035958</v>
      </c>
    </row>
    <row r="3118" spans="1:5" x14ac:dyDescent="0.3">
      <c r="A3118" t="s">
        <v>4017</v>
      </c>
      <c r="B3118">
        <v>8010000405</v>
      </c>
      <c r="C3118" t="s">
        <v>1110</v>
      </c>
      <c r="D3118" t="s">
        <v>4092</v>
      </c>
      <c r="E3118" t="str">
        <f t="shared" si="48"/>
        <v>DNS8010000405</v>
      </c>
    </row>
    <row r="3119" spans="1:5" x14ac:dyDescent="0.3">
      <c r="A3119" t="s">
        <v>4017</v>
      </c>
      <c r="B3119">
        <v>2100059178</v>
      </c>
      <c r="C3119" t="s">
        <v>3838</v>
      </c>
      <c r="D3119" t="s">
        <v>4093</v>
      </c>
      <c r="E3119" t="str">
        <f t="shared" si="48"/>
        <v>DNS2100059178</v>
      </c>
    </row>
    <row r="3120" spans="1:5" x14ac:dyDescent="0.3">
      <c r="A3120" t="s">
        <v>4017</v>
      </c>
      <c r="B3120">
        <v>1500637540</v>
      </c>
      <c r="C3120" t="s">
        <v>859</v>
      </c>
      <c r="D3120" t="s">
        <v>4094</v>
      </c>
      <c r="E3120" t="str">
        <f t="shared" si="48"/>
        <v>DNS1500637540</v>
      </c>
    </row>
    <row r="3121" spans="1:5" x14ac:dyDescent="0.3">
      <c r="A3121" t="s">
        <v>4017</v>
      </c>
      <c r="B3121">
        <v>7211002945</v>
      </c>
      <c r="C3121" t="s">
        <v>3044</v>
      </c>
      <c r="D3121" t="s">
        <v>4095</v>
      </c>
      <c r="E3121" t="str">
        <f t="shared" si="48"/>
        <v>DNS7211002945</v>
      </c>
    </row>
    <row r="3122" spans="1:5" x14ac:dyDescent="0.3">
      <c r="A3122" t="s">
        <v>4017</v>
      </c>
      <c r="B3122">
        <v>7211002834</v>
      </c>
      <c r="C3122" t="s">
        <v>4096</v>
      </c>
      <c r="D3122" t="s">
        <v>4097</v>
      </c>
      <c r="E3122" t="str">
        <f t="shared" si="48"/>
        <v>DNS7211002834</v>
      </c>
    </row>
    <row r="3123" spans="1:5" x14ac:dyDescent="0.3">
      <c r="A3123" t="s">
        <v>4017</v>
      </c>
      <c r="B3123">
        <v>7211002459</v>
      </c>
      <c r="C3123" t="s">
        <v>41</v>
      </c>
      <c r="D3123" t="s">
        <v>4098</v>
      </c>
      <c r="E3123" t="str">
        <f t="shared" si="48"/>
        <v>DNS7211002459</v>
      </c>
    </row>
    <row r="3124" spans="1:5" x14ac:dyDescent="0.3">
      <c r="A3124" t="s">
        <v>4017</v>
      </c>
      <c r="B3124">
        <v>7211002932</v>
      </c>
      <c r="C3124" t="s">
        <v>44</v>
      </c>
      <c r="D3124" t="s">
        <v>4099</v>
      </c>
      <c r="E3124" t="str">
        <f t="shared" si="48"/>
        <v>DNS7211002932</v>
      </c>
    </row>
    <row r="3125" spans="1:5" x14ac:dyDescent="0.3">
      <c r="A3125" t="s">
        <v>4017</v>
      </c>
      <c r="B3125">
        <v>7211003740</v>
      </c>
      <c r="C3125" t="s">
        <v>42</v>
      </c>
      <c r="D3125" t="s">
        <v>4100</v>
      </c>
      <c r="E3125" t="str">
        <f t="shared" si="48"/>
        <v>DNS7211003740</v>
      </c>
    </row>
    <row r="3126" spans="1:5" x14ac:dyDescent="0.3">
      <c r="A3126" t="s">
        <v>4017</v>
      </c>
      <c r="B3126">
        <v>1510001553</v>
      </c>
      <c r="C3126" t="s">
        <v>4101</v>
      </c>
      <c r="D3126" t="s">
        <v>4102</v>
      </c>
      <c r="E3126" t="str">
        <f t="shared" si="48"/>
        <v>DNS1510001553</v>
      </c>
    </row>
    <row r="3127" spans="1:5" x14ac:dyDescent="0.3">
      <c r="A3127" t="s">
        <v>4017</v>
      </c>
      <c r="B3127">
        <v>8000035865</v>
      </c>
      <c r="C3127" t="s">
        <v>4103</v>
      </c>
      <c r="D3127" t="s">
        <v>4104</v>
      </c>
      <c r="E3127" t="str">
        <f t="shared" si="48"/>
        <v>DNS8000035865</v>
      </c>
    </row>
    <row r="3128" spans="1:5" x14ac:dyDescent="0.3">
      <c r="A3128" t="s">
        <v>4017</v>
      </c>
      <c r="B3128">
        <v>1500888531</v>
      </c>
      <c r="C3128" t="s">
        <v>596</v>
      </c>
      <c r="D3128" t="s">
        <v>4105</v>
      </c>
      <c r="E3128" t="str">
        <f t="shared" si="48"/>
        <v>DNS1500888531</v>
      </c>
    </row>
    <row r="3129" spans="1:5" x14ac:dyDescent="0.3">
      <c r="A3129" t="s">
        <v>4017</v>
      </c>
      <c r="B3129">
        <v>1510001945</v>
      </c>
      <c r="C3129" t="s">
        <v>2986</v>
      </c>
      <c r="D3129" t="s">
        <v>4106</v>
      </c>
      <c r="E3129" t="str">
        <f t="shared" si="48"/>
        <v>DNS1510001945</v>
      </c>
    </row>
    <row r="3130" spans="1:5" x14ac:dyDescent="0.3">
      <c r="A3130" t="s">
        <v>4017</v>
      </c>
      <c r="B3130">
        <v>1500888672</v>
      </c>
      <c r="C3130" t="s">
        <v>2612</v>
      </c>
      <c r="D3130" t="s">
        <v>4107</v>
      </c>
      <c r="E3130" t="str">
        <f t="shared" si="48"/>
        <v>DNS1500888672</v>
      </c>
    </row>
    <row r="3131" spans="1:5" x14ac:dyDescent="0.3">
      <c r="A3131" t="s">
        <v>4017</v>
      </c>
      <c r="B3131">
        <v>1510001429</v>
      </c>
      <c r="C3131" t="s">
        <v>4108</v>
      </c>
      <c r="D3131" t="s">
        <v>4109</v>
      </c>
      <c r="E3131" t="str">
        <f t="shared" si="48"/>
        <v>DNS1510001429</v>
      </c>
    </row>
    <row r="3132" spans="1:5" x14ac:dyDescent="0.3">
      <c r="A3132" t="s">
        <v>4017</v>
      </c>
      <c r="B3132">
        <v>8000031618</v>
      </c>
      <c r="C3132" t="s">
        <v>4110</v>
      </c>
      <c r="D3132" t="s">
        <v>4111</v>
      </c>
      <c r="E3132" t="str">
        <f t="shared" si="48"/>
        <v>DNS8000031618</v>
      </c>
    </row>
    <row r="3133" spans="1:5" x14ac:dyDescent="0.3">
      <c r="A3133" t="s">
        <v>4017</v>
      </c>
      <c r="B3133">
        <v>2100069899</v>
      </c>
      <c r="C3133" t="s">
        <v>1449</v>
      </c>
      <c r="D3133" t="s">
        <v>4112</v>
      </c>
      <c r="E3133" t="str">
        <f t="shared" si="48"/>
        <v>DNS2100069899</v>
      </c>
    </row>
    <row r="3134" spans="1:5" x14ac:dyDescent="0.3">
      <c r="A3134" t="s">
        <v>4017</v>
      </c>
      <c r="B3134">
        <v>2211400513</v>
      </c>
      <c r="C3134" t="s">
        <v>3107</v>
      </c>
      <c r="D3134" t="s">
        <v>4113</v>
      </c>
      <c r="E3134" t="str">
        <f t="shared" si="48"/>
        <v>DNS2211400513</v>
      </c>
    </row>
    <row r="3135" spans="1:5" x14ac:dyDescent="0.3">
      <c r="A3135" t="s">
        <v>4017</v>
      </c>
      <c r="B3135">
        <v>9100023409</v>
      </c>
      <c r="C3135">
        <v>4166322</v>
      </c>
      <c r="D3135" t="s">
        <v>4114</v>
      </c>
      <c r="E3135" t="str">
        <f t="shared" si="48"/>
        <v>DNS9100023409</v>
      </c>
    </row>
    <row r="3136" spans="1:5" x14ac:dyDescent="0.3">
      <c r="A3136" t="s">
        <v>4017</v>
      </c>
      <c r="B3136">
        <v>2100117991</v>
      </c>
      <c r="C3136" t="s">
        <v>1565</v>
      </c>
      <c r="D3136" t="s">
        <v>4115</v>
      </c>
      <c r="E3136" t="str">
        <f t="shared" si="48"/>
        <v>DNS2100117991</v>
      </c>
    </row>
    <row r="3137" spans="1:5" x14ac:dyDescent="0.3">
      <c r="A3137" t="s">
        <v>4017</v>
      </c>
      <c r="B3137">
        <v>2100117992</v>
      </c>
      <c r="C3137" t="s">
        <v>4116</v>
      </c>
      <c r="D3137" t="s">
        <v>4117</v>
      </c>
      <c r="E3137" t="str">
        <f t="shared" si="48"/>
        <v>DNS2100117992</v>
      </c>
    </row>
    <row r="3138" spans="1:5" x14ac:dyDescent="0.3">
      <c r="A3138" t="s">
        <v>4017</v>
      </c>
      <c r="B3138">
        <v>2100098073</v>
      </c>
      <c r="C3138" t="s">
        <v>4118</v>
      </c>
      <c r="D3138" t="s">
        <v>4119</v>
      </c>
      <c r="E3138" t="str">
        <f t="shared" si="48"/>
        <v>DNS2100098073</v>
      </c>
    </row>
    <row r="3139" spans="1:5" x14ac:dyDescent="0.3">
      <c r="A3139" t="s">
        <v>4017</v>
      </c>
      <c r="B3139">
        <v>2100098401</v>
      </c>
      <c r="C3139" t="s">
        <v>4120</v>
      </c>
      <c r="D3139" t="s">
        <v>4121</v>
      </c>
      <c r="E3139" t="str">
        <f t="shared" ref="E3139:E3202" si="49">A3139&amp;B3139</f>
        <v>DNS2100098401</v>
      </c>
    </row>
    <row r="3140" spans="1:5" x14ac:dyDescent="0.3">
      <c r="A3140" t="s">
        <v>4017</v>
      </c>
      <c r="B3140">
        <v>9100036417</v>
      </c>
      <c r="C3140">
        <v>4190320</v>
      </c>
      <c r="D3140" t="s">
        <v>4122</v>
      </c>
      <c r="E3140" t="str">
        <f t="shared" si="49"/>
        <v>DNS9100036417</v>
      </c>
    </row>
    <row r="3141" spans="1:5" x14ac:dyDescent="0.3">
      <c r="A3141" t="s">
        <v>4017</v>
      </c>
      <c r="B3141">
        <v>2100120956</v>
      </c>
      <c r="C3141" t="s">
        <v>1536</v>
      </c>
      <c r="D3141" t="s">
        <v>4123</v>
      </c>
      <c r="E3141" t="str">
        <f t="shared" si="49"/>
        <v>DNS2100120956</v>
      </c>
    </row>
    <row r="3142" spans="1:5" x14ac:dyDescent="0.3">
      <c r="A3142" t="s">
        <v>4017</v>
      </c>
      <c r="B3142">
        <v>9100023408</v>
      </c>
      <c r="C3142">
        <v>4166418</v>
      </c>
      <c r="D3142" t="s">
        <v>4124</v>
      </c>
      <c r="E3142" t="str">
        <f t="shared" si="49"/>
        <v>DNS9100023408</v>
      </c>
    </row>
    <row r="3143" spans="1:5" x14ac:dyDescent="0.3">
      <c r="A3143" t="s">
        <v>4017</v>
      </c>
      <c r="B3143">
        <v>2100117440</v>
      </c>
      <c r="C3143" t="s">
        <v>1561</v>
      </c>
      <c r="D3143" t="s">
        <v>4125</v>
      </c>
      <c r="E3143" t="str">
        <f t="shared" si="49"/>
        <v>DNS2100117440</v>
      </c>
    </row>
    <row r="3144" spans="1:5" x14ac:dyDescent="0.3">
      <c r="A3144" t="s">
        <v>4017</v>
      </c>
      <c r="B3144">
        <v>2100117990</v>
      </c>
      <c r="C3144" t="s">
        <v>1563</v>
      </c>
      <c r="D3144" t="s">
        <v>4126</v>
      </c>
      <c r="E3144" t="str">
        <f t="shared" si="49"/>
        <v>DNS2100117990</v>
      </c>
    </row>
    <row r="3145" spans="1:5" x14ac:dyDescent="0.3">
      <c r="A3145" t="s">
        <v>4017</v>
      </c>
      <c r="B3145">
        <v>2100098072</v>
      </c>
      <c r="C3145" t="s">
        <v>644</v>
      </c>
      <c r="D3145" t="s">
        <v>4127</v>
      </c>
      <c r="E3145" t="str">
        <f t="shared" si="49"/>
        <v>DNS2100098072</v>
      </c>
    </row>
    <row r="3146" spans="1:5" x14ac:dyDescent="0.3">
      <c r="A3146" t="s">
        <v>4017</v>
      </c>
      <c r="B3146">
        <v>9100036416</v>
      </c>
      <c r="C3146">
        <v>4190416</v>
      </c>
      <c r="D3146" t="s">
        <v>4128</v>
      </c>
      <c r="E3146" t="str">
        <f t="shared" si="49"/>
        <v>DNS9100036416</v>
      </c>
    </row>
    <row r="3147" spans="1:5" x14ac:dyDescent="0.3">
      <c r="A3147" t="s">
        <v>4017</v>
      </c>
      <c r="B3147">
        <v>2100120954</v>
      </c>
      <c r="C3147" t="s">
        <v>1322</v>
      </c>
      <c r="D3147" t="s">
        <v>4129</v>
      </c>
      <c r="E3147" t="str">
        <f t="shared" si="49"/>
        <v>DNS2100120954</v>
      </c>
    </row>
    <row r="3148" spans="1:5" x14ac:dyDescent="0.3">
      <c r="A3148" t="s">
        <v>4017</v>
      </c>
      <c r="B3148">
        <v>2100120955</v>
      </c>
      <c r="C3148" t="s">
        <v>4130</v>
      </c>
      <c r="D3148" t="s">
        <v>4131</v>
      </c>
      <c r="E3148" t="str">
        <f t="shared" si="49"/>
        <v>DNS2100120955</v>
      </c>
    </row>
    <row r="3149" spans="1:5" x14ac:dyDescent="0.3">
      <c r="A3149" t="s">
        <v>4017</v>
      </c>
      <c r="B3149">
        <v>2210019385</v>
      </c>
      <c r="C3149" t="s">
        <v>610</v>
      </c>
      <c r="D3149" t="s">
        <v>4132</v>
      </c>
      <c r="E3149" t="str">
        <f t="shared" si="49"/>
        <v>DNS2210019385</v>
      </c>
    </row>
    <row r="3150" spans="1:5" x14ac:dyDescent="0.3">
      <c r="A3150" t="s">
        <v>4017</v>
      </c>
      <c r="B3150">
        <v>3100518251</v>
      </c>
      <c r="C3150" t="s">
        <v>4133</v>
      </c>
      <c r="D3150" t="s">
        <v>4134</v>
      </c>
      <c r="E3150" t="str">
        <f t="shared" si="49"/>
        <v>DNS3100518251</v>
      </c>
    </row>
    <row r="3151" spans="1:5" x14ac:dyDescent="0.3">
      <c r="A3151" t="s">
        <v>4017</v>
      </c>
      <c r="B3151">
        <v>3100518252</v>
      </c>
      <c r="C3151" t="s">
        <v>4135</v>
      </c>
      <c r="D3151" t="s">
        <v>4136</v>
      </c>
      <c r="E3151" t="str">
        <f t="shared" si="49"/>
        <v>DNS3100518252</v>
      </c>
    </row>
    <row r="3152" spans="1:5" x14ac:dyDescent="0.3">
      <c r="A3152" t="s">
        <v>4017</v>
      </c>
      <c r="B3152">
        <v>3100518253</v>
      </c>
      <c r="C3152" t="s">
        <v>4137</v>
      </c>
      <c r="D3152" t="s">
        <v>4138</v>
      </c>
      <c r="E3152" t="str">
        <f t="shared" si="49"/>
        <v>DNS3100518253</v>
      </c>
    </row>
    <row r="3153" spans="1:5" x14ac:dyDescent="0.3">
      <c r="A3153" t="s">
        <v>4017</v>
      </c>
      <c r="B3153">
        <v>3100518254</v>
      </c>
      <c r="C3153" t="s">
        <v>4139</v>
      </c>
      <c r="D3153" t="s">
        <v>4140</v>
      </c>
      <c r="E3153" t="str">
        <f t="shared" si="49"/>
        <v>DNS3100518254</v>
      </c>
    </row>
    <row r="3154" spans="1:5" x14ac:dyDescent="0.3">
      <c r="A3154" t="s">
        <v>4017</v>
      </c>
      <c r="B3154">
        <v>3100518255</v>
      </c>
      <c r="C3154" t="s">
        <v>4141</v>
      </c>
      <c r="D3154" t="s">
        <v>4142</v>
      </c>
      <c r="E3154" t="str">
        <f t="shared" si="49"/>
        <v>DNS3100518255</v>
      </c>
    </row>
    <row r="3155" spans="1:5" x14ac:dyDescent="0.3">
      <c r="A3155" t="s">
        <v>4017</v>
      </c>
      <c r="B3155">
        <v>1510001848</v>
      </c>
      <c r="C3155" t="s">
        <v>1898</v>
      </c>
      <c r="D3155" t="s">
        <v>4143</v>
      </c>
      <c r="E3155" t="str">
        <f t="shared" si="49"/>
        <v>DNS1510001848</v>
      </c>
    </row>
    <row r="3156" spans="1:5" x14ac:dyDescent="0.3">
      <c r="A3156" t="s">
        <v>4017</v>
      </c>
      <c r="B3156">
        <v>7211004108</v>
      </c>
      <c r="C3156" t="s">
        <v>4144</v>
      </c>
      <c r="D3156" t="s">
        <v>4145</v>
      </c>
      <c r="E3156" t="str">
        <f t="shared" si="49"/>
        <v>DNS7211004108</v>
      </c>
    </row>
    <row r="3157" spans="1:5" x14ac:dyDescent="0.3">
      <c r="A3157" t="s">
        <v>4017</v>
      </c>
      <c r="B3157">
        <v>7211002511</v>
      </c>
      <c r="C3157" t="s">
        <v>3167</v>
      </c>
      <c r="D3157" t="s">
        <v>4146</v>
      </c>
      <c r="E3157" t="str">
        <f t="shared" si="49"/>
        <v>DNS7211002511</v>
      </c>
    </row>
    <row r="3158" spans="1:5" x14ac:dyDescent="0.3">
      <c r="A3158" t="s">
        <v>4017</v>
      </c>
      <c r="B3158">
        <v>7211002512</v>
      </c>
      <c r="C3158" t="s">
        <v>4147</v>
      </c>
      <c r="D3158" t="s">
        <v>4148</v>
      </c>
      <c r="E3158" t="str">
        <f t="shared" si="49"/>
        <v>DNS7211002512</v>
      </c>
    </row>
    <row r="3159" spans="1:5" x14ac:dyDescent="0.3">
      <c r="A3159" t="s">
        <v>4017</v>
      </c>
      <c r="B3159">
        <v>7211002513</v>
      </c>
      <c r="C3159" t="s">
        <v>3849</v>
      </c>
      <c r="D3159" t="s">
        <v>4149</v>
      </c>
      <c r="E3159" t="str">
        <f t="shared" si="49"/>
        <v>DNS7211002513</v>
      </c>
    </row>
    <row r="3160" spans="1:5" x14ac:dyDescent="0.3">
      <c r="A3160" t="s">
        <v>4017</v>
      </c>
      <c r="B3160">
        <v>8000035224</v>
      </c>
      <c r="C3160" t="s">
        <v>4150</v>
      </c>
      <c r="D3160" t="s">
        <v>4151</v>
      </c>
      <c r="E3160" t="str">
        <f t="shared" si="49"/>
        <v>DNS8000035224</v>
      </c>
    </row>
    <row r="3161" spans="1:5" x14ac:dyDescent="0.3">
      <c r="A3161" t="s">
        <v>4017</v>
      </c>
      <c r="B3161">
        <v>8000036227</v>
      </c>
      <c r="C3161" t="s">
        <v>3684</v>
      </c>
      <c r="D3161" t="s">
        <v>4152</v>
      </c>
      <c r="E3161" t="str">
        <f t="shared" si="49"/>
        <v>DNS8000036227</v>
      </c>
    </row>
    <row r="3162" spans="1:5" x14ac:dyDescent="0.3">
      <c r="A3162" t="s">
        <v>4017</v>
      </c>
      <c r="B3162">
        <v>8010000646</v>
      </c>
      <c r="C3162" t="s">
        <v>4153</v>
      </c>
      <c r="D3162" t="s">
        <v>4154</v>
      </c>
      <c r="E3162" t="str">
        <f t="shared" si="49"/>
        <v>DNS8010000646</v>
      </c>
    </row>
    <row r="3163" spans="1:5" x14ac:dyDescent="0.3">
      <c r="A3163" t="s">
        <v>4017</v>
      </c>
      <c r="B3163">
        <v>8000035080</v>
      </c>
      <c r="C3163" t="s">
        <v>4155</v>
      </c>
      <c r="D3163" t="s">
        <v>4156</v>
      </c>
      <c r="E3163" t="str">
        <f t="shared" si="49"/>
        <v>DNS8000035080</v>
      </c>
    </row>
    <row r="3164" spans="1:5" x14ac:dyDescent="0.3">
      <c r="A3164" t="s">
        <v>4017</v>
      </c>
      <c r="B3164">
        <v>8010000985</v>
      </c>
      <c r="C3164" t="s">
        <v>76</v>
      </c>
      <c r="D3164" t="s">
        <v>4157</v>
      </c>
      <c r="E3164" t="str">
        <f t="shared" si="49"/>
        <v>DNS8010000985</v>
      </c>
    </row>
    <row r="3165" spans="1:5" x14ac:dyDescent="0.3">
      <c r="A3165" t="s">
        <v>4017</v>
      </c>
      <c r="B3165">
        <v>8000036179</v>
      </c>
      <c r="C3165" t="s">
        <v>3686</v>
      </c>
      <c r="D3165" t="s">
        <v>4158</v>
      </c>
      <c r="E3165" t="str">
        <f t="shared" si="49"/>
        <v>DNS8000036179</v>
      </c>
    </row>
    <row r="3166" spans="1:5" x14ac:dyDescent="0.3">
      <c r="A3166" t="s">
        <v>4017</v>
      </c>
      <c r="B3166">
        <v>1500813213</v>
      </c>
      <c r="C3166" t="s">
        <v>3581</v>
      </c>
      <c r="D3166" t="s">
        <v>4159</v>
      </c>
      <c r="E3166" t="str">
        <f t="shared" si="49"/>
        <v>DNS1500813213</v>
      </c>
    </row>
    <row r="3167" spans="1:5" x14ac:dyDescent="0.3">
      <c r="A3167" t="s">
        <v>4017</v>
      </c>
      <c r="B3167">
        <v>9100004180</v>
      </c>
      <c r="C3167">
        <v>4090118</v>
      </c>
      <c r="D3167" t="s">
        <v>4160</v>
      </c>
      <c r="E3167" t="str">
        <f t="shared" si="49"/>
        <v>DNS9100004180</v>
      </c>
    </row>
    <row r="3168" spans="1:5" x14ac:dyDescent="0.3">
      <c r="A3168" t="s">
        <v>4017</v>
      </c>
      <c r="B3168">
        <v>9100004140</v>
      </c>
      <c r="C3168">
        <v>4090120</v>
      </c>
      <c r="D3168" t="s">
        <v>4161</v>
      </c>
      <c r="E3168" t="str">
        <f t="shared" si="49"/>
        <v>DNS9100004140</v>
      </c>
    </row>
    <row r="3169" spans="1:5" x14ac:dyDescent="0.3">
      <c r="A3169" t="s">
        <v>4017</v>
      </c>
      <c r="B3169">
        <v>9100004179</v>
      </c>
      <c r="C3169">
        <v>4090122</v>
      </c>
      <c r="D3169" t="s">
        <v>4162</v>
      </c>
      <c r="E3169" t="str">
        <f t="shared" si="49"/>
        <v>DNS9100004179</v>
      </c>
    </row>
    <row r="3170" spans="1:5" x14ac:dyDescent="0.3">
      <c r="A3170" t="s">
        <v>4017</v>
      </c>
      <c r="B3170">
        <v>9100004192</v>
      </c>
      <c r="C3170">
        <v>4090124</v>
      </c>
      <c r="D3170" t="s">
        <v>4163</v>
      </c>
      <c r="E3170" t="str">
        <f t="shared" si="49"/>
        <v>DNS9100004192</v>
      </c>
    </row>
    <row r="3171" spans="1:5" x14ac:dyDescent="0.3">
      <c r="A3171" t="s">
        <v>4017</v>
      </c>
      <c r="B3171">
        <v>9100004193</v>
      </c>
      <c r="C3171">
        <v>4090126</v>
      </c>
      <c r="D3171" t="s">
        <v>4164</v>
      </c>
      <c r="E3171" t="str">
        <f t="shared" si="49"/>
        <v>DNS9100004193</v>
      </c>
    </row>
    <row r="3172" spans="1:5" x14ac:dyDescent="0.3">
      <c r="A3172" t="s">
        <v>4017</v>
      </c>
      <c r="B3172">
        <v>9100004194</v>
      </c>
      <c r="C3172">
        <v>4090128</v>
      </c>
      <c r="D3172" t="s">
        <v>4165</v>
      </c>
      <c r="E3172" t="str">
        <f t="shared" si="49"/>
        <v>DNS9100004194</v>
      </c>
    </row>
    <row r="3173" spans="1:5" x14ac:dyDescent="0.3">
      <c r="A3173" t="s">
        <v>4017</v>
      </c>
      <c r="B3173">
        <v>9100004195</v>
      </c>
      <c r="C3173">
        <v>4090130</v>
      </c>
      <c r="D3173" t="s">
        <v>4166</v>
      </c>
      <c r="E3173" t="str">
        <f t="shared" si="49"/>
        <v>DNS9100004195</v>
      </c>
    </row>
    <row r="3174" spans="1:5" x14ac:dyDescent="0.3">
      <c r="A3174" t="s">
        <v>4017</v>
      </c>
      <c r="B3174">
        <v>9100022582</v>
      </c>
      <c r="C3174">
        <v>4162720</v>
      </c>
      <c r="D3174" t="s">
        <v>4167</v>
      </c>
      <c r="E3174" t="str">
        <f t="shared" si="49"/>
        <v>DNS9100022582</v>
      </c>
    </row>
    <row r="3175" spans="1:5" x14ac:dyDescent="0.3">
      <c r="A3175" t="s">
        <v>4017</v>
      </c>
      <c r="B3175">
        <v>9100040504</v>
      </c>
      <c r="C3175">
        <v>4199728</v>
      </c>
      <c r="D3175" t="s">
        <v>4168</v>
      </c>
      <c r="E3175" t="str">
        <f t="shared" si="49"/>
        <v>DNS9100040504</v>
      </c>
    </row>
    <row r="3176" spans="1:5" x14ac:dyDescent="0.3">
      <c r="A3176" t="s">
        <v>4017</v>
      </c>
      <c r="B3176">
        <v>9100040498</v>
      </c>
      <c r="C3176">
        <v>4199716</v>
      </c>
      <c r="D3176" t="s">
        <v>4169</v>
      </c>
      <c r="E3176" t="str">
        <f t="shared" si="49"/>
        <v>DNS9100040498</v>
      </c>
    </row>
    <row r="3177" spans="1:5" x14ac:dyDescent="0.3">
      <c r="A3177" t="s">
        <v>4017</v>
      </c>
      <c r="B3177">
        <v>9100040499</v>
      </c>
      <c r="C3177">
        <v>4199718</v>
      </c>
      <c r="D3177" t="s">
        <v>4170</v>
      </c>
      <c r="E3177" t="str">
        <f t="shared" si="49"/>
        <v>DNS9100040499</v>
      </c>
    </row>
    <row r="3178" spans="1:5" x14ac:dyDescent="0.3">
      <c r="A3178" t="s">
        <v>4017</v>
      </c>
      <c r="B3178">
        <v>9100040500</v>
      </c>
      <c r="C3178">
        <v>4199720</v>
      </c>
      <c r="D3178" t="s">
        <v>4171</v>
      </c>
      <c r="E3178" t="str">
        <f t="shared" si="49"/>
        <v>DNS9100040500</v>
      </c>
    </row>
    <row r="3179" spans="1:5" x14ac:dyDescent="0.3">
      <c r="A3179" t="s">
        <v>4017</v>
      </c>
      <c r="B3179">
        <v>9100040501</v>
      </c>
      <c r="C3179">
        <v>4199722</v>
      </c>
      <c r="D3179" t="s">
        <v>4172</v>
      </c>
      <c r="E3179" t="str">
        <f t="shared" si="49"/>
        <v>DNS9100040501</v>
      </c>
    </row>
    <row r="3180" spans="1:5" x14ac:dyDescent="0.3">
      <c r="A3180" t="s">
        <v>4017</v>
      </c>
      <c r="B3180">
        <v>9100040502</v>
      </c>
      <c r="C3180">
        <v>4199724</v>
      </c>
      <c r="D3180" t="s">
        <v>4173</v>
      </c>
      <c r="E3180" t="str">
        <f t="shared" si="49"/>
        <v>DNS9100040502</v>
      </c>
    </row>
    <row r="3181" spans="1:5" x14ac:dyDescent="0.3">
      <c r="A3181" t="s">
        <v>4017</v>
      </c>
      <c r="B3181">
        <v>9100040503</v>
      </c>
      <c r="C3181">
        <v>4199726</v>
      </c>
      <c r="D3181" t="s">
        <v>4174</v>
      </c>
      <c r="E3181" t="str">
        <f t="shared" si="49"/>
        <v>DNS9100040503</v>
      </c>
    </row>
    <row r="3182" spans="1:5" x14ac:dyDescent="0.3">
      <c r="A3182" t="s">
        <v>4017</v>
      </c>
      <c r="B3182">
        <v>2100087320</v>
      </c>
      <c r="C3182" t="s">
        <v>1299</v>
      </c>
      <c r="D3182" t="s">
        <v>4175</v>
      </c>
      <c r="E3182" t="str">
        <f t="shared" si="49"/>
        <v>DNS2100087320</v>
      </c>
    </row>
    <row r="3183" spans="1:5" x14ac:dyDescent="0.3">
      <c r="A3183" t="s">
        <v>4017</v>
      </c>
      <c r="B3183">
        <v>7211004688</v>
      </c>
      <c r="C3183" t="s">
        <v>3618</v>
      </c>
      <c r="D3183" t="s">
        <v>4176</v>
      </c>
      <c r="E3183" t="str">
        <f t="shared" si="49"/>
        <v>DNS7211004688</v>
      </c>
    </row>
    <row r="3184" spans="1:5" x14ac:dyDescent="0.3">
      <c r="A3184" t="s">
        <v>4017</v>
      </c>
      <c r="B3184">
        <v>2820530110</v>
      </c>
      <c r="C3184" t="s">
        <v>3579</v>
      </c>
      <c r="D3184" t="s">
        <v>4177</v>
      </c>
      <c r="E3184" t="str">
        <f t="shared" si="49"/>
        <v>DNS2820530110</v>
      </c>
    </row>
    <row r="3185" spans="1:5" x14ac:dyDescent="0.3">
      <c r="A3185" t="s">
        <v>4017</v>
      </c>
      <c r="B3185">
        <v>2820250010</v>
      </c>
      <c r="C3185" t="s">
        <v>4178</v>
      </c>
      <c r="D3185" t="s">
        <v>4179</v>
      </c>
      <c r="E3185" t="str">
        <f t="shared" si="49"/>
        <v>DNS2820250010</v>
      </c>
    </row>
    <row r="3186" spans="1:5" x14ac:dyDescent="0.3">
      <c r="A3186" t="s">
        <v>4017</v>
      </c>
      <c r="B3186">
        <v>7211004672</v>
      </c>
      <c r="C3186" t="s">
        <v>363</v>
      </c>
      <c r="D3186" t="s">
        <v>4180</v>
      </c>
      <c r="E3186" t="str">
        <f t="shared" si="49"/>
        <v>DNS7211004672</v>
      </c>
    </row>
    <row r="3187" spans="1:5" x14ac:dyDescent="0.3">
      <c r="A3187" t="s">
        <v>4017</v>
      </c>
      <c r="B3187">
        <v>7211004670</v>
      </c>
      <c r="C3187" t="s">
        <v>404</v>
      </c>
      <c r="D3187" t="s">
        <v>4181</v>
      </c>
      <c r="E3187" t="str">
        <f t="shared" si="49"/>
        <v>DNS7211004670</v>
      </c>
    </row>
    <row r="3188" spans="1:5" x14ac:dyDescent="0.3">
      <c r="A3188" t="s">
        <v>4017</v>
      </c>
      <c r="B3188">
        <v>1830007856</v>
      </c>
      <c r="C3188" t="s">
        <v>3823</v>
      </c>
      <c r="D3188" t="s">
        <v>4182</v>
      </c>
      <c r="E3188" t="str">
        <f t="shared" si="49"/>
        <v>DNS1830007856</v>
      </c>
    </row>
    <row r="3189" spans="1:5" x14ac:dyDescent="0.3">
      <c r="A3189" t="s">
        <v>4017</v>
      </c>
      <c r="B3189">
        <v>1830007855</v>
      </c>
      <c r="C3189" t="s">
        <v>1193</v>
      </c>
      <c r="D3189" t="s">
        <v>4183</v>
      </c>
      <c r="E3189" t="str">
        <f t="shared" si="49"/>
        <v>DNS1830007855</v>
      </c>
    </row>
    <row r="3190" spans="1:5" x14ac:dyDescent="0.3">
      <c r="A3190" t="s">
        <v>4017</v>
      </c>
      <c r="B3190">
        <v>1830007836</v>
      </c>
      <c r="C3190" t="s">
        <v>4184</v>
      </c>
      <c r="D3190" t="s">
        <v>4185</v>
      </c>
      <c r="E3190" t="str">
        <f t="shared" si="49"/>
        <v>DNS1830007836</v>
      </c>
    </row>
    <row r="3191" spans="1:5" x14ac:dyDescent="0.3">
      <c r="A3191" t="s">
        <v>4017</v>
      </c>
      <c r="B3191">
        <v>1830008066</v>
      </c>
      <c r="C3191" t="s">
        <v>4186</v>
      </c>
      <c r="D3191" t="s">
        <v>4187</v>
      </c>
      <c r="E3191" t="str">
        <f t="shared" si="49"/>
        <v>DNS1830008066</v>
      </c>
    </row>
    <row r="3192" spans="1:5" x14ac:dyDescent="0.3">
      <c r="A3192" t="s">
        <v>4017</v>
      </c>
      <c r="B3192">
        <v>1830007874</v>
      </c>
      <c r="C3192" t="s">
        <v>1609</v>
      </c>
      <c r="D3192" t="s">
        <v>4188</v>
      </c>
      <c r="E3192" t="str">
        <f t="shared" si="49"/>
        <v>DNS1830007874</v>
      </c>
    </row>
    <row r="3193" spans="1:5" x14ac:dyDescent="0.3">
      <c r="A3193" t="s">
        <v>4017</v>
      </c>
      <c r="B3193">
        <v>1830007851</v>
      </c>
      <c r="C3193" t="s">
        <v>1195</v>
      </c>
      <c r="D3193" t="s">
        <v>4189</v>
      </c>
      <c r="E3193" t="str">
        <f t="shared" si="49"/>
        <v>DNS1830007851</v>
      </c>
    </row>
    <row r="3194" spans="1:5" x14ac:dyDescent="0.3">
      <c r="A3194" t="s">
        <v>4017</v>
      </c>
      <c r="B3194">
        <v>1830007817</v>
      </c>
      <c r="C3194" t="s">
        <v>1931</v>
      </c>
      <c r="D3194" t="s">
        <v>4190</v>
      </c>
      <c r="E3194" t="str">
        <f t="shared" si="49"/>
        <v>DNS1830007817</v>
      </c>
    </row>
    <row r="3195" spans="1:5" x14ac:dyDescent="0.3">
      <c r="A3195" t="s">
        <v>4017</v>
      </c>
      <c r="B3195">
        <v>7211003391</v>
      </c>
      <c r="C3195" t="s">
        <v>4191</v>
      </c>
      <c r="D3195" t="s">
        <v>4192</v>
      </c>
      <c r="E3195" t="str">
        <f t="shared" si="49"/>
        <v>DNS7211003391</v>
      </c>
    </row>
    <row r="3196" spans="1:5" x14ac:dyDescent="0.3">
      <c r="A3196" t="s">
        <v>4017</v>
      </c>
      <c r="B3196">
        <v>7211003983</v>
      </c>
      <c r="C3196" t="s">
        <v>1436</v>
      </c>
      <c r="D3196" t="s">
        <v>4193</v>
      </c>
      <c r="E3196" t="str">
        <f t="shared" si="49"/>
        <v>DNS7211003983</v>
      </c>
    </row>
    <row r="3197" spans="1:5" x14ac:dyDescent="0.3">
      <c r="A3197" t="s">
        <v>4017</v>
      </c>
      <c r="B3197">
        <v>7211004002</v>
      </c>
      <c r="C3197" t="s">
        <v>2979</v>
      </c>
      <c r="D3197" t="s">
        <v>4194</v>
      </c>
      <c r="E3197" t="str">
        <f t="shared" si="49"/>
        <v>DNS7211004002</v>
      </c>
    </row>
    <row r="3198" spans="1:5" x14ac:dyDescent="0.3">
      <c r="A3198" t="s">
        <v>4017</v>
      </c>
      <c r="B3198">
        <v>7211004057</v>
      </c>
      <c r="C3198" t="s">
        <v>2434</v>
      </c>
      <c r="D3198" t="s">
        <v>4195</v>
      </c>
      <c r="E3198" t="str">
        <f t="shared" si="49"/>
        <v>DNS7211004057</v>
      </c>
    </row>
    <row r="3199" spans="1:5" x14ac:dyDescent="0.3">
      <c r="A3199" t="s">
        <v>4017</v>
      </c>
      <c r="B3199">
        <v>2100087319</v>
      </c>
      <c r="C3199" t="s">
        <v>3050</v>
      </c>
      <c r="D3199" t="s">
        <v>4196</v>
      </c>
      <c r="E3199" t="str">
        <f t="shared" si="49"/>
        <v>DNS2100087319</v>
      </c>
    </row>
    <row r="3200" spans="1:5" x14ac:dyDescent="0.3">
      <c r="A3200" t="s">
        <v>4017</v>
      </c>
      <c r="B3200">
        <v>2100057705</v>
      </c>
      <c r="C3200" t="s">
        <v>1443</v>
      </c>
      <c r="D3200" t="s">
        <v>4197</v>
      </c>
      <c r="E3200" t="str">
        <f t="shared" si="49"/>
        <v>DNS2100057705</v>
      </c>
    </row>
    <row r="3201" spans="1:5" x14ac:dyDescent="0.3">
      <c r="A3201" t="s">
        <v>4017</v>
      </c>
      <c r="B3201">
        <v>2100057707</v>
      </c>
      <c r="C3201" t="s">
        <v>4198</v>
      </c>
      <c r="D3201" t="s">
        <v>4199</v>
      </c>
      <c r="E3201" t="str">
        <f t="shared" si="49"/>
        <v>DNS2100057707</v>
      </c>
    </row>
    <row r="3202" spans="1:5" x14ac:dyDescent="0.3">
      <c r="A3202" t="s">
        <v>4017</v>
      </c>
      <c r="B3202">
        <v>2100057708</v>
      </c>
      <c r="C3202" t="s">
        <v>4200</v>
      </c>
      <c r="D3202" t="s">
        <v>4201</v>
      </c>
      <c r="E3202" t="str">
        <f t="shared" si="49"/>
        <v>DNS2100057708</v>
      </c>
    </row>
    <row r="3203" spans="1:5" x14ac:dyDescent="0.3">
      <c r="A3203" t="s">
        <v>4017</v>
      </c>
      <c r="B3203">
        <v>2100057709</v>
      </c>
      <c r="C3203" t="s">
        <v>4202</v>
      </c>
      <c r="D3203" t="s">
        <v>4203</v>
      </c>
      <c r="E3203" t="str">
        <f t="shared" ref="E3203:E3266" si="50">A3203&amp;B3203</f>
        <v>DNS2100057709</v>
      </c>
    </row>
    <row r="3204" spans="1:5" x14ac:dyDescent="0.3">
      <c r="A3204" t="s">
        <v>4017</v>
      </c>
      <c r="B3204">
        <v>2100069900</v>
      </c>
      <c r="C3204" t="s">
        <v>1447</v>
      </c>
      <c r="D3204" t="s">
        <v>4204</v>
      </c>
      <c r="E3204" t="str">
        <f t="shared" si="50"/>
        <v>DNS2100069900</v>
      </c>
    </row>
    <row r="3205" spans="1:5" x14ac:dyDescent="0.3">
      <c r="A3205" t="s">
        <v>4017</v>
      </c>
      <c r="B3205">
        <v>2100087321</v>
      </c>
      <c r="C3205" t="s">
        <v>1291</v>
      </c>
      <c r="D3205" t="s">
        <v>4205</v>
      </c>
      <c r="E3205" t="str">
        <f t="shared" si="50"/>
        <v>DNS2100087321</v>
      </c>
    </row>
    <row r="3206" spans="1:5" x14ac:dyDescent="0.3">
      <c r="A3206" t="s">
        <v>4017</v>
      </c>
      <c r="B3206">
        <v>1830007972</v>
      </c>
      <c r="C3206" t="s">
        <v>1020</v>
      </c>
      <c r="D3206" t="s">
        <v>4206</v>
      </c>
      <c r="E3206" t="str">
        <f t="shared" si="50"/>
        <v>DNS1830007972</v>
      </c>
    </row>
    <row r="3207" spans="1:5" x14ac:dyDescent="0.3">
      <c r="A3207" t="s">
        <v>4017</v>
      </c>
      <c r="B3207">
        <v>1830004998</v>
      </c>
      <c r="C3207" t="s">
        <v>1022</v>
      </c>
      <c r="D3207" t="s">
        <v>4207</v>
      </c>
      <c r="E3207" t="str">
        <f t="shared" si="50"/>
        <v>DNS1830004998</v>
      </c>
    </row>
    <row r="3208" spans="1:5" x14ac:dyDescent="0.3">
      <c r="A3208" t="s">
        <v>4017</v>
      </c>
      <c r="B3208">
        <v>1830005000</v>
      </c>
      <c r="C3208" t="s">
        <v>1268</v>
      </c>
      <c r="D3208" t="s">
        <v>4208</v>
      </c>
      <c r="E3208" t="str">
        <f t="shared" si="50"/>
        <v>DNS1830005000</v>
      </c>
    </row>
    <row r="3209" spans="1:5" x14ac:dyDescent="0.3">
      <c r="A3209" t="s">
        <v>4017</v>
      </c>
      <c r="B3209">
        <v>1830007990</v>
      </c>
      <c r="C3209" t="s">
        <v>1182</v>
      </c>
      <c r="D3209" t="s">
        <v>4209</v>
      </c>
      <c r="E3209" t="str">
        <f t="shared" si="50"/>
        <v>DNS1830007990</v>
      </c>
    </row>
    <row r="3210" spans="1:5" x14ac:dyDescent="0.3">
      <c r="A3210" t="s">
        <v>4017</v>
      </c>
      <c r="B3210">
        <v>1830006703</v>
      </c>
      <c r="C3210" t="s">
        <v>2225</v>
      </c>
      <c r="D3210" t="s">
        <v>4210</v>
      </c>
      <c r="E3210" t="str">
        <f t="shared" si="50"/>
        <v>DNS1830006703</v>
      </c>
    </row>
    <row r="3211" spans="1:5" x14ac:dyDescent="0.3">
      <c r="A3211" t="s">
        <v>4017</v>
      </c>
      <c r="B3211">
        <v>1830008167</v>
      </c>
      <c r="C3211" t="s">
        <v>4211</v>
      </c>
      <c r="D3211" t="s">
        <v>4212</v>
      </c>
      <c r="E3211" t="str">
        <f t="shared" si="50"/>
        <v>DNS1830008167</v>
      </c>
    </row>
    <row r="3212" spans="1:5" x14ac:dyDescent="0.3">
      <c r="A3212" t="s">
        <v>4017</v>
      </c>
      <c r="B3212">
        <v>1830007973</v>
      </c>
      <c r="C3212" t="s">
        <v>1018</v>
      </c>
      <c r="D3212" t="s">
        <v>4213</v>
      </c>
      <c r="E3212" t="str">
        <f t="shared" si="50"/>
        <v>DNS1830007973</v>
      </c>
    </row>
    <row r="3213" spans="1:5" x14ac:dyDescent="0.3">
      <c r="A3213" t="s">
        <v>4017</v>
      </c>
      <c r="B3213">
        <v>1830007031</v>
      </c>
      <c r="C3213" t="s">
        <v>1088</v>
      </c>
      <c r="D3213" t="s">
        <v>4214</v>
      </c>
      <c r="E3213" t="str">
        <f t="shared" si="50"/>
        <v>DNS1830007031</v>
      </c>
    </row>
    <row r="3214" spans="1:5" x14ac:dyDescent="0.3">
      <c r="A3214" t="s">
        <v>4017</v>
      </c>
      <c r="B3214">
        <v>1830007120</v>
      </c>
      <c r="C3214" t="s">
        <v>2959</v>
      </c>
      <c r="D3214" t="s">
        <v>4215</v>
      </c>
      <c r="E3214" t="str">
        <f t="shared" si="50"/>
        <v>DNS1830007120</v>
      </c>
    </row>
    <row r="3215" spans="1:5" x14ac:dyDescent="0.3">
      <c r="A3215" t="s">
        <v>4017</v>
      </c>
      <c r="B3215">
        <v>2210014973</v>
      </c>
      <c r="C3215" t="s">
        <v>2090</v>
      </c>
      <c r="D3215" t="s">
        <v>4216</v>
      </c>
      <c r="E3215" t="str">
        <f t="shared" si="50"/>
        <v>DNS2210014973</v>
      </c>
    </row>
    <row r="3216" spans="1:5" x14ac:dyDescent="0.3">
      <c r="A3216" t="s">
        <v>4017</v>
      </c>
      <c r="B3216">
        <v>2210019196</v>
      </c>
      <c r="C3216" t="s">
        <v>612</v>
      </c>
      <c r="D3216" t="s">
        <v>4217</v>
      </c>
      <c r="E3216" t="str">
        <f t="shared" si="50"/>
        <v>DNS2210019196</v>
      </c>
    </row>
    <row r="3217" spans="1:5" x14ac:dyDescent="0.3">
      <c r="A3217" t="s">
        <v>4017</v>
      </c>
      <c r="B3217">
        <v>2210018196</v>
      </c>
      <c r="C3217" t="s">
        <v>608</v>
      </c>
      <c r="D3217" t="s">
        <v>4218</v>
      </c>
      <c r="E3217" t="str">
        <f t="shared" si="50"/>
        <v>DNS2210018196</v>
      </c>
    </row>
    <row r="3218" spans="1:5" x14ac:dyDescent="0.3">
      <c r="A3218" t="s">
        <v>4017</v>
      </c>
      <c r="B3218">
        <v>8010000276</v>
      </c>
      <c r="C3218" t="s">
        <v>2439</v>
      </c>
      <c r="D3218" t="s">
        <v>4219</v>
      </c>
      <c r="E3218" t="str">
        <f t="shared" si="50"/>
        <v>DNS8010000276</v>
      </c>
    </row>
    <row r="3219" spans="1:5" x14ac:dyDescent="0.3">
      <c r="A3219" t="s">
        <v>4017</v>
      </c>
      <c r="B3219">
        <v>8000035985</v>
      </c>
      <c r="C3219" t="s">
        <v>1258</v>
      </c>
      <c r="D3219" t="s">
        <v>4220</v>
      </c>
      <c r="E3219" t="str">
        <f t="shared" si="50"/>
        <v>DNS8000035985</v>
      </c>
    </row>
    <row r="3220" spans="1:5" x14ac:dyDescent="0.3">
      <c r="A3220" t="s">
        <v>4017</v>
      </c>
      <c r="B3220">
        <v>7211004050</v>
      </c>
      <c r="C3220" t="s">
        <v>1114</v>
      </c>
      <c r="D3220" t="s">
        <v>4221</v>
      </c>
      <c r="E3220" t="str">
        <f t="shared" si="50"/>
        <v>DNS7211004050</v>
      </c>
    </row>
    <row r="3221" spans="1:5" x14ac:dyDescent="0.3">
      <c r="A3221" t="s">
        <v>4017</v>
      </c>
      <c r="B3221">
        <v>7211004007</v>
      </c>
      <c r="C3221" t="s">
        <v>4222</v>
      </c>
      <c r="D3221" t="s">
        <v>4223</v>
      </c>
      <c r="E3221" t="str">
        <f t="shared" si="50"/>
        <v>DNS7211004007</v>
      </c>
    </row>
    <row r="3222" spans="1:5" x14ac:dyDescent="0.3">
      <c r="A3222" t="s">
        <v>4017</v>
      </c>
      <c r="B3222">
        <v>7211003861</v>
      </c>
      <c r="C3222" t="s">
        <v>1100</v>
      </c>
      <c r="D3222" t="s">
        <v>4224</v>
      </c>
      <c r="E3222" t="str">
        <f t="shared" si="50"/>
        <v>DNS7211003861</v>
      </c>
    </row>
    <row r="3223" spans="1:5" x14ac:dyDescent="0.3">
      <c r="A3223" t="s">
        <v>4017</v>
      </c>
      <c r="B3223">
        <v>7211002101</v>
      </c>
      <c r="C3223" t="s">
        <v>425</v>
      </c>
      <c r="D3223" t="s">
        <v>4225</v>
      </c>
      <c r="E3223" t="str">
        <f t="shared" si="50"/>
        <v>DNS7211002101</v>
      </c>
    </row>
    <row r="3224" spans="1:5" x14ac:dyDescent="0.3">
      <c r="A3224" t="s">
        <v>4017</v>
      </c>
      <c r="B3224">
        <v>7211003108</v>
      </c>
      <c r="C3224" t="s">
        <v>49</v>
      </c>
      <c r="D3224" t="s">
        <v>4226</v>
      </c>
      <c r="E3224" t="str">
        <f t="shared" si="50"/>
        <v>DNS7211003108</v>
      </c>
    </row>
    <row r="3225" spans="1:5" x14ac:dyDescent="0.3">
      <c r="A3225" t="s">
        <v>4017</v>
      </c>
      <c r="B3225">
        <v>7211003399</v>
      </c>
      <c r="C3225" t="s">
        <v>50</v>
      </c>
      <c r="D3225" t="s">
        <v>4227</v>
      </c>
      <c r="E3225" t="str">
        <f t="shared" si="50"/>
        <v>DNS7211003399</v>
      </c>
    </row>
    <row r="3226" spans="1:5" x14ac:dyDescent="0.3">
      <c r="A3226" t="s">
        <v>4017</v>
      </c>
      <c r="B3226">
        <v>1830005197</v>
      </c>
      <c r="C3226" t="s">
        <v>529</v>
      </c>
      <c r="D3226" t="s">
        <v>4228</v>
      </c>
      <c r="E3226" t="str">
        <f t="shared" si="50"/>
        <v>DNS1830005197</v>
      </c>
    </row>
    <row r="3227" spans="1:5" x14ac:dyDescent="0.3">
      <c r="A3227" t="s">
        <v>4017</v>
      </c>
      <c r="B3227">
        <v>1830007558</v>
      </c>
      <c r="C3227" t="s">
        <v>1411</v>
      </c>
      <c r="D3227" t="s">
        <v>4229</v>
      </c>
      <c r="E3227" t="str">
        <f t="shared" si="50"/>
        <v>DNS1830007558</v>
      </c>
    </row>
    <row r="3228" spans="1:5" x14ac:dyDescent="0.3">
      <c r="A3228" t="s">
        <v>4017</v>
      </c>
      <c r="B3228">
        <v>1830006536</v>
      </c>
      <c r="C3228" t="s">
        <v>1415</v>
      </c>
      <c r="D3228" t="s">
        <v>4230</v>
      </c>
      <c r="E3228" t="str">
        <f t="shared" si="50"/>
        <v>DNS1830006536</v>
      </c>
    </row>
    <row r="3229" spans="1:5" x14ac:dyDescent="0.3">
      <c r="A3229" t="s">
        <v>4017</v>
      </c>
      <c r="B3229">
        <v>1500868890</v>
      </c>
      <c r="C3229" t="s">
        <v>1343</v>
      </c>
      <c r="D3229" t="s">
        <v>4231</v>
      </c>
      <c r="E3229" t="str">
        <f t="shared" si="50"/>
        <v>DNS1500868890</v>
      </c>
    </row>
    <row r="3230" spans="1:5" x14ac:dyDescent="0.3">
      <c r="A3230" t="s">
        <v>4017</v>
      </c>
      <c r="B3230">
        <v>1500868891</v>
      </c>
      <c r="C3230" t="s">
        <v>1341</v>
      </c>
      <c r="D3230" t="s">
        <v>4232</v>
      </c>
      <c r="E3230" t="str">
        <f t="shared" si="50"/>
        <v>DNS1500868891</v>
      </c>
    </row>
    <row r="3231" spans="1:5" x14ac:dyDescent="0.3">
      <c r="A3231" t="s">
        <v>4017</v>
      </c>
      <c r="B3231">
        <v>8010000095</v>
      </c>
      <c r="C3231" t="s">
        <v>819</v>
      </c>
      <c r="D3231" t="s">
        <v>4233</v>
      </c>
      <c r="E3231" t="str">
        <f t="shared" si="50"/>
        <v>DNS8010000095</v>
      </c>
    </row>
    <row r="3232" spans="1:5" x14ac:dyDescent="0.3">
      <c r="A3232" t="s">
        <v>4017</v>
      </c>
      <c r="B3232">
        <v>8010000135</v>
      </c>
      <c r="C3232" t="s">
        <v>4234</v>
      </c>
      <c r="D3232" t="s">
        <v>4235</v>
      </c>
      <c r="E3232" t="str">
        <f t="shared" si="50"/>
        <v>DNS8010000135</v>
      </c>
    </row>
    <row r="3233" spans="1:5" x14ac:dyDescent="0.3">
      <c r="A3233" t="s">
        <v>4017</v>
      </c>
      <c r="B3233">
        <v>8010000136</v>
      </c>
      <c r="C3233" t="s">
        <v>2452</v>
      </c>
      <c r="D3233" t="s">
        <v>4236</v>
      </c>
      <c r="E3233" t="str">
        <f t="shared" si="50"/>
        <v>DNS8010000136</v>
      </c>
    </row>
    <row r="3234" spans="1:5" x14ac:dyDescent="0.3">
      <c r="A3234" t="s">
        <v>4017</v>
      </c>
      <c r="B3234">
        <v>1510001152</v>
      </c>
      <c r="C3234" t="s">
        <v>3890</v>
      </c>
      <c r="D3234" t="s">
        <v>4237</v>
      </c>
      <c r="E3234" t="str">
        <f t="shared" si="50"/>
        <v>DNS1510001152</v>
      </c>
    </row>
    <row r="3235" spans="1:5" x14ac:dyDescent="0.3">
      <c r="A3235" t="s">
        <v>4017</v>
      </c>
      <c r="B3235">
        <v>1510001687</v>
      </c>
      <c r="C3235" t="s">
        <v>70</v>
      </c>
      <c r="D3235" t="s">
        <v>4238</v>
      </c>
      <c r="E3235" t="str">
        <f t="shared" si="50"/>
        <v>DNS1510001687</v>
      </c>
    </row>
    <row r="3236" spans="1:5" x14ac:dyDescent="0.3">
      <c r="A3236" t="s">
        <v>4017</v>
      </c>
      <c r="B3236">
        <v>1510001319</v>
      </c>
      <c r="C3236" t="s">
        <v>69</v>
      </c>
      <c r="D3236" t="s">
        <v>4239</v>
      </c>
      <c r="E3236" t="str">
        <f t="shared" si="50"/>
        <v>DNS1510001319</v>
      </c>
    </row>
    <row r="3237" spans="1:5" x14ac:dyDescent="0.3">
      <c r="A3237" t="s">
        <v>4017</v>
      </c>
      <c r="B3237">
        <v>1510001599</v>
      </c>
      <c r="C3237" t="s">
        <v>66</v>
      </c>
      <c r="D3237" t="s">
        <v>4240</v>
      </c>
      <c r="E3237" t="str">
        <f t="shared" si="50"/>
        <v>DNS1510001599</v>
      </c>
    </row>
    <row r="3238" spans="1:5" x14ac:dyDescent="0.3">
      <c r="A3238" t="s">
        <v>4017</v>
      </c>
      <c r="B3238">
        <v>1510001324</v>
      </c>
      <c r="C3238" t="s">
        <v>778</v>
      </c>
      <c r="D3238" t="s">
        <v>4241</v>
      </c>
      <c r="E3238" t="str">
        <f t="shared" si="50"/>
        <v>DNS1510001324</v>
      </c>
    </row>
    <row r="3239" spans="1:5" x14ac:dyDescent="0.3">
      <c r="A3239" t="s">
        <v>4017</v>
      </c>
      <c r="B3239">
        <v>8010000982</v>
      </c>
      <c r="C3239" t="s">
        <v>1274</v>
      </c>
      <c r="D3239" t="s">
        <v>4242</v>
      </c>
      <c r="E3239" t="str">
        <f t="shared" si="50"/>
        <v>DNS8010000982</v>
      </c>
    </row>
    <row r="3240" spans="1:5" x14ac:dyDescent="0.3">
      <c r="A3240" t="s">
        <v>4017</v>
      </c>
      <c r="B3240">
        <v>1500869984</v>
      </c>
      <c r="C3240" t="s">
        <v>65</v>
      </c>
      <c r="D3240" t="s">
        <v>4243</v>
      </c>
      <c r="E3240" t="str">
        <f t="shared" si="50"/>
        <v>DNS1500869984</v>
      </c>
    </row>
    <row r="3241" spans="1:5" x14ac:dyDescent="0.3">
      <c r="A3241" t="s">
        <v>4017</v>
      </c>
      <c r="B3241">
        <v>2211400757</v>
      </c>
      <c r="C3241" t="s">
        <v>1988</v>
      </c>
      <c r="D3241" t="s">
        <v>4244</v>
      </c>
      <c r="E3241" t="str">
        <f t="shared" si="50"/>
        <v>DNS2211400757</v>
      </c>
    </row>
    <row r="3242" spans="1:5" x14ac:dyDescent="0.3">
      <c r="A3242" t="s">
        <v>4017</v>
      </c>
      <c r="B3242">
        <v>2211400764</v>
      </c>
      <c r="C3242" t="s">
        <v>1505</v>
      </c>
      <c r="D3242" t="s">
        <v>4245</v>
      </c>
      <c r="E3242" t="str">
        <f t="shared" si="50"/>
        <v>DNS2211400764</v>
      </c>
    </row>
    <row r="3243" spans="1:5" x14ac:dyDescent="0.3">
      <c r="A3243" t="s">
        <v>4017</v>
      </c>
      <c r="B3243">
        <v>2211400821</v>
      </c>
      <c r="C3243" t="s">
        <v>4246</v>
      </c>
      <c r="D3243" t="s">
        <v>4247</v>
      </c>
      <c r="E3243" t="str">
        <f t="shared" si="50"/>
        <v>DNS2211400821</v>
      </c>
    </row>
    <row r="3244" spans="1:5" x14ac:dyDescent="0.3">
      <c r="A3244" t="s">
        <v>4017</v>
      </c>
      <c r="B3244">
        <v>2100093260</v>
      </c>
      <c r="C3244" t="s">
        <v>1461</v>
      </c>
      <c r="D3244" t="s">
        <v>4248</v>
      </c>
      <c r="E3244" t="str">
        <f t="shared" si="50"/>
        <v>DNS2100093260</v>
      </c>
    </row>
    <row r="3245" spans="1:5" x14ac:dyDescent="0.3">
      <c r="A3245" t="s">
        <v>4017</v>
      </c>
      <c r="B3245">
        <v>2211400515</v>
      </c>
      <c r="C3245" t="s">
        <v>3111</v>
      </c>
      <c r="D3245" t="s">
        <v>4249</v>
      </c>
      <c r="E3245" t="str">
        <f t="shared" si="50"/>
        <v>DNS2211400515</v>
      </c>
    </row>
    <row r="3246" spans="1:5" x14ac:dyDescent="0.3">
      <c r="A3246" t="s">
        <v>4017</v>
      </c>
      <c r="B3246">
        <v>2100119878</v>
      </c>
      <c r="C3246" t="s">
        <v>4250</v>
      </c>
      <c r="D3246" t="s">
        <v>4251</v>
      </c>
      <c r="E3246" t="str">
        <f t="shared" si="50"/>
        <v>DNS2100119878</v>
      </c>
    </row>
    <row r="3247" spans="1:5" x14ac:dyDescent="0.3">
      <c r="A3247" t="s">
        <v>4017</v>
      </c>
      <c r="B3247">
        <v>2100119879</v>
      </c>
      <c r="C3247" t="s">
        <v>4252</v>
      </c>
      <c r="D3247" t="s">
        <v>4253</v>
      </c>
      <c r="E3247" t="str">
        <f t="shared" si="50"/>
        <v>DNS2100119879</v>
      </c>
    </row>
    <row r="3248" spans="1:5" x14ac:dyDescent="0.3">
      <c r="A3248" t="s">
        <v>4017</v>
      </c>
      <c r="B3248">
        <v>2100096006</v>
      </c>
      <c r="C3248" t="s">
        <v>2441</v>
      </c>
      <c r="D3248" t="s">
        <v>4254</v>
      </c>
      <c r="E3248" t="str">
        <f t="shared" si="50"/>
        <v>DNS2100096006</v>
      </c>
    </row>
    <row r="3249" spans="1:5" x14ac:dyDescent="0.3">
      <c r="A3249" t="s">
        <v>4017</v>
      </c>
      <c r="B3249">
        <v>9100024804</v>
      </c>
      <c r="C3249">
        <v>4175810</v>
      </c>
      <c r="D3249" t="s">
        <v>4255</v>
      </c>
      <c r="E3249" t="str">
        <f t="shared" si="50"/>
        <v>DNS9100024804</v>
      </c>
    </row>
    <row r="3250" spans="1:5" x14ac:dyDescent="0.3">
      <c r="A3250" t="s">
        <v>4017</v>
      </c>
      <c r="B3250">
        <v>9100024805</v>
      </c>
      <c r="C3250">
        <v>4175820</v>
      </c>
      <c r="D3250" t="s">
        <v>4256</v>
      </c>
      <c r="E3250" t="str">
        <f t="shared" si="50"/>
        <v>DNS9100024805</v>
      </c>
    </row>
    <row r="3251" spans="1:5" x14ac:dyDescent="0.3">
      <c r="A3251" t="s">
        <v>4017</v>
      </c>
      <c r="B3251">
        <v>9100027685</v>
      </c>
      <c r="C3251">
        <v>4181810</v>
      </c>
      <c r="D3251" t="s">
        <v>4257</v>
      </c>
      <c r="E3251" t="str">
        <f t="shared" si="50"/>
        <v>DNS9100027685</v>
      </c>
    </row>
    <row r="3252" spans="1:5" x14ac:dyDescent="0.3">
      <c r="A3252" t="s">
        <v>4017</v>
      </c>
      <c r="B3252">
        <v>9100027686</v>
      </c>
      <c r="C3252">
        <v>4181820</v>
      </c>
      <c r="D3252" t="s">
        <v>4258</v>
      </c>
      <c r="E3252" t="str">
        <f t="shared" si="50"/>
        <v>DNS9100027686</v>
      </c>
    </row>
    <row r="3253" spans="1:5" x14ac:dyDescent="0.3">
      <c r="A3253" t="s">
        <v>4017</v>
      </c>
      <c r="B3253">
        <v>9100027687</v>
      </c>
      <c r="C3253">
        <v>4181830</v>
      </c>
      <c r="D3253" t="s">
        <v>4259</v>
      </c>
      <c r="E3253" t="str">
        <f t="shared" si="50"/>
        <v>DNS9100027687</v>
      </c>
    </row>
    <row r="3254" spans="1:5" x14ac:dyDescent="0.3">
      <c r="A3254" t="s">
        <v>4017</v>
      </c>
      <c r="B3254">
        <v>9100024806</v>
      </c>
      <c r="C3254">
        <v>4175830</v>
      </c>
      <c r="D3254" t="s">
        <v>4260</v>
      </c>
      <c r="E3254" t="str">
        <f t="shared" si="50"/>
        <v>DNS9100024806</v>
      </c>
    </row>
    <row r="3255" spans="1:5" x14ac:dyDescent="0.3">
      <c r="A3255" t="s">
        <v>4017</v>
      </c>
      <c r="B3255">
        <v>9100040162</v>
      </c>
      <c r="C3255">
        <v>4181840</v>
      </c>
      <c r="D3255" t="s">
        <v>4261</v>
      </c>
      <c r="E3255" t="str">
        <f t="shared" si="50"/>
        <v>DNS9100040162</v>
      </c>
    </row>
    <row r="3256" spans="1:5" x14ac:dyDescent="0.3">
      <c r="A3256" t="s">
        <v>4017</v>
      </c>
      <c r="B3256">
        <v>2100096877</v>
      </c>
      <c r="C3256" t="s">
        <v>4262</v>
      </c>
      <c r="D3256" t="s">
        <v>4263</v>
      </c>
      <c r="E3256" t="str">
        <f t="shared" si="50"/>
        <v>DNS2100096877</v>
      </c>
    </row>
    <row r="3257" spans="1:5" x14ac:dyDescent="0.3">
      <c r="A3257" t="s">
        <v>4017</v>
      </c>
      <c r="B3257">
        <v>2100096878</v>
      </c>
      <c r="C3257" t="s">
        <v>4264</v>
      </c>
      <c r="D3257" t="s">
        <v>4265</v>
      </c>
      <c r="E3257" t="str">
        <f t="shared" si="50"/>
        <v>DNS2100096878</v>
      </c>
    </row>
    <row r="3258" spans="1:5" x14ac:dyDescent="0.3">
      <c r="A3258" t="s">
        <v>4017</v>
      </c>
      <c r="B3258">
        <v>2100096879</v>
      </c>
      <c r="C3258" t="s">
        <v>4266</v>
      </c>
      <c r="D3258" t="s">
        <v>4267</v>
      </c>
      <c r="E3258" t="str">
        <f t="shared" si="50"/>
        <v>DNS2100096879</v>
      </c>
    </row>
    <row r="3259" spans="1:5" x14ac:dyDescent="0.3">
      <c r="A3259" t="s">
        <v>4017</v>
      </c>
      <c r="B3259">
        <v>2100113896</v>
      </c>
      <c r="C3259" t="s">
        <v>4268</v>
      </c>
      <c r="D3259" t="s">
        <v>4269</v>
      </c>
      <c r="E3259" t="str">
        <f t="shared" si="50"/>
        <v>DNS2100113896</v>
      </c>
    </row>
    <row r="3260" spans="1:5" x14ac:dyDescent="0.3">
      <c r="A3260" t="s">
        <v>4017</v>
      </c>
      <c r="B3260">
        <v>2100119132</v>
      </c>
      <c r="C3260" t="s">
        <v>3092</v>
      </c>
      <c r="D3260" t="s">
        <v>4270</v>
      </c>
      <c r="E3260" t="str">
        <f t="shared" si="50"/>
        <v>DNS2100119132</v>
      </c>
    </row>
    <row r="3261" spans="1:5" x14ac:dyDescent="0.3">
      <c r="A3261" t="s">
        <v>4017</v>
      </c>
      <c r="B3261">
        <v>2100113162</v>
      </c>
      <c r="C3261" t="s">
        <v>83</v>
      </c>
      <c r="D3261" t="s">
        <v>4271</v>
      </c>
      <c r="E3261" t="str">
        <f t="shared" si="50"/>
        <v>DNS2100113162</v>
      </c>
    </row>
    <row r="3262" spans="1:5" x14ac:dyDescent="0.3">
      <c r="A3262" t="s">
        <v>4017</v>
      </c>
      <c r="B3262">
        <v>2100122930</v>
      </c>
      <c r="C3262" t="s">
        <v>401</v>
      </c>
      <c r="D3262" t="s">
        <v>4272</v>
      </c>
      <c r="E3262" t="str">
        <f t="shared" si="50"/>
        <v>DNS2100122930</v>
      </c>
    </row>
    <row r="3263" spans="1:5" x14ac:dyDescent="0.3">
      <c r="A3263" t="s">
        <v>4017</v>
      </c>
      <c r="B3263">
        <v>2100113163</v>
      </c>
      <c r="C3263" t="s">
        <v>4273</v>
      </c>
      <c r="D3263" t="s">
        <v>4274</v>
      </c>
      <c r="E3263" t="str">
        <f t="shared" si="50"/>
        <v>DNS2100113163</v>
      </c>
    </row>
    <row r="3264" spans="1:5" x14ac:dyDescent="0.3">
      <c r="A3264" t="s">
        <v>4017</v>
      </c>
      <c r="B3264">
        <v>2100115982</v>
      </c>
      <c r="C3264" t="s">
        <v>85</v>
      </c>
      <c r="D3264" t="s">
        <v>4275</v>
      </c>
      <c r="E3264" t="str">
        <f t="shared" si="50"/>
        <v>DNS2100115982</v>
      </c>
    </row>
    <row r="3265" spans="1:5" x14ac:dyDescent="0.3">
      <c r="A3265" t="s">
        <v>4017</v>
      </c>
      <c r="B3265">
        <v>2100114427</v>
      </c>
      <c r="C3265" t="s">
        <v>4276</v>
      </c>
      <c r="D3265" t="s">
        <v>4277</v>
      </c>
      <c r="E3265" t="str">
        <f t="shared" si="50"/>
        <v>DNS2100114427</v>
      </c>
    </row>
    <row r="3266" spans="1:5" x14ac:dyDescent="0.3">
      <c r="A3266" t="s">
        <v>4017</v>
      </c>
      <c r="B3266">
        <v>2100115981</v>
      </c>
      <c r="C3266" t="s">
        <v>1184</v>
      </c>
      <c r="D3266" t="s">
        <v>4278</v>
      </c>
      <c r="E3266" t="str">
        <f t="shared" si="50"/>
        <v>DNS2100115981</v>
      </c>
    </row>
    <row r="3267" spans="1:5" x14ac:dyDescent="0.3">
      <c r="A3267" t="s">
        <v>4017</v>
      </c>
      <c r="B3267">
        <v>2100118829</v>
      </c>
      <c r="C3267" t="s">
        <v>427</v>
      </c>
      <c r="D3267" t="s">
        <v>4279</v>
      </c>
      <c r="E3267" t="str">
        <f t="shared" ref="E3267:E3330" si="51">A3267&amp;B3267</f>
        <v>DNS2100118829</v>
      </c>
    </row>
    <row r="3268" spans="1:5" x14ac:dyDescent="0.3">
      <c r="A3268" t="s">
        <v>4017</v>
      </c>
      <c r="B3268">
        <v>2100118826</v>
      </c>
      <c r="C3268" t="s">
        <v>4280</v>
      </c>
      <c r="D3268" t="s">
        <v>4281</v>
      </c>
      <c r="E3268" t="str">
        <f t="shared" si="51"/>
        <v>DNS2100118826</v>
      </c>
    </row>
    <row r="3269" spans="1:5" x14ac:dyDescent="0.3">
      <c r="A3269" t="s">
        <v>4017</v>
      </c>
      <c r="B3269">
        <v>2100118828</v>
      </c>
      <c r="C3269" t="s">
        <v>1567</v>
      </c>
      <c r="D3269" t="s">
        <v>4282</v>
      </c>
      <c r="E3269" t="str">
        <f t="shared" si="51"/>
        <v>DNS2100118828</v>
      </c>
    </row>
    <row r="3270" spans="1:5" x14ac:dyDescent="0.3">
      <c r="A3270" t="s">
        <v>4017</v>
      </c>
      <c r="B3270">
        <v>2100119894</v>
      </c>
      <c r="C3270" t="s">
        <v>3130</v>
      </c>
      <c r="D3270" t="s">
        <v>4283</v>
      </c>
      <c r="E3270" t="str">
        <f t="shared" si="51"/>
        <v>DNS2100119894</v>
      </c>
    </row>
    <row r="3271" spans="1:5" x14ac:dyDescent="0.3">
      <c r="A3271" t="s">
        <v>4017</v>
      </c>
      <c r="B3271">
        <v>2841851000</v>
      </c>
      <c r="C3271" t="s">
        <v>1874</v>
      </c>
      <c r="D3271" t="s">
        <v>4284</v>
      </c>
      <c r="E3271" t="str">
        <f t="shared" si="51"/>
        <v>DNS2841851000</v>
      </c>
    </row>
    <row r="3272" spans="1:5" x14ac:dyDescent="0.3">
      <c r="A3272" t="s">
        <v>4017</v>
      </c>
      <c r="B3272">
        <v>2211400487</v>
      </c>
      <c r="C3272" t="s">
        <v>3113</v>
      </c>
      <c r="D3272" t="s">
        <v>4285</v>
      </c>
      <c r="E3272" t="str">
        <f t="shared" si="51"/>
        <v>DNS2211400487</v>
      </c>
    </row>
    <row r="3273" spans="1:5" x14ac:dyDescent="0.3">
      <c r="A3273" t="s">
        <v>4017</v>
      </c>
      <c r="B3273">
        <v>2211400486</v>
      </c>
      <c r="C3273" t="s">
        <v>4286</v>
      </c>
      <c r="D3273" t="s">
        <v>4287</v>
      </c>
      <c r="E3273" t="str">
        <f t="shared" si="51"/>
        <v>DNS2211400486</v>
      </c>
    </row>
    <row r="3274" spans="1:5" x14ac:dyDescent="0.3">
      <c r="A3274" t="s">
        <v>4017</v>
      </c>
      <c r="B3274">
        <v>2211400752</v>
      </c>
      <c r="C3274" t="s">
        <v>2345</v>
      </c>
      <c r="D3274" t="s">
        <v>4288</v>
      </c>
      <c r="E3274" t="str">
        <f t="shared" si="51"/>
        <v>DNS2211400752</v>
      </c>
    </row>
    <row r="3275" spans="1:5" x14ac:dyDescent="0.3">
      <c r="A3275" t="s">
        <v>4017</v>
      </c>
      <c r="B3275">
        <v>8000035596</v>
      </c>
      <c r="C3275" t="s">
        <v>2494</v>
      </c>
      <c r="D3275" t="s">
        <v>4289</v>
      </c>
      <c r="E3275" t="str">
        <f t="shared" si="51"/>
        <v>DNS8000035596</v>
      </c>
    </row>
    <row r="3276" spans="1:5" x14ac:dyDescent="0.3">
      <c r="A3276" t="s">
        <v>4017</v>
      </c>
      <c r="B3276">
        <v>2210019195</v>
      </c>
      <c r="C3276" t="s">
        <v>1986</v>
      </c>
      <c r="D3276" t="s">
        <v>4290</v>
      </c>
      <c r="E3276" t="str">
        <f t="shared" si="51"/>
        <v>DNS2210019195</v>
      </c>
    </row>
    <row r="3277" spans="1:5" x14ac:dyDescent="0.3">
      <c r="A3277" t="s">
        <v>4017</v>
      </c>
      <c r="B3277">
        <v>2211400258</v>
      </c>
      <c r="C3277" t="s">
        <v>4291</v>
      </c>
      <c r="D3277" t="s">
        <v>4292</v>
      </c>
      <c r="E3277" t="str">
        <f t="shared" si="51"/>
        <v>DNS2211400258</v>
      </c>
    </row>
    <row r="3278" spans="1:5" x14ac:dyDescent="0.3">
      <c r="A3278" t="s">
        <v>4017</v>
      </c>
      <c r="B3278">
        <v>2211400514</v>
      </c>
      <c r="C3278" t="s">
        <v>3109</v>
      </c>
      <c r="D3278" t="s">
        <v>4293</v>
      </c>
      <c r="E3278" t="str">
        <f t="shared" si="51"/>
        <v>DNS2211400514</v>
      </c>
    </row>
    <row r="3279" spans="1:5" x14ac:dyDescent="0.3">
      <c r="A3279" t="s">
        <v>4017</v>
      </c>
      <c r="B3279">
        <v>2100088403</v>
      </c>
      <c r="C3279" t="s">
        <v>4294</v>
      </c>
      <c r="D3279" t="s">
        <v>4295</v>
      </c>
      <c r="E3279" t="str">
        <f t="shared" si="51"/>
        <v>DNS2100088403</v>
      </c>
    </row>
    <row r="3280" spans="1:5" x14ac:dyDescent="0.3">
      <c r="A3280" t="s">
        <v>4017</v>
      </c>
      <c r="B3280">
        <v>2100088433</v>
      </c>
      <c r="C3280" t="s">
        <v>4296</v>
      </c>
      <c r="D3280" t="s">
        <v>4297</v>
      </c>
      <c r="E3280" t="str">
        <f t="shared" si="51"/>
        <v>DNS2100088433</v>
      </c>
    </row>
    <row r="3281" spans="1:5" x14ac:dyDescent="0.3">
      <c r="A3281" t="s">
        <v>4017</v>
      </c>
      <c r="B3281">
        <v>2100088434</v>
      </c>
      <c r="C3281" t="s">
        <v>4298</v>
      </c>
      <c r="D3281" t="s">
        <v>4299</v>
      </c>
      <c r="E3281" t="str">
        <f t="shared" si="51"/>
        <v>DNS2100088434</v>
      </c>
    </row>
    <row r="3282" spans="1:5" x14ac:dyDescent="0.3">
      <c r="A3282" t="s">
        <v>4017</v>
      </c>
      <c r="B3282">
        <v>2100088399</v>
      </c>
      <c r="C3282" t="s">
        <v>4300</v>
      </c>
      <c r="D3282" t="s">
        <v>4301</v>
      </c>
      <c r="E3282" t="str">
        <f t="shared" si="51"/>
        <v>DNS2100088399</v>
      </c>
    </row>
    <row r="3283" spans="1:5" x14ac:dyDescent="0.3">
      <c r="A3283" t="s">
        <v>4017</v>
      </c>
      <c r="B3283">
        <v>2100088400</v>
      </c>
      <c r="C3283" t="s">
        <v>4302</v>
      </c>
      <c r="D3283" t="s">
        <v>4303</v>
      </c>
      <c r="E3283" t="str">
        <f t="shared" si="51"/>
        <v>DNS2100088400</v>
      </c>
    </row>
    <row r="3284" spans="1:5" x14ac:dyDescent="0.3">
      <c r="A3284" t="s">
        <v>4017</v>
      </c>
      <c r="B3284">
        <v>2100088401</v>
      </c>
      <c r="C3284" t="s">
        <v>4304</v>
      </c>
      <c r="D3284" t="s">
        <v>4305</v>
      </c>
      <c r="E3284" t="str">
        <f t="shared" si="51"/>
        <v>DNS2100088401</v>
      </c>
    </row>
    <row r="3285" spans="1:5" x14ac:dyDescent="0.3">
      <c r="A3285" t="s">
        <v>4017</v>
      </c>
      <c r="B3285">
        <v>2100122012</v>
      </c>
      <c r="C3285" t="s">
        <v>1305</v>
      </c>
      <c r="D3285" t="s">
        <v>4306</v>
      </c>
      <c r="E3285" t="str">
        <f t="shared" si="51"/>
        <v>DNS2100122012</v>
      </c>
    </row>
    <row r="3286" spans="1:5" x14ac:dyDescent="0.3">
      <c r="A3286" t="s">
        <v>4017</v>
      </c>
      <c r="B3286">
        <v>2100122010</v>
      </c>
      <c r="C3286" t="s">
        <v>1307</v>
      </c>
      <c r="D3286" t="s">
        <v>4307</v>
      </c>
      <c r="E3286" t="str">
        <f t="shared" si="51"/>
        <v>DNS2100122010</v>
      </c>
    </row>
    <row r="3287" spans="1:5" x14ac:dyDescent="0.3">
      <c r="A3287" t="s">
        <v>4017</v>
      </c>
      <c r="B3287">
        <v>2100122009</v>
      </c>
      <c r="C3287" t="s">
        <v>1311</v>
      </c>
      <c r="D3287" t="s">
        <v>4308</v>
      </c>
      <c r="E3287" t="str">
        <f t="shared" si="51"/>
        <v>DNS2100122009</v>
      </c>
    </row>
    <row r="3288" spans="1:5" x14ac:dyDescent="0.3">
      <c r="A3288" t="s">
        <v>4017</v>
      </c>
      <c r="B3288">
        <v>2100122011</v>
      </c>
      <c r="C3288" t="s">
        <v>1309</v>
      </c>
      <c r="D3288" t="s">
        <v>4309</v>
      </c>
      <c r="E3288" t="str">
        <f t="shared" si="51"/>
        <v>DNS2100122011</v>
      </c>
    </row>
    <row r="3289" spans="1:5" x14ac:dyDescent="0.3">
      <c r="A3289" t="s">
        <v>4017</v>
      </c>
      <c r="B3289">
        <v>2100088436</v>
      </c>
      <c r="C3289" t="s">
        <v>4310</v>
      </c>
      <c r="D3289" t="s">
        <v>4311</v>
      </c>
      <c r="E3289" t="str">
        <f t="shared" si="51"/>
        <v>DNS2100088436</v>
      </c>
    </row>
    <row r="3290" spans="1:5" x14ac:dyDescent="0.3">
      <c r="A3290" t="s">
        <v>4017</v>
      </c>
      <c r="B3290">
        <v>2100122017</v>
      </c>
      <c r="C3290" t="s">
        <v>4312</v>
      </c>
      <c r="D3290" t="s">
        <v>4313</v>
      </c>
      <c r="E3290" t="str">
        <f t="shared" si="51"/>
        <v>DNS2100122017</v>
      </c>
    </row>
    <row r="3291" spans="1:5" x14ac:dyDescent="0.3">
      <c r="A3291" t="s">
        <v>4017</v>
      </c>
      <c r="B3291">
        <v>2100088431</v>
      </c>
      <c r="C3291" t="s">
        <v>3912</v>
      </c>
      <c r="D3291" t="s">
        <v>4314</v>
      </c>
      <c r="E3291" t="str">
        <f t="shared" si="51"/>
        <v>DNS2100088431</v>
      </c>
    </row>
    <row r="3292" spans="1:5" x14ac:dyDescent="0.3">
      <c r="A3292" t="s">
        <v>4017</v>
      </c>
      <c r="B3292">
        <v>2100088404</v>
      </c>
      <c r="C3292" t="s">
        <v>542</v>
      </c>
      <c r="D3292" t="s">
        <v>4315</v>
      </c>
      <c r="E3292" t="str">
        <f t="shared" si="51"/>
        <v>DNS2100088404</v>
      </c>
    </row>
    <row r="3293" spans="1:5" x14ac:dyDescent="0.3">
      <c r="A3293" t="s">
        <v>4017</v>
      </c>
      <c r="B3293">
        <v>1830007232</v>
      </c>
      <c r="C3293" t="s">
        <v>4316</v>
      </c>
      <c r="D3293" t="s">
        <v>4317</v>
      </c>
      <c r="E3293" t="str">
        <f t="shared" si="51"/>
        <v>DNS1830007232</v>
      </c>
    </row>
    <row r="3294" spans="1:5" x14ac:dyDescent="0.3">
      <c r="A3294" t="s">
        <v>4017</v>
      </c>
      <c r="B3294">
        <v>1830007659</v>
      </c>
      <c r="C3294" t="s">
        <v>1062</v>
      </c>
      <c r="D3294" t="s">
        <v>4318</v>
      </c>
      <c r="E3294" t="str">
        <f t="shared" si="51"/>
        <v>DNS1830007659</v>
      </c>
    </row>
    <row r="3295" spans="1:5" x14ac:dyDescent="0.3">
      <c r="A3295" t="s">
        <v>4017</v>
      </c>
      <c r="B3295">
        <v>1830007155</v>
      </c>
      <c r="C3295" t="s">
        <v>904</v>
      </c>
      <c r="D3295" t="s">
        <v>4319</v>
      </c>
      <c r="E3295" t="str">
        <f t="shared" si="51"/>
        <v>DNS1830007155</v>
      </c>
    </row>
    <row r="3296" spans="1:5" x14ac:dyDescent="0.3">
      <c r="A3296" t="s">
        <v>4017</v>
      </c>
      <c r="B3296">
        <v>1830007750</v>
      </c>
      <c r="C3296" t="s">
        <v>1090</v>
      </c>
      <c r="D3296" t="s">
        <v>4320</v>
      </c>
      <c r="E3296" t="str">
        <f t="shared" si="51"/>
        <v>DNS1830007750</v>
      </c>
    </row>
    <row r="3297" spans="1:5" x14ac:dyDescent="0.3">
      <c r="A3297" t="s">
        <v>4017</v>
      </c>
      <c r="B3297">
        <v>1830008229</v>
      </c>
      <c r="C3297" t="s">
        <v>4321</v>
      </c>
      <c r="D3297" t="s">
        <v>4322</v>
      </c>
      <c r="E3297" t="str">
        <f t="shared" si="51"/>
        <v>DNS1830008229</v>
      </c>
    </row>
    <row r="3298" spans="1:5" x14ac:dyDescent="0.3">
      <c r="A3298" t="s">
        <v>4017</v>
      </c>
      <c r="B3298">
        <v>1830007745</v>
      </c>
      <c r="C3298" t="s">
        <v>4323</v>
      </c>
      <c r="D3298" t="s">
        <v>4324</v>
      </c>
      <c r="E3298" t="str">
        <f t="shared" si="51"/>
        <v>DNS1830007745</v>
      </c>
    </row>
    <row r="3299" spans="1:5" x14ac:dyDescent="0.3">
      <c r="A3299" t="s">
        <v>4017</v>
      </c>
      <c r="B3299">
        <v>1830006595</v>
      </c>
      <c r="C3299" t="s">
        <v>1417</v>
      </c>
      <c r="D3299" t="s">
        <v>4325</v>
      </c>
      <c r="E3299" t="str">
        <f t="shared" si="51"/>
        <v>DNS1830006595</v>
      </c>
    </row>
    <row r="3300" spans="1:5" x14ac:dyDescent="0.3">
      <c r="A3300" t="s">
        <v>4017</v>
      </c>
      <c r="B3300">
        <v>1830007173</v>
      </c>
      <c r="C3300" t="s">
        <v>2964</v>
      </c>
      <c r="D3300" t="s">
        <v>4326</v>
      </c>
      <c r="E3300" t="str">
        <f t="shared" si="51"/>
        <v>DNS1830007173</v>
      </c>
    </row>
    <row r="3301" spans="1:5" x14ac:dyDescent="0.3">
      <c r="A3301" t="s">
        <v>4017</v>
      </c>
      <c r="B3301">
        <v>1830007178</v>
      </c>
      <c r="C3301" t="s">
        <v>4327</v>
      </c>
      <c r="D3301" t="s">
        <v>4328</v>
      </c>
      <c r="E3301" t="str">
        <f t="shared" si="51"/>
        <v>DNS1830007178</v>
      </c>
    </row>
    <row r="3302" spans="1:5" x14ac:dyDescent="0.3">
      <c r="A3302" t="s">
        <v>4017</v>
      </c>
      <c r="B3302">
        <v>1830007159</v>
      </c>
      <c r="C3302" t="s">
        <v>2966</v>
      </c>
      <c r="D3302" t="s">
        <v>4329</v>
      </c>
      <c r="E3302" t="str">
        <f t="shared" si="51"/>
        <v>DNS1830007159</v>
      </c>
    </row>
    <row r="3303" spans="1:5" x14ac:dyDescent="0.3">
      <c r="A3303" t="s">
        <v>4017</v>
      </c>
      <c r="B3303">
        <v>1830007268</v>
      </c>
      <c r="C3303" t="s">
        <v>2421</v>
      </c>
      <c r="D3303" t="s">
        <v>4330</v>
      </c>
      <c r="E3303" t="str">
        <f t="shared" si="51"/>
        <v>DNS1830007268</v>
      </c>
    </row>
    <row r="3304" spans="1:5" x14ac:dyDescent="0.3">
      <c r="A3304" t="s">
        <v>4017</v>
      </c>
      <c r="B3304">
        <v>7211003488</v>
      </c>
      <c r="C3304" t="s">
        <v>2458</v>
      </c>
      <c r="D3304" t="s">
        <v>4331</v>
      </c>
      <c r="E3304" t="str">
        <f t="shared" si="51"/>
        <v>DNS7211003488</v>
      </c>
    </row>
    <row r="3305" spans="1:5" x14ac:dyDescent="0.3">
      <c r="A3305" t="s">
        <v>4017</v>
      </c>
      <c r="B3305">
        <v>7211003308</v>
      </c>
      <c r="C3305" t="s">
        <v>871</v>
      </c>
      <c r="D3305" t="s">
        <v>4332</v>
      </c>
      <c r="E3305" t="str">
        <f t="shared" si="51"/>
        <v>DNS7211003308</v>
      </c>
    </row>
    <row r="3306" spans="1:5" x14ac:dyDescent="0.3">
      <c r="A3306" t="s">
        <v>4017</v>
      </c>
      <c r="B3306">
        <v>7211003840</v>
      </c>
      <c r="C3306" t="s">
        <v>1143</v>
      </c>
      <c r="D3306" t="s">
        <v>4333</v>
      </c>
      <c r="E3306" t="str">
        <f t="shared" si="51"/>
        <v>DNS7211003840</v>
      </c>
    </row>
    <row r="3307" spans="1:5" x14ac:dyDescent="0.3">
      <c r="A3307" t="s">
        <v>4017</v>
      </c>
      <c r="B3307">
        <v>2820100630</v>
      </c>
      <c r="C3307" t="s">
        <v>457</v>
      </c>
      <c r="D3307" t="s">
        <v>4334</v>
      </c>
      <c r="E3307" t="str">
        <f t="shared" si="51"/>
        <v>DNS2820100630</v>
      </c>
    </row>
    <row r="3308" spans="1:5" x14ac:dyDescent="0.3">
      <c r="A3308" t="s">
        <v>4017</v>
      </c>
      <c r="B3308">
        <v>2820130131</v>
      </c>
      <c r="C3308" t="s">
        <v>517</v>
      </c>
      <c r="D3308" t="s">
        <v>4335</v>
      </c>
      <c r="E3308" t="str">
        <f t="shared" si="51"/>
        <v>DNS2820130131</v>
      </c>
    </row>
    <row r="3309" spans="1:5" x14ac:dyDescent="0.3">
      <c r="A3309" t="s">
        <v>4017</v>
      </c>
      <c r="B3309">
        <v>7211001105</v>
      </c>
      <c r="C3309" t="s">
        <v>4336</v>
      </c>
      <c r="D3309" t="s">
        <v>4337</v>
      </c>
      <c r="E3309" t="str">
        <f t="shared" si="51"/>
        <v>DNS7211001105</v>
      </c>
    </row>
    <row r="3310" spans="1:5" x14ac:dyDescent="0.3">
      <c r="A3310" t="s">
        <v>4017</v>
      </c>
      <c r="B3310">
        <v>2820300830</v>
      </c>
      <c r="C3310" t="s">
        <v>944</v>
      </c>
      <c r="D3310" t="s">
        <v>4338</v>
      </c>
      <c r="E3310" t="str">
        <f t="shared" si="51"/>
        <v>DNS2820300830</v>
      </c>
    </row>
    <row r="3311" spans="1:5" x14ac:dyDescent="0.3">
      <c r="A3311" t="s">
        <v>4017</v>
      </c>
      <c r="B3311">
        <v>1830006878</v>
      </c>
      <c r="C3311" t="s">
        <v>907</v>
      </c>
      <c r="D3311" t="s">
        <v>4339</v>
      </c>
      <c r="E3311" t="str">
        <f t="shared" si="51"/>
        <v>DNS1830006878</v>
      </c>
    </row>
    <row r="3312" spans="1:5" x14ac:dyDescent="0.3">
      <c r="A3312" t="s">
        <v>4017</v>
      </c>
      <c r="B3312">
        <v>1830007057</v>
      </c>
      <c r="C3312" t="s">
        <v>4340</v>
      </c>
      <c r="D3312" t="s">
        <v>4341</v>
      </c>
      <c r="E3312" t="str">
        <f t="shared" si="51"/>
        <v>DNS1830007057</v>
      </c>
    </row>
    <row r="3313" spans="1:5" x14ac:dyDescent="0.3">
      <c r="A3313" t="s">
        <v>4017</v>
      </c>
      <c r="B3313">
        <v>1830007906</v>
      </c>
      <c r="C3313" t="s">
        <v>4342</v>
      </c>
      <c r="D3313" t="s">
        <v>4343</v>
      </c>
      <c r="E3313" t="str">
        <f t="shared" si="51"/>
        <v>DNS1830007906</v>
      </c>
    </row>
    <row r="3314" spans="1:5" x14ac:dyDescent="0.3">
      <c r="A3314" t="s">
        <v>4017</v>
      </c>
      <c r="B3314">
        <v>1830007679</v>
      </c>
      <c r="C3314" t="s">
        <v>1246</v>
      </c>
      <c r="D3314" t="s">
        <v>4344</v>
      </c>
      <c r="E3314" t="str">
        <f t="shared" si="51"/>
        <v>DNS1830007679</v>
      </c>
    </row>
    <row r="3315" spans="1:5" x14ac:dyDescent="0.3">
      <c r="A3315" t="s">
        <v>4017</v>
      </c>
      <c r="B3315">
        <v>1830008188</v>
      </c>
      <c r="C3315" t="s">
        <v>4345</v>
      </c>
      <c r="D3315" t="s">
        <v>4346</v>
      </c>
      <c r="E3315" t="str">
        <f t="shared" si="51"/>
        <v>DNS1830008188</v>
      </c>
    </row>
    <row r="3316" spans="1:5" x14ac:dyDescent="0.3">
      <c r="A3316" t="s">
        <v>4017</v>
      </c>
      <c r="B3316">
        <v>1830007710</v>
      </c>
      <c r="C3316" t="s">
        <v>22</v>
      </c>
      <c r="D3316" t="s">
        <v>4347</v>
      </c>
      <c r="E3316" t="str">
        <f t="shared" si="51"/>
        <v>DNS1830007710</v>
      </c>
    </row>
    <row r="3317" spans="1:5" x14ac:dyDescent="0.3">
      <c r="A3317" t="s">
        <v>4017</v>
      </c>
      <c r="B3317">
        <v>1830007359</v>
      </c>
      <c r="C3317" t="s">
        <v>19</v>
      </c>
      <c r="D3317" t="s">
        <v>4348</v>
      </c>
      <c r="E3317" t="str">
        <f t="shared" si="51"/>
        <v>DNS1830007359</v>
      </c>
    </row>
    <row r="3318" spans="1:5" x14ac:dyDescent="0.3">
      <c r="A3318" t="s">
        <v>4017</v>
      </c>
      <c r="B3318">
        <v>1830006374</v>
      </c>
      <c r="C3318" t="s">
        <v>16</v>
      </c>
      <c r="D3318" t="s">
        <v>4349</v>
      </c>
      <c r="E3318" t="str">
        <f t="shared" si="51"/>
        <v>DNS1830006374</v>
      </c>
    </row>
    <row r="3319" spans="1:5" x14ac:dyDescent="0.3">
      <c r="A3319" t="s">
        <v>4017</v>
      </c>
      <c r="B3319">
        <v>1830007759</v>
      </c>
      <c r="C3319" t="s">
        <v>1857</v>
      </c>
      <c r="D3319" t="s">
        <v>4350</v>
      </c>
      <c r="E3319" t="str">
        <f t="shared" si="51"/>
        <v>DNS1830007759</v>
      </c>
    </row>
    <row r="3320" spans="1:5" x14ac:dyDescent="0.3">
      <c r="A3320" t="s">
        <v>4017</v>
      </c>
      <c r="B3320">
        <v>1830007309</v>
      </c>
      <c r="C3320" t="s">
        <v>4351</v>
      </c>
      <c r="D3320" t="s">
        <v>4352</v>
      </c>
      <c r="E3320" t="str">
        <f t="shared" si="51"/>
        <v>DNS1830007309</v>
      </c>
    </row>
    <row r="3321" spans="1:5" x14ac:dyDescent="0.3">
      <c r="A3321" t="s">
        <v>4017</v>
      </c>
      <c r="B3321">
        <v>1830007062</v>
      </c>
      <c r="C3321" t="s">
        <v>4353</v>
      </c>
      <c r="D3321" t="s">
        <v>4354</v>
      </c>
      <c r="E3321" t="str">
        <f t="shared" si="51"/>
        <v>DNS1830007062</v>
      </c>
    </row>
    <row r="3322" spans="1:5" x14ac:dyDescent="0.3">
      <c r="A3322" t="s">
        <v>4017</v>
      </c>
      <c r="B3322">
        <v>2211400293</v>
      </c>
      <c r="C3322" t="s">
        <v>4355</v>
      </c>
      <c r="D3322" t="s">
        <v>4356</v>
      </c>
      <c r="E3322" t="str">
        <f t="shared" si="51"/>
        <v>DNS2211400293</v>
      </c>
    </row>
    <row r="3323" spans="1:5" x14ac:dyDescent="0.3">
      <c r="A3323" t="s">
        <v>4017</v>
      </c>
      <c r="B3323">
        <v>2100057706</v>
      </c>
      <c r="C3323" t="s">
        <v>1441</v>
      </c>
      <c r="D3323" t="s">
        <v>4357</v>
      </c>
      <c r="E3323" t="str">
        <f t="shared" si="51"/>
        <v>DNS2100057706</v>
      </c>
    </row>
    <row r="3324" spans="1:5" x14ac:dyDescent="0.3">
      <c r="A3324" t="s">
        <v>4017</v>
      </c>
      <c r="B3324">
        <v>2100087318</v>
      </c>
      <c r="C3324" t="s">
        <v>1295</v>
      </c>
      <c r="D3324" t="s">
        <v>4358</v>
      </c>
      <c r="E3324" t="str">
        <f t="shared" si="51"/>
        <v>DNS2100087318</v>
      </c>
    </row>
    <row r="3325" spans="1:5" x14ac:dyDescent="0.3">
      <c r="A3325" t="s">
        <v>4017</v>
      </c>
      <c r="B3325">
        <v>2211400347</v>
      </c>
      <c r="C3325" t="s">
        <v>4359</v>
      </c>
      <c r="D3325" t="s">
        <v>4360</v>
      </c>
      <c r="E3325" t="str">
        <f t="shared" si="51"/>
        <v>DNS2211400347</v>
      </c>
    </row>
    <row r="3326" spans="1:5" x14ac:dyDescent="0.3">
      <c r="A3326" t="s">
        <v>4017</v>
      </c>
      <c r="B3326">
        <v>2211400350</v>
      </c>
      <c r="C3326" t="s">
        <v>2327</v>
      </c>
      <c r="D3326" t="s">
        <v>4361</v>
      </c>
      <c r="E3326" t="str">
        <f t="shared" si="51"/>
        <v>DNS2211400350</v>
      </c>
    </row>
    <row r="3327" spans="1:5" x14ac:dyDescent="0.3">
      <c r="A3327" t="s">
        <v>4017</v>
      </c>
      <c r="B3327">
        <v>1600005050</v>
      </c>
      <c r="C3327" t="s">
        <v>4362</v>
      </c>
      <c r="D3327" t="s">
        <v>4363</v>
      </c>
      <c r="E3327" t="str">
        <f t="shared" si="51"/>
        <v>DNS1600005050</v>
      </c>
    </row>
    <row r="3328" spans="1:5" x14ac:dyDescent="0.3">
      <c r="A3328" t="s">
        <v>4017</v>
      </c>
      <c r="B3328">
        <v>7211004387</v>
      </c>
      <c r="C3328" t="s">
        <v>4364</v>
      </c>
      <c r="D3328" t="s">
        <v>4365</v>
      </c>
      <c r="E3328" t="str">
        <f t="shared" si="51"/>
        <v>DNS7211004387</v>
      </c>
    </row>
    <row r="3329" spans="1:5" x14ac:dyDescent="0.3">
      <c r="A3329" t="s">
        <v>4017</v>
      </c>
      <c r="B3329">
        <v>2211400730</v>
      </c>
      <c r="C3329" t="s">
        <v>4366</v>
      </c>
      <c r="D3329" t="s">
        <v>4367</v>
      </c>
      <c r="E3329" t="str">
        <f t="shared" si="51"/>
        <v>DNS2211400730</v>
      </c>
    </row>
    <row r="3330" spans="1:5" x14ac:dyDescent="0.3">
      <c r="A3330" t="s">
        <v>4017</v>
      </c>
      <c r="B3330">
        <v>2211400732</v>
      </c>
      <c r="C3330" t="s">
        <v>4368</v>
      </c>
      <c r="D3330" t="s">
        <v>4369</v>
      </c>
      <c r="E3330" t="str">
        <f t="shared" si="51"/>
        <v>DNS2211400732</v>
      </c>
    </row>
    <row r="3331" spans="1:5" x14ac:dyDescent="0.3">
      <c r="A3331" t="s">
        <v>4017</v>
      </c>
      <c r="B3331">
        <v>2211400445</v>
      </c>
      <c r="C3331" t="s">
        <v>4370</v>
      </c>
      <c r="D3331" t="s">
        <v>4371</v>
      </c>
      <c r="E3331" t="str">
        <f t="shared" ref="E3331:E3394" si="52">A3331&amp;B3331</f>
        <v>DNS2211400445</v>
      </c>
    </row>
    <row r="3332" spans="1:5" x14ac:dyDescent="0.3">
      <c r="A3332" t="s">
        <v>4017</v>
      </c>
      <c r="B3332">
        <v>2211400795</v>
      </c>
      <c r="C3332" t="s">
        <v>3932</v>
      </c>
      <c r="D3332" t="s">
        <v>4372</v>
      </c>
      <c r="E3332" t="str">
        <f t="shared" si="52"/>
        <v>DNS2211400795</v>
      </c>
    </row>
    <row r="3333" spans="1:5" x14ac:dyDescent="0.3">
      <c r="A3333" t="s">
        <v>4017</v>
      </c>
      <c r="B3333">
        <v>2211400797</v>
      </c>
      <c r="C3333" t="s">
        <v>1581</v>
      </c>
      <c r="D3333" t="s">
        <v>4373</v>
      </c>
      <c r="E3333" t="str">
        <f t="shared" si="52"/>
        <v>DNS2211400797</v>
      </c>
    </row>
    <row r="3334" spans="1:5" x14ac:dyDescent="0.3">
      <c r="A3334" t="s">
        <v>4017</v>
      </c>
      <c r="B3334">
        <v>2211400854</v>
      </c>
      <c r="C3334" t="s">
        <v>29</v>
      </c>
      <c r="D3334" t="s">
        <v>4374</v>
      </c>
      <c r="E3334" t="str">
        <f t="shared" si="52"/>
        <v>DNS2211400854</v>
      </c>
    </row>
    <row r="3335" spans="1:5" x14ac:dyDescent="0.3">
      <c r="A3335" t="s">
        <v>4017</v>
      </c>
      <c r="B3335">
        <v>2211400844</v>
      </c>
      <c r="C3335" t="s">
        <v>27</v>
      </c>
      <c r="D3335" t="s">
        <v>4375</v>
      </c>
      <c r="E3335" t="str">
        <f t="shared" si="52"/>
        <v>DNS2211400844</v>
      </c>
    </row>
    <row r="3336" spans="1:5" x14ac:dyDescent="0.3">
      <c r="A3336" t="s">
        <v>4017</v>
      </c>
      <c r="B3336">
        <v>2211400810</v>
      </c>
      <c r="C3336" t="s">
        <v>25</v>
      </c>
      <c r="D3336" t="s">
        <v>4376</v>
      </c>
      <c r="E3336" t="str">
        <f t="shared" si="52"/>
        <v>DNS2211400810</v>
      </c>
    </row>
    <row r="3337" spans="1:5" x14ac:dyDescent="0.3">
      <c r="A3337" t="s">
        <v>4017</v>
      </c>
      <c r="B3337">
        <v>2211400251</v>
      </c>
      <c r="C3337" t="s">
        <v>1197</v>
      </c>
      <c r="D3337" t="s">
        <v>4377</v>
      </c>
      <c r="E3337" t="str">
        <f t="shared" si="52"/>
        <v>DNS2211400251</v>
      </c>
    </row>
    <row r="3338" spans="1:5" x14ac:dyDescent="0.3">
      <c r="A3338" t="s">
        <v>4017</v>
      </c>
      <c r="B3338">
        <v>2211400880</v>
      </c>
      <c r="C3338" t="s">
        <v>1135</v>
      </c>
      <c r="D3338" t="s">
        <v>4378</v>
      </c>
      <c r="E3338" t="str">
        <f t="shared" si="52"/>
        <v>DNS2211400880</v>
      </c>
    </row>
    <row r="3339" spans="1:5" x14ac:dyDescent="0.3">
      <c r="A3339" t="s">
        <v>4017</v>
      </c>
      <c r="B3339">
        <v>7211004327</v>
      </c>
      <c r="C3339" t="s">
        <v>1432</v>
      </c>
      <c r="D3339" t="s">
        <v>4379</v>
      </c>
      <c r="E3339" t="str">
        <f t="shared" si="52"/>
        <v>DNS7211004327</v>
      </c>
    </row>
    <row r="3340" spans="1:5" x14ac:dyDescent="0.3">
      <c r="A3340" t="s">
        <v>4017</v>
      </c>
      <c r="B3340">
        <v>2211400824</v>
      </c>
      <c r="C3340" t="s">
        <v>1130</v>
      </c>
      <c r="D3340" t="s">
        <v>4380</v>
      </c>
      <c r="E3340" t="str">
        <f t="shared" si="52"/>
        <v>DNS2211400824</v>
      </c>
    </row>
    <row r="3341" spans="1:5" x14ac:dyDescent="0.3">
      <c r="A3341" t="s">
        <v>4017</v>
      </c>
      <c r="B3341">
        <v>2211400774</v>
      </c>
      <c r="C3341" t="s">
        <v>4381</v>
      </c>
      <c r="D3341" t="s">
        <v>4382</v>
      </c>
      <c r="E3341" t="str">
        <f t="shared" si="52"/>
        <v>DNS2211400774</v>
      </c>
    </row>
    <row r="3342" spans="1:5" x14ac:dyDescent="0.3">
      <c r="A3342" t="s">
        <v>4017</v>
      </c>
      <c r="B3342">
        <v>2211400867</v>
      </c>
      <c r="C3342" t="s">
        <v>4383</v>
      </c>
      <c r="D3342" t="s">
        <v>4384</v>
      </c>
      <c r="E3342" t="str">
        <f t="shared" si="52"/>
        <v>DNS2211400867</v>
      </c>
    </row>
    <row r="3343" spans="1:5" x14ac:dyDescent="0.3">
      <c r="A3343" t="s">
        <v>4017</v>
      </c>
      <c r="B3343">
        <v>2211400905</v>
      </c>
      <c r="C3343" t="s">
        <v>4385</v>
      </c>
      <c r="D3343" t="s">
        <v>4386</v>
      </c>
      <c r="E3343" t="str">
        <f t="shared" si="52"/>
        <v>DNS2211400905</v>
      </c>
    </row>
    <row r="3344" spans="1:5" x14ac:dyDescent="0.3">
      <c r="A3344" t="s">
        <v>4017</v>
      </c>
      <c r="B3344">
        <v>2211400887</v>
      </c>
      <c r="C3344" t="s">
        <v>1132</v>
      </c>
      <c r="D3344" t="s">
        <v>4387</v>
      </c>
      <c r="E3344" t="str">
        <f t="shared" si="52"/>
        <v>DNS2211400887</v>
      </c>
    </row>
    <row r="3345" spans="1:5" x14ac:dyDescent="0.3">
      <c r="A3345" t="s">
        <v>4017</v>
      </c>
      <c r="B3345">
        <v>2211400888</v>
      </c>
      <c r="C3345" t="s">
        <v>38</v>
      </c>
      <c r="D3345" t="s">
        <v>4388</v>
      </c>
      <c r="E3345" t="str">
        <f t="shared" si="52"/>
        <v>DNS2211400888</v>
      </c>
    </row>
    <row r="3346" spans="1:5" x14ac:dyDescent="0.3">
      <c r="A3346" t="s">
        <v>4017</v>
      </c>
      <c r="B3346">
        <v>2211400818</v>
      </c>
      <c r="C3346" t="s">
        <v>1285</v>
      </c>
      <c r="D3346" t="s">
        <v>4389</v>
      </c>
      <c r="E3346" t="str">
        <f t="shared" si="52"/>
        <v>DNS2211400818</v>
      </c>
    </row>
    <row r="3347" spans="1:5" x14ac:dyDescent="0.3">
      <c r="A3347" t="s">
        <v>4017</v>
      </c>
      <c r="B3347">
        <v>2211400879</v>
      </c>
      <c r="C3347" t="s">
        <v>1122</v>
      </c>
      <c r="D3347" t="s">
        <v>4390</v>
      </c>
      <c r="E3347" t="str">
        <f t="shared" si="52"/>
        <v>DNS2211400879</v>
      </c>
    </row>
    <row r="3348" spans="1:5" x14ac:dyDescent="0.3">
      <c r="A3348" t="s">
        <v>4017</v>
      </c>
      <c r="B3348">
        <v>2211400775</v>
      </c>
      <c r="C3348" t="s">
        <v>4391</v>
      </c>
      <c r="D3348" t="s">
        <v>4392</v>
      </c>
      <c r="E3348" t="str">
        <f t="shared" si="52"/>
        <v>DNS2211400775</v>
      </c>
    </row>
    <row r="3349" spans="1:5" x14ac:dyDescent="0.3">
      <c r="A3349" t="s">
        <v>4017</v>
      </c>
      <c r="B3349">
        <v>2211400615</v>
      </c>
      <c r="C3349" t="s">
        <v>1064</v>
      </c>
      <c r="D3349" t="s">
        <v>4393</v>
      </c>
      <c r="E3349" t="str">
        <f t="shared" si="52"/>
        <v>DNS2211400615</v>
      </c>
    </row>
    <row r="3350" spans="1:5" x14ac:dyDescent="0.3">
      <c r="A3350" t="s">
        <v>4017</v>
      </c>
      <c r="B3350">
        <v>2211400268</v>
      </c>
      <c r="C3350" t="s">
        <v>855</v>
      </c>
      <c r="D3350" t="s">
        <v>4394</v>
      </c>
      <c r="E3350" t="str">
        <f t="shared" si="52"/>
        <v>DNS2211400268</v>
      </c>
    </row>
    <row r="3351" spans="1:5" x14ac:dyDescent="0.3">
      <c r="A3351" t="s">
        <v>4017</v>
      </c>
      <c r="B3351">
        <v>2211400617</v>
      </c>
      <c r="C3351" t="s">
        <v>2103</v>
      </c>
      <c r="D3351" t="s">
        <v>4395</v>
      </c>
      <c r="E3351" t="str">
        <f t="shared" si="52"/>
        <v>DNS2211400617</v>
      </c>
    </row>
    <row r="3352" spans="1:5" x14ac:dyDescent="0.3">
      <c r="A3352" t="s">
        <v>4017</v>
      </c>
      <c r="B3352">
        <v>2211400704</v>
      </c>
      <c r="C3352" t="s">
        <v>2460</v>
      </c>
      <c r="D3352" t="s">
        <v>4396</v>
      </c>
      <c r="E3352" t="str">
        <f t="shared" si="52"/>
        <v>DNS2211400704</v>
      </c>
    </row>
    <row r="3353" spans="1:5" x14ac:dyDescent="0.3">
      <c r="A3353" t="s">
        <v>4017</v>
      </c>
      <c r="B3353">
        <v>2211400967</v>
      </c>
      <c r="C3353" t="s">
        <v>360</v>
      </c>
      <c r="D3353" t="s">
        <v>4397</v>
      </c>
      <c r="E3353" t="str">
        <f t="shared" si="52"/>
        <v>DNS2211400967</v>
      </c>
    </row>
    <row r="3354" spans="1:5" x14ac:dyDescent="0.3">
      <c r="A3354" t="s">
        <v>4017</v>
      </c>
      <c r="B3354">
        <v>2211400962</v>
      </c>
      <c r="C3354" t="s">
        <v>1425</v>
      </c>
      <c r="D3354" t="s">
        <v>4398</v>
      </c>
      <c r="E3354" t="str">
        <f t="shared" si="52"/>
        <v>DNS2211400962</v>
      </c>
    </row>
    <row r="3355" spans="1:5" x14ac:dyDescent="0.3">
      <c r="A3355" t="s">
        <v>4017</v>
      </c>
      <c r="B3355">
        <v>2211401038</v>
      </c>
      <c r="C3355" t="s">
        <v>32</v>
      </c>
      <c r="D3355" t="s">
        <v>4399</v>
      </c>
      <c r="E3355" t="str">
        <f t="shared" si="52"/>
        <v>DNS2211401038</v>
      </c>
    </row>
    <row r="3356" spans="1:5" x14ac:dyDescent="0.3">
      <c r="A3356" t="s">
        <v>4017</v>
      </c>
      <c r="B3356">
        <v>2211400921</v>
      </c>
      <c r="C3356" t="s">
        <v>33</v>
      </c>
      <c r="D3356" t="s">
        <v>4400</v>
      </c>
      <c r="E3356" t="str">
        <f t="shared" si="52"/>
        <v>DNS2211400921</v>
      </c>
    </row>
    <row r="3357" spans="1:5" x14ac:dyDescent="0.3">
      <c r="A3357" t="s">
        <v>4017</v>
      </c>
      <c r="B3357">
        <v>2211400769</v>
      </c>
      <c r="C3357" t="s">
        <v>1189</v>
      </c>
      <c r="D3357" t="s">
        <v>4401</v>
      </c>
      <c r="E3357" t="str">
        <f t="shared" si="52"/>
        <v>DNS2211400769</v>
      </c>
    </row>
    <row r="3358" spans="1:5" x14ac:dyDescent="0.3">
      <c r="A3358" t="s">
        <v>4017</v>
      </c>
      <c r="B3358">
        <v>2100095616</v>
      </c>
      <c r="C3358" t="s">
        <v>4402</v>
      </c>
      <c r="D3358" t="s">
        <v>4403</v>
      </c>
      <c r="E3358" t="str">
        <f t="shared" si="52"/>
        <v>DNS2100095616</v>
      </c>
    </row>
    <row r="3359" spans="1:5" x14ac:dyDescent="0.3">
      <c r="A3359" t="s">
        <v>4017</v>
      </c>
      <c r="B3359">
        <v>2100094207</v>
      </c>
      <c r="C3359" t="s">
        <v>4404</v>
      </c>
      <c r="D3359" t="s">
        <v>4405</v>
      </c>
      <c r="E3359" t="str">
        <f t="shared" si="52"/>
        <v>DNS2100094207</v>
      </c>
    </row>
    <row r="3360" spans="1:5" x14ac:dyDescent="0.3">
      <c r="A3360" t="s">
        <v>4017</v>
      </c>
      <c r="B3360">
        <v>9100024451</v>
      </c>
      <c r="C3360">
        <v>4170924</v>
      </c>
      <c r="D3360" t="s">
        <v>4406</v>
      </c>
      <c r="E3360" t="str">
        <f t="shared" si="52"/>
        <v>DNS9100024451</v>
      </c>
    </row>
    <row r="3361" spans="1:5" x14ac:dyDescent="0.3">
      <c r="A3361" t="s">
        <v>4017</v>
      </c>
      <c r="B3361">
        <v>2100118310</v>
      </c>
      <c r="C3361" t="s">
        <v>1201</v>
      </c>
      <c r="D3361" t="s">
        <v>4407</v>
      </c>
      <c r="E3361" t="str">
        <f t="shared" si="52"/>
        <v>DNS2100118310</v>
      </c>
    </row>
    <row r="3362" spans="1:5" x14ac:dyDescent="0.3">
      <c r="A3362" t="s">
        <v>4017</v>
      </c>
      <c r="B3362">
        <v>2100118311</v>
      </c>
      <c r="C3362" t="s">
        <v>1203</v>
      </c>
      <c r="D3362" t="s">
        <v>4408</v>
      </c>
      <c r="E3362" t="str">
        <f t="shared" si="52"/>
        <v>DNS2100118311</v>
      </c>
    </row>
    <row r="3363" spans="1:5" x14ac:dyDescent="0.3">
      <c r="A3363" t="s">
        <v>4017</v>
      </c>
      <c r="B3363">
        <v>2100118312</v>
      </c>
      <c r="C3363" t="s">
        <v>1205</v>
      </c>
      <c r="D3363" t="s">
        <v>4409</v>
      </c>
      <c r="E3363" t="str">
        <f t="shared" si="52"/>
        <v>DNS2100118312</v>
      </c>
    </row>
    <row r="3364" spans="1:5" x14ac:dyDescent="0.3">
      <c r="A3364" t="s">
        <v>4017</v>
      </c>
      <c r="B3364">
        <v>2100118308</v>
      </c>
      <c r="C3364" t="s">
        <v>1211</v>
      </c>
      <c r="D3364" t="s">
        <v>4410</v>
      </c>
      <c r="E3364" t="str">
        <f t="shared" si="52"/>
        <v>DNS2100118308</v>
      </c>
    </row>
    <row r="3365" spans="1:5" x14ac:dyDescent="0.3">
      <c r="A3365" t="s">
        <v>4017</v>
      </c>
      <c r="B3365">
        <v>2100117987</v>
      </c>
      <c r="C3365" t="s">
        <v>1287</v>
      </c>
      <c r="D3365" t="s">
        <v>4411</v>
      </c>
      <c r="E3365" t="str">
        <f t="shared" si="52"/>
        <v>DNS2100117987</v>
      </c>
    </row>
    <row r="3366" spans="1:5" x14ac:dyDescent="0.3">
      <c r="A3366" t="s">
        <v>4017</v>
      </c>
      <c r="B3366">
        <v>2100117533</v>
      </c>
      <c r="C3366" t="s">
        <v>997</v>
      </c>
      <c r="D3366" t="s">
        <v>4412</v>
      </c>
      <c r="E3366" t="str">
        <f t="shared" si="52"/>
        <v>DNS2100117533</v>
      </c>
    </row>
    <row r="3367" spans="1:5" x14ac:dyDescent="0.3">
      <c r="A3367" t="s">
        <v>4017</v>
      </c>
      <c r="B3367">
        <v>2100117988</v>
      </c>
      <c r="C3367" t="s">
        <v>999</v>
      </c>
      <c r="D3367" t="s">
        <v>4413</v>
      </c>
      <c r="E3367" t="str">
        <f t="shared" si="52"/>
        <v>DNS2100117988</v>
      </c>
    </row>
    <row r="3368" spans="1:5" x14ac:dyDescent="0.3">
      <c r="A3368" t="s">
        <v>4017</v>
      </c>
      <c r="B3368">
        <v>2100094925</v>
      </c>
      <c r="C3368" t="s">
        <v>798</v>
      </c>
      <c r="D3368" t="s">
        <v>4414</v>
      </c>
      <c r="E3368" t="str">
        <f t="shared" si="52"/>
        <v>DNS2100094925</v>
      </c>
    </row>
    <row r="3369" spans="1:5" x14ac:dyDescent="0.3">
      <c r="A3369" t="s">
        <v>4017</v>
      </c>
      <c r="B3369">
        <v>2100094926</v>
      </c>
      <c r="C3369" t="s">
        <v>630</v>
      </c>
      <c r="D3369" t="s">
        <v>4415</v>
      </c>
      <c r="E3369" t="str">
        <f t="shared" si="52"/>
        <v>DNS2100094926</v>
      </c>
    </row>
    <row r="3370" spans="1:5" x14ac:dyDescent="0.3">
      <c r="A3370" t="s">
        <v>4017</v>
      </c>
      <c r="B3370">
        <v>2100095878</v>
      </c>
      <c r="C3370" t="s">
        <v>632</v>
      </c>
      <c r="D3370" t="s">
        <v>4416</v>
      </c>
      <c r="E3370" t="str">
        <f t="shared" si="52"/>
        <v>DNS2100095878</v>
      </c>
    </row>
    <row r="3371" spans="1:5" x14ac:dyDescent="0.3">
      <c r="A3371" t="s">
        <v>4017</v>
      </c>
      <c r="B3371">
        <v>2100095879</v>
      </c>
      <c r="C3371" t="s">
        <v>2438</v>
      </c>
      <c r="D3371" t="s">
        <v>4417</v>
      </c>
      <c r="E3371" t="str">
        <f t="shared" si="52"/>
        <v>DNS2100095879</v>
      </c>
    </row>
    <row r="3372" spans="1:5" x14ac:dyDescent="0.3">
      <c r="A3372" t="s">
        <v>4017</v>
      </c>
      <c r="B3372">
        <v>2100098068</v>
      </c>
      <c r="C3372" t="s">
        <v>792</v>
      </c>
      <c r="D3372" t="s">
        <v>4418</v>
      </c>
      <c r="E3372" t="str">
        <f t="shared" si="52"/>
        <v>DNS2100098068</v>
      </c>
    </row>
    <row r="3373" spans="1:5" x14ac:dyDescent="0.3">
      <c r="A3373" t="s">
        <v>4017</v>
      </c>
      <c r="B3373">
        <v>2100098069</v>
      </c>
      <c r="C3373" t="s">
        <v>794</v>
      </c>
      <c r="D3373" t="s">
        <v>4419</v>
      </c>
      <c r="E3373" t="str">
        <f t="shared" si="52"/>
        <v>DNS2100098069</v>
      </c>
    </row>
    <row r="3374" spans="1:5" x14ac:dyDescent="0.3">
      <c r="A3374" t="s">
        <v>4017</v>
      </c>
      <c r="B3374">
        <v>2100098070</v>
      </c>
      <c r="C3374" t="s">
        <v>796</v>
      </c>
      <c r="D3374" t="s">
        <v>4420</v>
      </c>
      <c r="E3374" t="str">
        <f t="shared" si="52"/>
        <v>DNS2100098070</v>
      </c>
    </row>
    <row r="3375" spans="1:5" x14ac:dyDescent="0.3">
      <c r="A3375" t="s">
        <v>4017</v>
      </c>
      <c r="B3375">
        <v>9100036410</v>
      </c>
      <c r="C3375">
        <v>4190124</v>
      </c>
      <c r="D3375" t="s">
        <v>4421</v>
      </c>
      <c r="E3375" t="str">
        <f t="shared" si="52"/>
        <v>DNS9100036410</v>
      </c>
    </row>
    <row r="3376" spans="1:5" x14ac:dyDescent="0.3">
      <c r="A3376" t="s">
        <v>4017</v>
      </c>
      <c r="B3376">
        <v>9100036411</v>
      </c>
      <c r="C3376">
        <v>4190126</v>
      </c>
      <c r="D3376" t="s">
        <v>4422</v>
      </c>
      <c r="E3376" t="str">
        <f t="shared" si="52"/>
        <v>DNS9100036411</v>
      </c>
    </row>
    <row r="3377" spans="1:5" x14ac:dyDescent="0.3">
      <c r="A3377" t="s">
        <v>4017</v>
      </c>
      <c r="B3377">
        <v>9100036412</v>
      </c>
      <c r="C3377">
        <v>4190128</v>
      </c>
      <c r="D3377" t="s">
        <v>4423</v>
      </c>
      <c r="E3377" t="str">
        <f t="shared" si="52"/>
        <v>DNS9100036412</v>
      </c>
    </row>
    <row r="3378" spans="1:5" x14ac:dyDescent="0.3">
      <c r="A3378" t="s">
        <v>4017</v>
      </c>
      <c r="B3378">
        <v>2100118288</v>
      </c>
      <c r="C3378" t="s">
        <v>87</v>
      </c>
      <c r="D3378" t="s">
        <v>4424</v>
      </c>
      <c r="E3378" t="str">
        <f t="shared" si="52"/>
        <v>DNS2100118288</v>
      </c>
    </row>
    <row r="3379" spans="1:5" x14ac:dyDescent="0.3">
      <c r="A3379" t="s">
        <v>4017</v>
      </c>
      <c r="B3379">
        <v>2100118289</v>
      </c>
      <c r="C3379" t="s">
        <v>88</v>
      </c>
      <c r="D3379" t="s">
        <v>4425</v>
      </c>
      <c r="E3379" t="str">
        <f t="shared" si="52"/>
        <v>DNS2100118289</v>
      </c>
    </row>
    <row r="3380" spans="1:5" x14ac:dyDescent="0.3">
      <c r="A3380" t="s">
        <v>4017</v>
      </c>
      <c r="B3380">
        <v>2100118290</v>
      </c>
      <c r="C3380" t="s">
        <v>89</v>
      </c>
      <c r="D3380" t="s">
        <v>4426</v>
      </c>
      <c r="E3380" t="str">
        <f t="shared" si="52"/>
        <v>DNS2100118290</v>
      </c>
    </row>
    <row r="3381" spans="1:5" x14ac:dyDescent="0.3">
      <c r="A3381" t="s">
        <v>4017</v>
      </c>
      <c r="B3381">
        <v>2100118321</v>
      </c>
      <c r="C3381" t="s">
        <v>91</v>
      </c>
      <c r="D3381" t="s">
        <v>4427</v>
      </c>
      <c r="E3381" t="str">
        <f t="shared" si="52"/>
        <v>DNS2100118321</v>
      </c>
    </row>
    <row r="3382" spans="1:5" x14ac:dyDescent="0.3">
      <c r="A3382" t="s">
        <v>4017</v>
      </c>
      <c r="B3382">
        <v>2100118307</v>
      </c>
      <c r="C3382" t="s">
        <v>1209</v>
      </c>
      <c r="D3382" t="s">
        <v>4428</v>
      </c>
      <c r="E3382" t="str">
        <f t="shared" si="52"/>
        <v>DNS2100118307</v>
      </c>
    </row>
    <row r="3383" spans="1:5" x14ac:dyDescent="0.3">
      <c r="A3383" t="s">
        <v>4017</v>
      </c>
      <c r="B3383">
        <v>2100117441</v>
      </c>
      <c r="C3383" t="s">
        <v>4429</v>
      </c>
      <c r="D3383" t="s">
        <v>4430</v>
      </c>
      <c r="E3383" t="str">
        <f t="shared" si="52"/>
        <v>DNS2100117441</v>
      </c>
    </row>
    <row r="3384" spans="1:5" x14ac:dyDescent="0.3">
      <c r="A3384" t="s">
        <v>4017</v>
      </c>
      <c r="B3384">
        <v>2100094922</v>
      </c>
      <c r="C3384" t="s">
        <v>634</v>
      </c>
      <c r="D3384" t="s">
        <v>4431</v>
      </c>
      <c r="E3384" t="str">
        <f t="shared" si="52"/>
        <v>DNS2100094922</v>
      </c>
    </row>
    <row r="3385" spans="1:5" x14ac:dyDescent="0.3">
      <c r="A3385" t="s">
        <v>4017</v>
      </c>
      <c r="B3385">
        <v>9100036413</v>
      </c>
      <c r="C3385">
        <v>4190525</v>
      </c>
      <c r="D3385" t="s">
        <v>4432</v>
      </c>
      <c r="E3385" t="str">
        <f t="shared" si="52"/>
        <v>DNS9100036413</v>
      </c>
    </row>
    <row r="3386" spans="1:5" x14ac:dyDescent="0.3">
      <c r="A3386" t="s">
        <v>4017</v>
      </c>
      <c r="B3386">
        <v>2100118285</v>
      </c>
      <c r="C3386" t="s">
        <v>92</v>
      </c>
      <c r="D3386" t="s">
        <v>4433</v>
      </c>
      <c r="E3386" t="str">
        <f t="shared" si="52"/>
        <v>DNS2100118285</v>
      </c>
    </row>
    <row r="3387" spans="1:5" x14ac:dyDescent="0.3">
      <c r="A3387" t="s">
        <v>4017</v>
      </c>
      <c r="B3387">
        <v>2100118309</v>
      </c>
      <c r="C3387" t="s">
        <v>2161</v>
      </c>
      <c r="D3387" t="s">
        <v>4434</v>
      </c>
      <c r="E3387" t="str">
        <f t="shared" si="52"/>
        <v>DNS2100118309</v>
      </c>
    </row>
    <row r="3388" spans="1:5" x14ac:dyDescent="0.3">
      <c r="A3388" t="s">
        <v>4017</v>
      </c>
      <c r="B3388">
        <v>2100117531</v>
      </c>
      <c r="C3388" t="s">
        <v>1559</v>
      </c>
      <c r="D3388" t="s">
        <v>4435</v>
      </c>
      <c r="E3388" t="str">
        <f t="shared" si="52"/>
        <v>DNS2100117531</v>
      </c>
    </row>
    <row r="3389" spans="1:5" x14ac:dyDescent="0.3">
      <c r="A3389" t="s">
        <v>4017</v>
      </c>
      <c r="B3389">
        <v>2100094924</v>
      </c>
      <c r="C3389" t="s">
        <v>2159</v>
      </c>
      <c r="D3389" t="s">
        <v>4436</v>
      </c>
      <c r="E3389" t="str">
        <f t="shared" si="52"/>
        <v>DNS2100094924</v>
      </c>
    </row>
    <row r="3390" spans="1:5" x14ac:dyDescent="0.3">
      <c r="A3390" t="s">
        <v>4017</v>
      </c>
      <c r="B3390">
        <v>2100098067</v>
      </c>
      <c r="C3390" t="s">
        <v>4437</v>
      </c>
      <c r="D3390" t="s">
        <v>4438</v>
      </c>
      <c r="E3390" t="str">
        <f t="shared" si="52"/>
        <v>DNS2100098067</v>
      </c>
    </row>
    <row r="3391" spans="1:5" x14ac:dyDescent="0.3">
      <c r="A3391" t="s">
        <v>4017</v>
      </c>
      <c r="B3391">
        <v>9100036414</v>
      </c>
      <c r="C3391">
        <v>4190628</v>
      </c>
      <c r="D3391" t="s">
        <v>4439</v>
      </c>
      <c r="E3391" t="str">
        <f t="shared" si="52"/>
        <v>DNS9100036414</v>
      </c>
    </row>
    <row r="3392" spans="1:5" x14ac:dyDescent="0.3">
      <c r="A3392" t="s">
        <v>4017</v>
      </c>
      <c r="B3392">
        <v>2100118286</v>
      </c>
      <c r="C3392" t="s">
        <v>90</v>
      </c>
      <c r="D3392" t="s">
        <v>4440</v>
      </c>
      <c r="E3392" t="str">
        <f t="shared" si="52"/>
        <v>DNS2100118286</v>
      </c>
    </row>
    <row r="3393" spans="1:5" x14ac:dyDescent="0.3">
      <c r="A3393" t="s">
        <v>4017</v>
      </c>
      <c r="B3393">
        <v>2100118933</v>
      </c>
      <c r="C3393" t="s">
        <v>1213</v>
      </c>
      <c r="D3393" t="s">
        <v>4441</v>
      </c>
      <c r="E3393" t="str">
        <f t="shared" si="52"/>
        <v>DNS2100118933</v>
      </c>
    </row>
    <row r="3394" spans="1:5" x14ac:dyDescent="0.3">
      <c r="A3394" t="s">
        <v>4017</v>
      </c>
      <c r="B3394">
        <v>2100113422</v>
      </c>
      <c r="C3394" t="s">
        <v>4442</v>
      </c>
      <c r="D3394" t="s">
        <v>4443</v>
      </c>
      <c r="E3394" t="str">
        <f t="shared" si="52"/>
        <v>DNS2100113422</v>
      </c>
    </row>
    <row r="3395" spans="1:5" x14ac:dyDescent="0.3">
      <c r="A3395" t="s">
        <v>4017</v>
      </c>
      <c r="B3395">
        <v>2100118168</v>
      </c>
      <c r="C3395" t="s">
        <v>437</v>
      </c>
      <c r="D3395" t="s">
        <v>4444</v>
      </c>
      <c r="E3395" t="str">
        <f t="shared" ref="E3395:E3458" si="53">A3395&amp;B3395</f>
        <v>DNS2100118168</v>
      </c>
    </row>
    <row r="3396" spans="1:5" x14ac:dyDescent="0.3">
      <c r="A3396" t="s">
        <v>4017</v>
      </c>
      <c r="B3396">
        <v>2100094923</v>
      </c>
      <c r="C3396" t="s">
        <v>636</v>
      </c>
      <c r="D3396" t="s">
        <v>4445</v>
      </c>
      <c r="E3396" t="str">
        <f t="shared" si="53"/>
        <v>DNS2100094923</v>
      </c>
    </row>
    <row r="3397" spans="1:5" x14ac:dyDescent="0.3">
      <c r="A3397" t="s">
        <v>4017</v>
      </c>
      <c r="B3397">
        <v>1500636319</v>
      </c>
      <c r="C3397" t="s">
        <v>505</v>
      </c>
      <c r="D3397" t="s">
        <v>4446</v>
      </c>
      <c r="E3397" t="str">
        <f t="shared" si="53"/>
        <v>DNS1500636319</v>
      </c>
    </row>
    <row r="3398" spans="1:5" x14ac:dyDescent="0.3">
      <c r="A3398" t="s">
        <v>4017</v>
      </c>
      <c r="B3398">
        <v>1510001956</v>
      </c>
      <c r="C3398" t="s">
        <v>2178</v>
      </c>
      <c r="D3398" t="s">
        <v>4447</v>
      </c>
      <c r="E3398" t="str">
        <f t="shared" si="53"/>
        <v>DNS1510001956</v>
      </c>
    </row>
    <row r="3399" spans="1:5" x14ac:dyDescent="0.3">
      <c r="A3399" t="s">
        <v>4017</v>
      </c>
      <c r="B3399">
        <v>8010000557</v>
      </c>
      <c r="C3399" t="s">
        <v>2174</v>
      </c>
      <c r="D3399" t="s">
        <v>4448</v>
      </c>
      <c r="E3399" t="str">
        <f t="shared" si="53"/>
        <v>DNS8010000557</v>
      </c>
    </row>
    <row r="3400" spans="1:5" x14ac:dyDescent="0.3">
      <c r="A3400" t="s">
        <v>4017</v>
      </c>
      <c r="B3400">
        <v>8010000213</v>
      </c>
      <c r="C3400" t="s">
        <v>1367</v>
      </c>
      <c r="D3400" t="s">
        <v>4449</v>
      </c>
      <c r="E3400" t="str">
        <f t="shared" si="53"/>
        <v>DNS8010000213</v>
      </c>
    </row>
    <row r="3401" spans="1:5" x14ac:dyDescent="0.3">
      <c r="A3401" t="s">
        <v>4017</v>
      </c>
      <c r="B3401">
        <v>8000035826</v>
      </c>
      <c r="C3401" t="s">
        <v>362</v>
      </c>
      <c r="D3401" t="s">
        <v>4450</v>
      </c>
      <c r="E3401" t="str">
        <f t="shared" si="53"/>
        <v>DNS8000035826</v>
      </c>
    </row>
    <row r="3402" spans="1:5" x14ac:dyDescent="0.3">
      <c r="A3402" t="s">
        <v>4017</v>
      </c>
      <c r="B3402">
        <v>1500636348</v>
      </c>
      <c r="C3402" t="s">
        <v>1761</v>
      </c>
      <c r="D3402" t="s">
        <v>4451</v>
      </c>
      <c r="E3402" t="str">
        <f t="shared" si="53"/>
        <v>DNS1500636348</v>
      </c>
    </row>
    <row r="3403" spans="1:5" x14ac:dyDescent="0.3">
      <c r="A3403" t="s">
        <v>4017</v>
      </c>
      <c r="B3403">
        <v>1510001948</v>
      </c>
      <c r="C3403" t="s">
        <v>857</v>
      </c>
      <c r="D3403" t="s">
        <v>4452</v>
      </c>
      <c r="E3403" t="str">
        <f t="shared" si="53"/>
        <v>DNS1510001948</v>
      </c>
    </row>
    <row r="3404" spans="1:5" x14ac:dyDescent="0.3">
      <c r="A3404" t="s">
        <v>4017</v>
      </c>
      <c r="B3404">
        <v>7211003820</v>
      </c>
      <c r="C3404" t="s">
        <v>121</v>
      </c>
      <c r="D3404" t="s">
        <v>4453</v>
      </c>
      <c r="E3404" t="str">
        <f t="shared" si="53"/>
        <v>DNS7211003820</v>
      </c>
    </row>
    <row r="3405" spans="1:5" x14ac:dyDescent="0.3">
      <c r="A3405" t="s">
        <v>4017</v>
      </c>
      <c r="B3405">
        <v>9100023407</v>
      </c>
      <c r="C3405">
        <v>4166224</v>
      </c>
      <c r="D3405" t="s">
        <v>4454</v>
      </c>
      <c r="E3405" t="str">
        <f t="shared" si="53"/>
        <v>DNS9100023407</v>
      </c>
    </row>
    <row r="3406" spans="1:5" x14ac:dyDescent="0.3">
      <c r="A3406" t="s">
        <v>4017</v>
      </c>
      <c r="B3406">
        <v>9100024450</v>
      </c>
      <c r="C3406">
        <v>4170224</v>
      </c>
      <c r="D3406" t="s">
        <v>4455</v>
      </c>
      <c r="E3406" t="str">
        <f t="shared" si="53"/>
        <v>DNS9100024450</v>
      </c>
    </row>
    <row r="3407" spans="1:5" x14ac:dyDescent="0.3">
      <c r="A3407" t="s">
        <v>4017</v>
      </c>
      <c r="B3407">
        <v>2100118320</v>
      </c>
      <c r="C3407" t="s">
        <v>1207</v>
      </c>
      <c r="D3407" t="s">
        <v>4456</v>
      </c>
      <c r="E3407" t="str">
        <f t="shared" si="53"/>
        <v>DNS2100118320</v>
      </c>
    </row>
    <row r="3408" spans="1:5" x14ac:dyDescent="0.3">
      <c r="A3408" t="s">
        <v>4017</v>
      </c>
      <c r="B3408">
        <v>9100036415</v>
      </c>
      <c r="C3408">
        <v>4190224</v>
      </c>
      <c r="D3408" t="s">
        <v>4457</v>
      </c>
      <c r="E3408" t="str">
        <f t="shared" si="53"/>
        <v>DNS9100036415</v>
      </c>
    </row>
    <row r="3409" spans="1:5" x14ac:dyDescent="0.3">
      <c r="A3409" t="s">
        <v>4017</v>
      </c>
      <c r="B3409">
        <v>1500635821</v>
      </c>
      <c r="C3409" t="s">
        <v>1373</v>
      </c>
      <c r="D3409" t="s">
        <v>4458</v>
      </c>
      <c r="E3409" t="str">
        <f t="shared" si="53"/>
        <v>DNS1500635821</v>
      </c>
    </row>
    <row r="3410" spans="1:5" x14ac:dyDescent="0.3">
      <c r="A3410" t="s">
        <v>4017</v>
      </c>
      <c r="B3410">
        <v>2100089708</v>
      </c>
      <c r="C3410" t="s">
        <v>2570</v>
      </c>
      <c r="D3410" t="s">
        <v>4459</v>
      </c>
      <c r="E3410" t="str">
        <f t="shared" si="53"/>
        <v>DNS2100089708</v>
      </c>
    </row>
    <row r="3411" spans="1:5" x14ac:dyDescent="0.3">
      <c r="A3411" t="s">
        <v>4017</v>
      </c>
      <c r="B3411">
        <v>2100068613</v>
      </c>
      <c r="C3411" t="s">
        <v>484</v>
      </c>
      <c r="D3411" t="s">
        <v>4460</v>
      </c>
      <c r="E3411" t="str">
        <f t="shared" si="53"/>
        <v>DNS2100068613</v>
      </c>
    </row>
    <row r="3412" spans="1:5" x14ac:dyDescent="0.3">
      <c r="A3412" t="s">
        <v>4017</v>
      </c>
      <c r="B3412">
        <v>1500636094</v>
      </c>
      <c r="C3412" t="s">
        <v>4461</v>
      </c>
      <c r="D3412" t="s">
        <v>4462</v>
      </c>
      <c r="E3412" t="str">
        <f t="shared" si="53"/>
        <v>DNS1500636094</v>
      </c>
    </row>
    <row r="3413" spans="1:5" x14ac:dyDescent="0.3">
      <c r="A3413" t="s">
        <v>4017</v>
      </c>
      <c r="B3413">
        <v>1510001682</v>
      </c>
      <c r="C3413" t="s">
        <v>4463</v>
      </c>
      <c r="D3413" t="s">
        <v>4464</v>
      </c>
      <c r="E3413" t="str">
        <f t="shared" si="53"/>
        <v>DNS1510001682</v>
      </c>
    </row>
    <row r="3414" spans="1:5" x14ac:dyDescent="0.3">
      <c r="A3414" t="s">
        <v>4017</v>
      </c>
      <c r="B3414">
        <v>3100518586</v>
      </c>
      <c r="C3414" t="s">
        <v>4465</v>
      </c>
      <c r="D3414" t="s">
        <v>4466</v>
      </c>
      <c r="E3414" t="str">
        <f t="shared" si="53"/>
        <v>DNS3100518586</v>
      </c>
    </row>
    <row r="3415" spans="1:5" x14ac:dyDescent="0.3">
      <c r="A3415" t="s">
        <v>4017</v>
      </c>
      <c r="B3415">
        <v>3100518739</v>
      </c>
      <c r="C3415" t="s">
        <v>4467</v>
      </c>
      <c r="D3415" t="s">
        <v>4468</v>
      </c>
      <c r="E3415" t="str">
        <f t="shared" si="53"/>
        <v>DNS3100518739</v>
      </c>
    </row>
    <row r="3416" spans="1:5" x14ac:dyDescent="0.3">
      <c r="A3416" t="s">
        <v>4017</v>
      </c>
      <c r="B3416">
        <v>3100518740</v>
      </c>
      <c r="C3416" t="s">
        <v>4469</v>
      </c>
      <c r="D3416" t="s">
        <v>4470</v>
      </c>
      <c r="E3416" t="str">
        <f t="shared" si="53"/>
        <v>DNS3100518740</v>
      </c>
    </row>
    <row r="3417" spans="1:5" x14ac:dyDescent="0.3">
      <c r="A3417" t="s">
        <v>4017</v>
      </c>
      <c r="B3417">
        <v>3100518741</v>
      </c>
      <c r="C3417" t="s">
        <v>4471</v>
      </c>
      <c r="D3417" t="s">
        <v>4472</v>
      </c>
      <c r="E3417" t="str">
        <f t="shared" si="53"/>
        <v>DNS3100518741</v>
      </c>
    </row>
    <row r="3418" spans="1:5" x14ac:dyDescent="0.3">
      <c r="A3418" t="s">
        <v>4017</v>
      </c>
      <c r="B3418">
        <v>3100518197</v>
      </c>
      <c r="C3418" t="s">
        <v>4473</v>
      </c>
      <c r="D3418" t="s">
        <v>4474</v>
      </c>
      <c r="E3418" t="str">
        <f t="shared" si="53"/>
        <v>DNS3100518197</v>
      </c>
    </row>
    <row r="3419" spans="1:5" x14ac:dyDescent="0.3">
      <c r="A3419" t="s">
        <v>4017</v>
      </c>
      <c r="B3419">
        <v>3100518198</v>
      </c>
      <c r="C3419" t="s">
        <v>4475</v>
      </c>
      <c r="D3419" t="s">
        <v>4476</v>
      </c>
      <c r="E3419" t="str">
        <f t="shared" si="53"/>
        <v>DNS3100518198</v>
      </c>
    </row>
    <row r="3420" spans="1:5" x14ac:dyDescent="0.3">
      <c r="A3420" t="s">
        <v>4017</v>
      </c>
      <c r="B3420">
        <v>3100518199</v>
      </c>
      <c r="C3420" t="s">
        <v>4477</v>
      </c>
      <c r="D3420" t="s">
        <v>4478</v>
      </c>
      <c r="E3420" t="str">
        <f t="shared" si="53"/>
        <v>DNS3100518199</v>
      </c>
    </row>
    <row r="3421" spans="1:5" x14ac:dyDescent="0.3">
      <c r="A3421" t="s">
        <v>4017</v>
      </c>
      <c r="B3421">
        <v>7211002891</v>
      </c>
      <c r="C3421" t="s">
        <v>4479</v>
      </c>
      <c r="D3421" t="s">
        <v>4480</v>
      </c>
      <c r="E3421" t="str">
        <f t="shared" si="53"/>
        <v>DNS7211002891</v>
      </c>
    </row>
    <row r="3422" spans="1:5" x14ac:dyDescent="0.3">
      <c r="A3422" t="s">
        <v>4017</v>
      </c>
      <c r="B3422">
        <v>7211003960</v>
      </c>
      <c r="C3422" t="s">
        <v>4481</v>
      </c>
      <c r="D3422" t="s">
        <v>4482</v>
      </c>
      <c r="E3422" t="str">
        <f t="shared" si="53"/>
        <v>DNS7211003960</v>
      </c>
    </row>
    <row r="3423" spans="1:5" x14ac:dyDescent="0.3">
      <c r="A3423" t="s">
        <v>4017</v>
      </c>
      <c r="B3423">
        <v>1500578228</v>
      </c>
      <c r="C3423" t="s">
        <v>519</v>
      </c>
      <c r="D3423" t="s">
        <v>4483</v>
      </c>
      <c r="E3423" t="str">
        <f t="shared" si="53"/>
        <v>DNS1500578228</v>
      </c>
    </row>
    <row r="3424" spans="1:5" x14ac:dyDescent="0.3">
      <c r="A3424" t="s">
        <v>4017</v>
      </c>
      <c r="B3424">
        <v>1510001904</v>
      </c>
      <c r="C3424" t="s">
        <v>3409</v>
      </c>
      <c r="D3424" t="s">
        <v>4484</v>
      </c>
      <c r="E3424" t="str">
        <f t="shared" si="53"/>
        <v>DNS1510001904</v>
      </c>
    </row>
    <row r="3425" spans="1:5" x14ac:dyDescent="0.3">
      <c r="A3425" t="s">
        <v>4017</v>
      </c>
      <c r="B3425">
        <v>1830007935</v>
      </c>
      <c r="C3425" t="s">
        <v>2465</v>
      </c>
      <c r="D3425" t="s">
        <v>4485</v>
      </c>
      <c r="E3425" t="str">
        <f t="shared" si="53"/>
        <v>DNS1830007935</v>
      </c>
    </row>
    <row r="3426" spans="1:5" x14ac:dyDescent="0.3">
      <c r="A3426" t="s">
        <v>4017</v>
      </c>
      <c r="B3426">
        <v>1830007970</v>
      </c>
      <c r="C3426" t="s">
        <v>4486</v>
      </c>
      <c r="D3426" t="s">
        <v>4487</v>
      </c>
      <c r="E3426" t="str">
        <f t="shared" si="53"/>
        <v>DNS1830007970</v>
      </c>
    </row>
    <row r="3427" spans="1:5" x14ac:dyDescent="0.3">
      <c r="A3427" t="s">
        <v>4017</v>
      </c>
      <c r="B3427">
        <v>1830007001</v>
      </c>
      <c r="C3427" t="s">
        <v>973</v>
      </c>
      <c r="D3427" t="s">
        <v>4488</v>
      </c>
      <c r="E3427" t="str">
        <f t="shared" si="53"/>
        <v>DNS1830007001</v>
      </c>
    </row>
    <row r="3428" spans="1:5" x14ac:dyDescent="0.3">
      <c r="A3428" t="s">
        <v>4017</v>
      </c>
      <c r="B3428">
        <v>1830005922</v>
      </c>
      <c r="C3428" t="s">
        <v>578</v>
      </c>
      <c r="D3428" t="s">
        <v>4489</v>
      </c>
      <c r="E3428" t="str">
        <f t="shared" si="53"/>
        <v>DNS1830005922</v>
      </c>
    </row>
    <row r="3429" spans="1:5" x14ac:dyDescent="0.3">
      <c r="A3429" t="s">
        <v>4017</v>
      </c>
      <c r="B3429">
        <v>1830007978</v>
      </c>
      <c r="C3429" t="s">
        <v>4490</v>
      </c>
      <c r="D3429" t="s">
        <v>4491</v>
      </c>
      <c r="E3429" t="str">
        <f t="shared" si="53"/>
        <v>DNS1830007978</v>
      </c>
    </row>
    <row r="3430" spans="1:5" x14ac:dyDescent="0.3">
      <c r="A3430" t="s">
        <v>4017</v>
      </c>
      <c r="B3430">
        <v>1830007992</v>
      </c>
      <c r="C3430" t="s">
        <v>971</v>
      </c>
      <c r="D3430" t="s">
        <v>4492</v>
      </c>
      <c r="E3430" t="str">
        <f t="shared" si="53"/>
        <v>DNS1830007992</v>
      </c>
    </row>
    <row r="3431" spans="1:5" x14ac:dyDescent="0.3">
      <c r="A3431" t="s">
        <v>4017</v>
      </c>
      <c r="B3431">
        <v>1830007966</v>
      </c>
      <c r="C3431" t="s">
        <v>4493</v>
      </c>
      <c r="D3431" t="s">
        <v>4494</v>
      </c>
      <c r="E3431" t="str">
        <f t="shared" si="53"/>
        <v>DNS1830007966</v>
      </c>
    </row>
    <row r="3432" spans="1:5" x14ac:dyDescent="0.3">
      <c r="A3432" t="s">
        <v>4017</v>
      </c>
      <c r="B3432">
        <v>1830007998</v>
      </c>
      <c r="C3432" t="s">
        <v>4495</v>
      </c>
      <c r="D3432" t="s">
        <v>4496</v>
      </c>
      <c r="E3432" t="str">
        <f t="shared" si="53"/>
        <v>DNS1830007998</v>
      </c>
    </row>
    <row r="3433" spans="1:5" x14ac:dyDescent="0.3">
      <c r="A3433" t="s">
        <v>4017</v>
      </c>
      <c r="B3433">
        <v>1830005031</v>
      </c>
      <c r="C3433" t="s">
        <v>4497</v>
      </c>
      <c r="D3433" t="s">
        <v>4498</v>
      </c>
      <c r="E3433" t="str">
        <f t="shared" si="53"/>
        <v>DNS1830005031</v>
      </c>
    </row>
    <row r="3434" spans="1:5" x14ac:dyDescent="0.3">
      <c r="A3434" t="s">
        <v>4017</v>
      </c>
      <c r="B3434">
        <v>2211400482</v>
      </c>
      <c r="C3434" t="s">
        <v>1507</v>
      </c>
      <c r="D3434" t="s">
        <v>4499</v>
      </c>
      <c r="E3434" t="str">
        <f t="shared" si="53"/>
        <v>DNS2211400482</v>
      </c>
    </row>
    <row r="3435" spans="1:5" x14ac:dyDescent="0.3">
      <c r="A3435" t="s">
        <v>4017</v>
      </c>
      <c r="B3435">
        <v>2211400762</v>
      </c>
      <c r="C3435" t="s">
        <v>2171</v>
      </c>
      <c r="D3435" t="s">
        <v>4500</v>
      </c>
      <c r="E3435" t="str">
        <f t="shared" si="53"/>
        <v>DNS2211400762</v>
      </c>
    </row>
    <row r="3436" spans="1:5" x14ac:dyDescent="0.3">
      <c r="A3436" t="s">
        <v>4017</v>
      </c>
      <c r="B3436">
        <v>1600005133</v>
      </c>
      <c r="C3436" t="s">
        <v>4501</v>
      </c>
      <c r="D3436" t="s">
        <v>4502</v>
      </c>
      <c r="E3436" t="str">
        <f t="shared" si="53"/>
        <v>DNS1600005133</v>
      </c>
    </row>
    <row r="3437" spans="1:5" x14ac:dyDescent="0.3">
      <c r="A3437" t="s">
        <v>4017</v>
      </c>
      <c r="B3437">
        <v>1830006629</v>
      </c>
      <c r="C3437" t="s">
        <v>946</v>
      </c>
      <c r="D3437" t="s">
        <v>4503</v>
      </c>
      <c r="E3437" t="str">
        <f t="shared" si="53"/>
        <v>DNS1830006629</v>
      </c>
    </row>
    <row r="3438" spans="1:5" x14ac:dyDescent="0.3">
      <c r="A3438" t="s">
        <v>4017</v>
      </c>
      <c r="B3438">
        <v>1830008334</v>
      </c>
      <c r="C3438" t="s">
        <v>1698</v>
      </c>
      <c r="D3438" t="s">
        <v>4504</v>
      </c>
      <c r="E3438" t="str">
        <f t="shared" si="53"/>
        <v>DNS1830008334</v>
      </c>
    </row>
    <row r="3439" spans="1:5" x14ac:dyDescent="0.3">
      <c r="A3439" t="s">
        <v>4017</v>
      </c>
      <c r="B3439">
        <v>1830008344</v>
      </c>
      <c r="C3439" t="s">
        <v>2233</v>
      </c>
      <c r="D3439" t="s">
        <v>4505</v>
      </c>
      <c r="E3439" t="str">
        <f t="shared" si="53"/>
        <v>DNS1830008344</v>
      </c>
    </row>
    <row r="3440" spans="1:5" x14ac:dyDescent="0.3">
      <c r="A3440" t="s">
        <v>4017</v>
      </c>
      <c r="B3440">
        <v>1830007699</v>
      </c>
      <c r="C3440" t="s">
        <v>3101</v>
      </c>
      <c r="D3440" t="s">
        <v>4506</v>
      </c>
      <c r="E3440" t="str">
        <f t="shared" si="53"/>
        <v>DNS1830007699</v>
      </c>
    </row>
    <row r="3441" spans="1:5" x14ac:dyDescent="0.3">
      <c r="A3441" t="s">
        <v>4017</v>
      </c>
      <c r="B3441">
        <v>1110031221</v>
      </c>
      <c r="C3441" t="s">
        <v>929</v>
      </c>
      <c r="D3441" t="s">
        <v>4507</v>
      </c>
      <c r="E3441" t="str">
        <f t="shared" si="53"/>
        <v>DNS1110031221</v>
      </c>
    </row>
    <row r="3442" spans="1:5" x14ac:dyDescent="0.3">
      <c r="A3442" t="s">
        <v>4017</v>
      </c>
      <c r="B3442">
        <v>1830007594</v>
      </c>
      <c r="C3442" t="s">
        <v>4508</v>
      </c>
      <c r="D3442" t="s">
        <v>4509</v>
      </c>
      <c r="E3442" t="str">
        <f t="shared" si="53"/>
        <v>DNS1830007594</v>
      </c>
    </row>
    <row r="3443" spans="1:5" x14ac:dyDescent="0.3">
      <c r="A3443" t="s">
        <v>4017</v>
      </c>
      <c r="B3443">
        <v>1830006582</v>
      </c>
      <c r="C3443" t="s">
        <v>1084</v>
      </c>
      <c r="D3443" t="s">
        <v>4510</v>
      </c>
      <c r="E3443" t="str">
        <f t="shared" si="53"/>
        <v>DNS1830006582</v>
      </c>
    </row>
    <row r="3444" spans="1:5" x14ac:dyDescent="0.3">
      <c r="A3444" t="s">
        <v>4017</v>
      </c>
      <c r="B3444">
        <v>1830006975</v>
      </c>
      <c r="C3444" t="s">
        <v>4511</v>
      </c>
      <c r="D3444" t="s">
        <v>4512</v>
      </c>
      <c r="E3444" t="str">
        <f t="shared" si="53"/>
        <v>DNS1830006975</v>
      </c>
    </row>
    <row r="3445" spans="1:5" x14ac:dyDescent="0.3">
      <c r="A3445" t="s">
        <v>4017</v>
      </c>
      <c r="B3445">
        <v>2820268400</v>
      </c>
      <c r="C3445" t="s">
        <v>2251</v>
      </c>
      <c r="D3445" t="s">
        <v>4513</v>
      </c>
      <c r="E3445" t="str">
        <f t="shared" si="53"/>
        <v>DNS2820268400</v>
      </c>
    </row>
    <row r="3446" spans="1:5" x14ac:dyDescent="0.3">
      <c r="A3446" t="s">
        <v>4017</v>
      </c>
      <c r="B3446">
        <v>1830008200</v>
      </c>
      <c r="C3446" t="s">
        <v>1349</v>
      </c>
      <c r="D3446" t="s">
        <v>4514</v>
      </c>
      <c r="E3446" t="str">
        <f t="shared" si="53"/>
        <v>DNS1830008200</v>
      </c>
    </row>
    <row r="3447" spans="1:5" x14ac:dyDescent="0.3">
      <c r="A3447" t="s">
        <v>4017</v>
      </c>
      <c r="B3447">
        <v>1830007581</v>
      </c>
      <c r="C3447" t="s">
        <v>4515</v>
      </c>
      <c r="D3447" t="s">
        <v>4516</v>
      </c>
      <c r="E3447" t="str">
        <f t="shared" si="53"/>
        <v>DNS1830007581</v>
      </c>
    </row>
    <row r="3448" spans="1:5" x14ac:dyDescent="0.3">
      <c r="A3448" t="s">
        <v>4017</v>
      </c>
      <c r="B3448">
        <v>1830007643</v>
      </c>
      <c r="C3448" t="s">
        <v>1153</v>
      </c>
      <c r="D3448" t="s">
        <v>4517</v>
      </c>
      <c r="E3448" t="str">
        <f t="shared" si="53"/>
        <v>DNS1830007643</v>
      </c>
    </row>
    <row r="3449" spans="1:5" x14ac:dyDescent="0.3">
      <c r="A3449" t="s">
        <v>4017</v>
      </c>
      <c r="B3449">
        <v>1830007849</v>
      </c>
      <c r="C3449" t="s">
        <v>1709</v>
      </c>
      <c r="D3449" t="s">
        <v>4518</v>
      </c>
      <c r="E3449" t="str">
        <f t="shared" si="53"/>
        <v>DNS1830007849</v>
      </c>
    </row>
    <row r="3450" spans="1:5" x14ac:dyDescent="0.3">
      <c r="A3450" t="s">
        <v>4017</v>
      </c>
      <c r="B3450">
        <v>1830008076</v>
      </c>
      <c r="C3450" t="s">
        <v>1681</v>
      </c>
      <c r="D3450" t="s">
        <v>4519</v>
      </c>
      <c r="E3450" t="str">
        <f t="shared" si="53"/>
        <v>DNS1830008076</v>
      </c>
    </row>
    <row r="3451" spans="1:5" x14ac:dyDescent="0.3">
      <c r="A3451" t="s">
        <v>4017</v>
      </c>
      <c r="B3451">
        <v>1830008240</v>
      </c>
      <c r="C3451" t="s">
        <v>4520</v>
      </c>
      <c r="D3451" t="s">
        <v>4521</v>
      </c>
      <c r="E3451" t="str">
        <f t="shared" si="53"/>
        <v>DNS1830008240</v>
      </c>
    </row>
    <row r="3452" spans="1:5" x14ac:dyDescent="0.3">
      <c r="A3452" t="s">
        <v>4017</v>
      </c>
      <c r="B3452">
        <v>1830007868</v>
      </c>
      <c r="C3452" t="s">
        <v>1158</v>
      </c>
      <c r="D3452" t="s">
        <v>4522</v>
      </c>
      <c r="E3452" t="str">
        <f t="shared" si="53"/>
        <v>DNS1830007868</v>
      </c>
    </row>
    <row r="3453" spans="1:5" x14ac:dyDescent="0.3">
      <c r="A3453" t="s">
        <v>4017</v>
      </c>
      <c r="B3453">
        <v>1830007145</v>
      </c>
      <c r="C3453" t="s">
        <v>6</v>
      </c>
      <c r="D3453" t="s">
        <v>4523</v>
      </c>
      <c r="E3453" t="str">
        <f t="shared" si="53"/>
        <v>DNS1830007145</v>
      </c>
    </row>
    <row r="3454" spans="1:5" x14ac:dyDescent="0.3">
      <c r="A3454" t="s">
        <v>4017</v>
      </c>
      <c r="B3454">
        <v>1830008172</v>
      </c>
      <c r="C3454" t="s">
        <v>1272</v>
      </c>
      <c r="D3454" t="s">
        <v>4524</v>
      </c>
      <c r="E3454" t="str">
        <f t="shared" si="53"/>
        <v>DNS1830008172</v>
      </c>
    </row>
    <row r="3455" spans="1:5" x14ac:dyDescent="0.3">
      <c r="A3455" t="s">
        <v>4017</v>
      </c>
      <c r="B3455">
        <v>1830008169</v>
      </c>
      <c r="C3455" t="s">
        <v>1270</v>
      </c>
      <c r="D3455" t="s">
        <v>4525</v>
      </c>
      <c r="E3455" t="str">
        <f t="shared" si="53"/>
        <v>DNS1830008169</v>
      </c>
    </row>
    <row r="3456" spans="1:5" x14ac:dyDescent="0.3">
      <c r="A3456" t="s">
        <v>4017</v>
      </c>
      <c r="B3456">
        <v>1830007125</v>
      </c>
      <c r="C3456" t="s">
        <v>1555</v>
      </c>
      <c r="D3456" t="s">
        <v>4526</v>
      </c>
      <c r="E3456" t="str">
        <f t="shared" si="53"/>
        <v>DNS1830007125</v>
      </c>
    </row>
    <row r="3457" spans="1:5" x14ac:dyDescent="0.3">
      <c r="A3457" t="s">
        <v>4017</v>
      </c>
      <c r="B3457">
        <v>1830006997</v>
      </c>
      <c r="C3457" t="s">
        <v>4527</v>
      </c>
      <c r="D3457" t="s">
        <v>4528</v>
      </c>
      <c r="E3457" t="str">
        <f t="shared" si="53"/>
        <v>DNS1830006997</v>
      </c>
    </row>
    <row r="3458" spans="1:5" x14ac:dyDescent="0.3">
      <c r="A3458" t="s">
        <v>4017</v>
      </c>
      <c r="B3458">
        <v>1830003726</v>
      </c>
      <c r="C3458" t="s">
        <v>2292</v>
      </c>
      <c r="D3458" t="s">
        <v>4529</v>
      </c>
      <c r="E3458" t="str">
        <f t="shared" si="53"/>
        <v>DNS1830003726</v>
      </c>
    </row>
    <row r="3459" spans="1:5" x14ac:dyDescent="0.3">
      <c r="A3459" t="s">
        <v>4017</v>
      </c>
      <c r="B3459">
        <v>1830007438</v>
      </c>
      <c r="C3459" t="s">
        <v>1007</v>
      </c>
      <c r="D3459" t="s">
        <v>4530</v>
      </c>
      <c r="E3459" t="str">
        <f t="shared" ref="E3459:E3522" si="54">A3459&amp;B3459</f>
        <v>DNS1830007438</v>
      </c>
    </row>
    <row r="3460" spans="1:5" x14ac:dyDescent="0.3">
      <c r="A3460" t="s">
        <v>4017</v>
      </c>
      <c r="B3460">
        <v>1830005655</v>
      </c>
      <c r="C3460" t="s">
        <v>4531</v>
      </c>
      <c r="D3460" t="s">
        <v>4532</v>
      </c>
      <c r="E3460" t="str">
        <f t="shared" si="54"/>
        <v>DNS1830005655</v>
      </c>
    </row>
    <row r="3461" spans="1:5" x14ac:dyDescent="0.3">
      <c r="A3461" t="s">
        <v>4017</v>
      </c>
      <c r="B3461">
        <v>1830008038</v>
      </c>
      <c r="C3461" t="s">
        <v>4533</v>
      </c>
      <c r="D3461" t="s">
        <v>4534</v>
      </c>
      <c r="E3461" t="str">
        <f t="shared" si="54"/>
        <v>DNS1830008038</v>
      </c>
    </row>
    <row r="3462" spans="1:5" x14ac:dyDescent="0.3">
      <c r="A3462" t="s">
        <v>4017</v>
      </c>
      <c r="B3462">
        <v>1830005954</v>
      </c>
      <c r="C3462" t="s">
        <v>4535</v>
      </c>
      <c r="D3462" t="s">
        <v>4536</v>
      </c>
      <c r="E3462" t="str">
        <f t="shared" si="54"/>
        <v>DNS1830005954</v>
      </c>
    </row>
    <row r="3463" spans="1:5" x14ac:dyDescent="0.3">
      <c r="A3463" t="s">
        <v>4017</v>
      </c>
      <c r="B3463">
        <v>1830006239</v>
      </c>
      <c r="C3463" t="s">
        <v>2682</v>
      </c>
      <c r="D3463" t="s">
        <v>4537</v>
      </c>
      <c r="E3463" t="str">
        <f t="shared" si="54"/>
        <v>DNS1830006239</v>
      </c>
    </row>
    <row r="3464" spans="1:5" x14ac:dyDescent="0.3">
      <c r="A3464" t="s">
        <v>4017</v>
      </c>
      <c r="B3464">
        <v>1830007894</v>
      </c>
      <c r="C3464" t="s">
        <v>4538</v>
      </c>
      <c r="D3464" t="s">
        <v>4539</v>
      </c>
      <c r="E3464" t="str">
        <f t="shared" si="54"/>
        <v>DNS1830007894</v>
      </c>
    </row>
    <row r="3465" spans="1:5" x14ac:dyDescent="0.3">
      <c r="A3465" t="s">
        <v>4017</v>
      </c>
      <c r="B3465">
        <v>1830005706</v>
      </c>
      <c r="C3465" t="s">
        <v>1005</v>
      </c>
      <c r="D3465" t="s">
        <v>4540</v>
      </c>
      <c r="E3465" t="str">
        <f t="shared" si="54"/>
        <v>DNS1830005706</v>
      </c>
    </row>
    <row r="3466" spans="1:5" x14ac:dyDescent="0.3">
      <c r="A3466" t="s">
        <v>4017</v>
      </c>
      <c r="B3466">
        <v>1830007390</v>
      </c>
      <c r="C3466" t="s">
        <v>4541</v>
      </c>
      <c r="D3466" t="s">
        <v>4542</v>
      </c>
      <c r="E3466" t="str">
        <f t="shared" si="54"/>
        <v>DNS1830007390</v>
      </c>
    </row>
    <row r="3467" spans="1:5" x14ac:dyDescent="0.3">
      <c r="A3467" t="s">
        <v>4017</v>
      </c>
      <c r="B3467">
        <v>1830004842</v>
      </c>
      <c r="C3467" t="s">
        <v>4543</v>
      </c>
      <c r="D3467" t="s">
        <v>4544</v>
      </c>
      <c r="E3467" t="str">
        <f t="shared" si="54"/>
        <v>DNS1830004842</v>
      </c>
    </row>
    <row r="3468" spans="1:5" x14ac:dyDescent="0.3">
      <c r="A3468" t="s">
        <v>4017</v>
      </c>
      <c r="B3468">
        <v>1830007698</v>
      </c>
      <c r="C3468" t="s">
        <v>1172</v>
      </c>
      <c r="D3468" t="s">
        <v>4545</v>
      </c>
      <c r="E3468" t="str">
        <f t="shared" si="54"/>
        <v>DNS1830007698</v>
      </c>
    </row>
    <row r="3469" spans="1:5" x14ac:dyDescent="0.3">
      <c r="A3469" t="s">
        <v>4017</v>
      </c>
      <c r="B3469">
        <v>1830007113</v>
      </c>
      <c r="C3469" t="s">
        <v>3987</v>
      </c>
      <c r="D3469" t="s">
        <v>4546</v>
      </c>
      <c r="E3469" t="str">
        <f t="shared" si="54"/>
        <v>DNS1830007113</v>
      </c>
    </row>
    <row r="3470" spans="1:5" x14ac:dyDescent="0.3">
      <c r="A3470" t="s">
        <v>4017</v>
      </c>
      <c r="B3470">
        <v>1830005290</v>
      </c>
      <c r="C3470" t="s">
        <v>509</v>
      </c>
      <c r="D3470" t="s">
        <v>4547</v>
      </c>
      <c r="E3470" t="str">
        <f t="shared" si="54"/>
        <v>DNS1830005290</v>
      </c>
    </row>
    <row r="3471" spans="1:5" x14ac:dyDescent="0.3">
      <c r="A3471" t="s">
        <v>4017</v>
      </c>
      <c r="B3471">
        <v>1830005220</v>
      </c>
      <c r="C3471" t="s">
        <v>511</v>
      </c>
      <c r="D3471" t="s">
        <v>4548</v>
      </c>
      <c r="E3471" t="str">
        <f t="shared" si="54"/>
        <v>DNS1830005220</v>
      </c>
    </row>
    <row r="3472" spans="1:5" x14ac:dyDescent="0.3">
      <c r="A3472" t="s">
        <v>4017</v>
      </c>
      <c r="B3472">
        <v>1830003934</v>
      </c>
      <c r="C3472" t="s">
        <v>921</v>
      </c>
      <c r="D3472" t="s">
        <v>4549</v>
      </c>
      <c r="E3472" t="str">
        <f t="shared" si="54"/>
        <v>DNS1830003934</v>
      </c>
    </row>
    <row r="3473" spans="1:5" x14ac:dyDescent="0.3">
      <c r="A3473" t="s">
        <v>4017</v>
      </c>
      <c r="B3473">
        <v>1830007390</v>
      </c>
      <c r="C3473" t="s">
        <v>4541</v>
      </c>
      <c r="D3473" t="s">
        <v>4550</v>
      </c>
      <c r="E3473" t="str">
        <f t="shared" si="54"/>
        <v>DNS1830007390</v>
      </c>
    </row>
    <row r="3474" spans="1:5" x14ac:dyDescent="0.3">
      <c r="A3474" t="s">
        <v>4017</v>
      </c>
      <c r="B3474">
        <v>1830006274</v>
      </c>
      <c r="C3474" t="s">
        <v>923</v>
      </c>
      <c r="D3474" t="s">
        <v>4551</v>
      </c>
      <c r="E3474" t="str">
        <f t="shared" si="54"/>
        <v>DNS1830006274</v>
      </c>
    </row>
    <row r="3475" spans="1:5" x14ac:dyDescent="0.3">
      <c r="A3475" t="s">
        <v>4017</v>
      </c>
      <c r="B3475">
        <v>1830006275</v>
      </c>
      <c r="C3475" t="s">
        <v>1730</v>
      </c>
      <c r="D3475" t="s">
        <v>4552</v>
      </c>
      <c r="E3475" t="str">
        <f t="shared" si="54"/>
        <v>DNS1830006275</v>
      </c>
    </row>
    <row r="3476" spans="1:5" x14ac:dyDescent="0.3">
      <c r="A3476" t="s">
        <v>4017</v>
      </c>
      <c r="B3476">
        <v>2211400344</v>
      </c>
      <c r="C3476" t="s">
        <v>1511</v>
      </c>
      <c r="D3476" t="s">
        <v>4553</v>
      </c>
      <c r="E3476" t="str">
        <f t="shared" si="54"/>
        <v>DNS2211400344</v>
      </c>
    </row>
    <row r="3477" spans="1:5" x14ac:dyDescent="0.3">
      <c r="A3477" t="s">
        <v>4017</v>
      </c>
      <c r="B3477">
        <v>2211400546</v>
      </c>
      <c r="C3477" t="s">
        <v>3116</v>
      </c>
      <c r="D3477" t="s">
        <v>4554</v>
      </c>
      <c r="E3477" t="str">
        <f t="shared" si="54"/>
        <v>DNS2211400546</v>
      </c>
    </row>
    <row r="3478" spans="1:5" x14ac:dyDescent="0.3">
      <c r="A3478" t="s">
        <v>4017</v>
      </c>
      <c r="B3478">
        <v>2211400685</v>
      </c>
      <c r="C3478" t="s">
        <v>3118</v>
      </c>
      <c r="D3478" t="s">
        <v>4555</v>
      </c>
      <c r="E3478" t="str">
        <f t="shared" si="54"/>
        <v>DNS2211400685</v>
      </c>
    </row>
    <row r="3479" spans="1:5" x14ac:dyDescent="0.3">
      <c r="A3479" t="s">
        <v>4017</v>
      </c>
      <c r="B3479">
        <v>2211400743</v>
      </c>
      <c r="C3479" t="s">
        <v>2329</v>
      </c>
      <c r="D3479" t="s">
        <v>4556</v>
      </c>
      <c r="E3479" t="str">
        <f t="shared" si="54"/>
        <v>DNS2211400743</v>
      </c>
    </row>
    <row r="3480" spans="1:5" x14ac:dyDescent="0.3">
      <c r="A3480" t="s">
        <v>4017</v>
      </c>
      <c r="B3480">
        <v>2211400925</v>
      </c>
      <c r="C3480" t="s">
        <v>3311</v>
      </c>
      <c r="D3480" t="s">
        <v>4557</v>
      </c>
      <c r="E3480" t="str">
        <f t="shared" si="54"/>
        <v>DNS2211400925</v>
      </c>
    </row>
    <row r="3481" spans="1:5" x14ac:dyDescent="0.3">
      <c r="A3481" t="s">
        <v>4017</v>
      </c>
      <c r="B3481">
        <v>2211400926</v>
      </c>
      <c r="C3481" t="s">
        <v>3313</v>
      </c>
      <c r="D3481" t="s">
        <v>4558</v>
      </c>
      <c r="E3481" t="str">
        <f t="shared" si="54"/>
        <v>DNS2211400926</v>
      </c>
    </row>
    <row r="3482" spans="1:5" x14ac:dyDescent="0.3">
      <c r="A3482" t="s">
        <v>4017</v>
      </c>
      <c r="B3482">
        <v>2211400927</v>
      </c>
      <c r="C3482" t="s">
        <v>3315</v>
      </c>
      <c r="D3482" t="s">
        <v>4559</v>
      </c>
      <c r="E3482" t="str">
        <f t="shared" si="54"/>
        <v>DNS2211400927</v>
      </c>
    </row>
    <row r="3483" spans="1:5" x14ac:dyDescent="0.3">
      <c r="A3483" t="s">
        <v>4017</v>
      </c>
      <c r="B3483">
        <v>2211400928</v>
      </c>
      <c r="C3483" t="s">
        <v>1781</v>
      </c>
      <c r="D3483" t="s">
        <v>4560</v>
      </c>
      <c r="E3483" t="str">
        <f t="shared" si="54"/>
        <v>DNS2211400928</v>
      </c>
    </row>
    <row r="3484" spans="1:5" x14ac:dyDescent="0.3">
      <c r="A3484" t="s">
        <v>4017</v>
      </c>
      <c r="B3484">
        <v>2211400929</v>
      </c>
      <c r="C3484" t="s">
        <v>4561</v>
      </c>
      <c r="D3484" t="s">
        <v>4562</v>
      </c>
      <c r="E3484" t="str">
        <f t="shared" si="54"/>
        <v>DNS2211400929</v>
      </c>
    </row>
    <row r="3485" spans="1:5" x14ac:dyDescent="0.3">
      <c r="A3485" t="s">
        <v>4017</v>
      </c>
      <c r="B3485">
        <v>1600005408</v>
      </c>
      <c r="C3485" t="s">
        <v>4563</v>
      </c>
      <c r="D3485" t="s">
        <v>4564</v>
      </c>
      <c r="E3485" t="str">
        <f t="shared" si="54"/>
        <v>DNS1600005408</v>
      </c>
    </row>
    <row r="3486" spans="1:5" x14ac:dyDescent="0.3">
      <c r="A3486" t="s">
        <v>4017</v>
      </c>
      <c r="B3486">
        <v>1600005144</v>
      </c>
      <c r="C3486" t="s">
        <v>1603</v>
      </c>
      <c r="D3486" t="s">
        <v>4565</v>
      </c>
      <c r="E3486" t="str">
        <f t="shared" si="54"/>
        <v>DNS1600005144</v>
      </c>
    </row>
    <row r="3487" spans="1:5" x14ac:dyDescent="0.3">
      <c r="A3487" t="s">
        <v>4017</v>
      </c>
      <c r="B3487">
        <v>1600005385</v>
      </c>
      <c r="C3487" t="s">
        <v>4566</v>
      </c>
      <c r="D3487" t="s">
        <v>4567</v>
      </c>
      <c r="E3487" t="str">
        <f t="shared" si="54"/>
        <v>DNS1600005385</v>
      </c>
    </row>
    <row r="3488" spans="1:5" x14ac:dyDescent="0.3">
      <c r="A3488" t="s">
        <v>4017</v>
      </c>
      <c r="B3488">
        <v>1600005384</v>
      </c>
      <c r="C3488" t="s">
        <v>4568</v>
      </c>
      <c r="D3488" t="s">
        <v>4569</v>
      </c>
      <c r="E3488" t="str">
        <f t="shared" si="54"/>
        <v>DNS1600005384</v>
      </c>
    </row>
    <row r="3489" spans="1:5" x14ac:dyDescent="0.3">
      <c r="A3489" t="s">
        <v>4017</v>
      </c>
      <c r="B3489">
        <v>8000003687</v>
      </c>
      <c r="C3489" t="s">
        <v>1659</v>
      </c>
      <c r="D3489" t="s">
        <v>4570</v>
      </c>
      <c r="E3489" t="str">
        <f t="shared" si="54"/>
        <v>DNS8000003687</v>
      </c>
    </row>
    <row r="3490" spans="1:5" x14ac:dyDescent="0.3">
      <c r="A3490" t="s">
        <v>4017</v>
      </c>
      <c r="B3490">
        <v>7211003574</v>
      </c>
      <c r="C3490" t="s">
        <v>4571</v>
      </c>
      <c r="D3490" t="s">
        <v>4572</v>
      </c>
      <c r="E3490" t="str">
        <f t="shared" si="54"/>
        <v>DNS7211003574</v>
      </c>
    </row>
    <row r="3491" spans="1:5" x14ac:dyDescent="0.3">
      <c r="A3491" t="s">
        <v>4017</v>
      </c>
      <c r="B3491">
        <v>7211001963</v>
      </c>
      <c r="C3491" t="s">
        <v>3138</v>
      </c>
      <c r="D3491" t="s">
        <v>4573</v>
      </c>
      <c r="E3491" t="str">
        <f t="shared" si="54"/>
        <v>DNS7211001963</v>
      </c>
    </row>
    <row r="3492" spans="1:5" x14ac:dyDescent="0.3">
      <c r="A3492" t="s">
        <v>4017</v>
      </c>
      <c r="B3492">
        <v>7211003203</v>
      </c>
      <c r="C3492" t="s">
        <v>3140</v>
      </c>
      <c r="D3492" t="s">
        <v>4574</v>
      </c>
      <c r="E3492" t="str">
        <f t="shared" si="54"/>
        <v>DNS7211003203</v>
      </c>
    </row>
    <row r="3493" spans="1:5" x14ac:dyDescent="0.3">
      <c r="A3493" t="s">
        <v>4017</v>
      </c>
      <c r="B3493">
        <v>1830004517</v>
      </c>
      <c r="C3493" t="s">
        <v>2476</v>
      </c>
      <c r="D3493" t="s">
        <v>4575</v>
      </c>
      <c r="E3493" t="str">
        <f t="shared" si="54"/>
        <v>DNS1830004517</v>
      </c>
    </row>
    <row r="3494" spans="1:5" x14ac:dyDescent="0.3">
      <c r="A3494" t="s">
        <v>4017</v>
      </c>
      <c r="B3494">
        <v>1830004517</v>
      </c>
      <c r="C3494" t="s">
        <v>2476</v>
      </c>
      <c r="D3494" t="s">
        <v>4576</v>
      </c>
      <c r="E3494" t="str">
        <f t="shared" si="54"/>
        <v>DNS1830004517</v>
      </c>
    </row>
    <row r="3495" spans="1:5" x14ac:dyDescent="0.3">
      <c r="A3495" t="s">
        <v>4017</v>
      </c>
      <c r="B3495">
        <v>2100105380</v>
      </c>
      <c r="C3495" t="s">
        <v>4577</v>
      </c>
      <c r="D3495" t="s">
        <v>4578</v>
      </c>
      <c r="E3495" t="str">
        <f t="shared" si="54"/>
        <v>DNS2100105380</v>
      </c>
    </row>
    <row r="3496" spans="1:5" x14ac:dyDescent="0.3">
      <c r="A3496" t="s">
        <v>4017</v>
      </c>
      <c r="B3496">
        <v>2100098995</v>
      </c>
      <c r="C3496" t="s">
        <v>654</v>
      </c>
      <c r="D3496" t="s">
        <v>4579</v>
      </c>
      <c r="E3496" t="str">
        <f t="shared" si="54"/>
        <v>DNS2100098995</v>
      </c>
    </row>
    <row r="3497" spans="1:5" x14ac:dyDescent="0.3">
      <c r="A3497" t="s">
        <v>4017</v>
      </c>
      <c r="B3497">
        <v>2100104675</v>
      </c>
      <c r="C3497" t="s">
        <v>4580</v>
      </c>
      <c r="D3497" t="s">
        <v>4581</v>
      </c>
      <c r="E3497" t="str">
        <f t="shared" si="54"/>
        <v>DNS2100104675</v>
      </c>
    </row>
    <row r="3498" spans="1:5" x14ac:dyDescent="0.3">
      <c r="A3498" t="s">
        <v>4017</v>
      </c>
      <c r="B3498">
        <v>2100099001</v>
      </c>
      <c r="C3498" t="s">
        <v>4582</v>
      </c>
      <c r="D3498" t="s">
        <v>4583</v>
      </c>
      <c r="E3498" t="str">
        <f t="shared" si="54"/>
        <v>DNS2100099001</v>
      </c>
    </row>
    <row r="3499" spans="1:5" x14ac:dyDescent="0.3">
      <c r="A3499" t="s">
        <v>4017</v>
      </c>
      <c r="B3499">
        <v>2100098996</v>
      </c>
      <c r="C3499" t="s">
        <v>656</v>
      </c>
      <c r="D3499" t="s">
        <v>4584</v>
      </c>
      <c r="E3499" t="str">
        <f t="shared" si="54"/>
        <v>DNS2100098996</v>
      </c>
    </row>
    <row r="3500" spans="1:5" x14ac:dyDescent="0.3">
      <c r="A3500" t="s">
        <v>4017</v>
      </c>
      <c r="B3500">
        <v>2100111151</v>
      </c>
      <c r="C3500" t="s">
        <v>4585</v>
      </c>
      <c r="D3500" t="s">
        <v>4586</v>
      </c>
      <c r="E3500" t="str">
        <f t="shared" si="54"/>
        <v>DNS2100111151</v>
      </c>
    </row>
    <row r="3501" spans="1:5" x14ac:dyDescent="0.3">
      <c r="A3501" t="s">
        <v>4017</v>
      </c>
      <c r="B3501">
        <v>2100111146</v>
      </c>
      <c r="C3501" t="s">
        <v>4587</v>
      </c>
      <c r="D3501" t="s">
        <v>4588</v>
      </c>
      <c r="E3501" t="str">
        <f t="shared" si="54"/>
        <v>DNS2100111146</v>
      </c>
    </row>
    <row r="3502" spans="1:5" x14ac:dyDescent="0.3">
      <c r="A3502" t="s">
        <v>4017</v>
      </c>
      <c r="B3502">
        <v>2100111153</v>
      </c>
      <c r="C3502" t="s">
        <v>4589</v>
      </c>
      <c r="D3502" t="s">
        <v>4590</v>
      </c>
      <c r="E3502" t="str">
        <f t="shared" si="54"/>
        <v>DNS2100111153</v>
      </c>
    </row>
    <row r="3503" spans="1:5" x14ac:dyDescent="0.3">
      <c r="A3503" t="s">
        <v>4017</v>
      </c>
      <c r="B3503">
        <v>7211002133</v>
      </c>
      <c r="C3503" t="s">
        <v>2568</v>
      </c>
      <c r="D3503" t="s">
        <v>4591</v>
      </c>
      <c r="E3503" t="str">
        <f t="shared" si="54"/>
        <v>DNS7211002133</v>
      </c>
    </row>
    <row r="3504" spans="1:5" x14ac:dyDescent="0.3">
      <c r="A3504" t="s">
        <v>4017</v>
      </c>
      <c r="B3504">
        <v>7211002271</v>
      </c>
      <c r="C3504" t="s">
        <v>556</v>
      </c>
      <c r="D3504" t="s">
        <v>4592</v>
      </c>
      <c r="E3504" t="str">
        <f t="shared" si="54"/>
        <v>DNS7211002271</v>
      </c>
    </row>
    <row r="3505" spans="1:5" x14ac:dyDescent="0.3">
      <c r="A3505" t="s">
        <v>4017</v>
      </c>
      <c r="B3505">
        <v>7211002289</v>
      </c>
      <c r="C3505" t="s">
        <v>1081</v>
      </c>
      <c r="D3505" t="s">
        <v>4593</v>
      </c>
      <c r="E3505" t="str">
        <f t="shared" si="54"/>
        <v>DNS7211002289</v>
      </c>
    </row>
    <row r="3506" spans="1:5" x14ac:dyDescent="0.3">
      <c r="A3506" t="s">
        <v>4017</v>
      </c>
      <c r="B3506">
        <v>7211000077</v>
      </c>
      <c r="C3506" t="s">
        <v>4594</v>
      </c>
      <c r="D3506" t="s">
        <v>4595</v>
      </c>
      <c r="E3506" t="str">
        <f t="shared" si="54"/>
        <v>DNS7211000077</v>
      </c>
    </row>
    <row r="3507" spans="1:5" x14ac:dyDescent="0.3">
      <c r="A3507" t="s">
        <v>4017</v>
      </c>
      <c r="B3507">
        <v>2100093085</v>
      </c>
      <c r="C3507" t="s">
        <v>576</v>
      </c>
      <c r="D3507" t="s">
        <v>4596</v>
      </c>
      <c r="E3507" t="str">
        <f t="shared" si="54"/>
        <v>DNS2100093085</v>
      </c>
    </row>
    <row r="3508" spans="1:5" x14ac:dyDescent="0.3">
      <c r="A3508" t="s">
        <v>4017</v>
      </c>
      <c r="B3508">
        <v>8000033616</v>
      </c>
      <c r="C3508" t="s">
        <v>1663</v>
      </c>
      <c r="D3508" t="s">
        <v>4597</v>
      </c>
      <c r="E3508" t="str">
        <f t="shared" si="54"/>
        <v>DNS8000033616</v>
      </c>
    </row>
    <row r="3509" spans="1:5" x14ac:dyDescent="0.3">
      <c r="A3509" t="s">
        <v>4017</v>
      </c>
      <c r="B3509">
        <v>8000031569</v>
      </c>
      <c r="C3509" t="s">
        <v>1661</v>
      </c>
      <c r="D3509" t="s">
        <v>4598</v>
      </c>
      <c r="E3509" t="str">
        <f t="shared" si="54"/>
        <v>DNS8000031569</v>
      </c>
    </row>
    <row r="3510" spans="1:5" x14ac:dyDescent="0.3">
      <c r="A3510" t="s">
        <v>4017</v>
      </c>
      <c r="B3510">
        <v>8000035499</v>
      </c>
      <c r="C3510" t="s">
        <v>4599</v>
      </c>
      <c r="D3510" t="s">
        <v>4600</v>
      </c>
      <c r="E3510" t="str">
        <f t="shared" si="54"/>
        <v>DNS8000035499</v>
      </c>
    </row>
    <row r="3511" spans="1:5" x14ac:dyDescent="0.3">
      <c r="A3511" t="s">
        <v>4017</v>
      </c>
      <c r="B3511">
        <v>2100087393</v>
      </c>
      <c r="C3511" t="s">
        <v>1297</v>
      </c>
      <c r="D3511" t="s">
        <v>4601</v>
      </c>
      <c r="E3511" t="str">
        <f t="shared" si="54"/>
        <v>DNS2100087393</v>
      </c>
    </row>
    <row r="3512" spans="1:5" x14ac:dyDescent="0.3">
      <c r="A3512" t="s">
        <v>4017</v>
      </c>
      <c r="B3512">
        <v>2100077449</v>
      </c>
      <c r="C3512" t="s">
        <v>4602</v>
      </c>
      <c r="D3512" t="s">
        <v>4603</v>
      </c>
      <c r="E3512" t="str">
        <f t="shared" si="54"/>
        <v>DNS2100077449</v>
      </c>
    </row>
    <row r="3513" spans="1:5" x14ac:dyDescent="0.3">
      <c r="A3513" t="s">
        <v>4017</v>
      </c>
      <c r="B3513">
        <v>1830004590</v>
      </c>
      <c r="C3513" t="s">
        <v>3997</v>
      </c>
      <c r="D3513" t="s">
        <v>4604</v>
      </c>
      <c r="E3513" t="str">
        <f t="shared" si="54"/>
        <v>DNS1830004590</v>
      </c>
    </row>
    <row r="3514" spans="1:5" x14ac:dyDescent="0.3">
      <c r="A3514" t="s">
        <v>4017</v>
      </c>
      <c r="B3514">
        <v>1830007363</v>
      </c>
      <c r="C3514" t="s">
        <v>3475</v>
      </c>
      <c r="D3514" t="s">
        <v>4605</v>
      </c>
      <c r="E3514" t="str">
        <f t="shared" si="54"/>
        <v>DNS1830007363</v>
      </c>
    </row>
    <row r="3515" spans="1:5" x14ac:dyDescent="0.3">
      <c r="A3515" t="s">
        <v>4017</v>
      </c>
      <c r="B3515">
        <v>1830007947</v>
      </c>
      <c r="C3515" t="s">
        <v>4606</v>
      </c>
      <c r="D3515" t="s">
        <v>4607</v>
      </c>
      <c r="E3515" t="str">
        <f t="shared" si="54"/>
        <v>DNS1830007947</v>
      </c>
    </row>
    <row r="3516" spans="1:5" x14ac:dyDescent="0.3">
      <c r="A3516" t="s">
        <v>4017</v>
      </c>
      <c r="B3516">
        <v>1830006540</v>
      </c>
      <c r="C3516" t="s">
        <v>890</v>
      </c>
      <c r="D3516" t="s">
        <v>4608</v>
      </c>
      <c r="E3516" t="str">
        <f t="shared" si="54"/>
        <v>DNS1830006540</v>
      </c>
    </row>
    <row r="3517" spans="1:5" x14ac:dyDescent="0.3">
      <c r="A3517" t="s">
        <v>4017</v>
      </c>
      <c r="B3517">
        <v>1830007391</v>
      </c>
      <c r="C3517" t="s">
        <v>4609</v>
      </c>
      <c r="D3517" t="s">
        <v>4610</v>
      </c>
      <c r="E3517" t="str">
        <f t="shared" si="54"/>
        <v>DNS1830007391</v>
      </c>
    </row>
    <row r="3518" spans="1:5" x14ac:dyDescent="0.3">
      <c r="A3518" t="s">
        <v>4017</v>
      </c>
      <c r="B3518">
        <v>1830006534</v>
      </c>
      <c r="C3518" t="s">
        <v>1168</v>
      </c>
      <c r="D3518" t="s">
        <v>4611</v>
      </c>
      <c r="E3518" t="str">
        <f t="shared" si="54"/>
        <v>DNS1830006534</v>
      </c>
    </row>
    <row r="3519" spans="1:5" x14ac:dyDescent="0.3">
      <c r="A3519" t="s">
        <v>4017</v>
      </c>
      <c r="B3519">
        <v>8000035667</v>
      </c>
      <c r="C3519" t="s">
        <v>2352</v>
      </c>
      <c r="D3519" t="s">
        <v>4612</v>
      </c>
      <c r="E3519" t="str">
        <f t="shared" si="54"/>
        <v>DNS8000035667</v>
      </c>
    </row>
    <row r="3520" spans="1:5" x14ac:dyDescent="0.3">
      <c r="A3520" t="s">
        <v>4017</v>
      </c>
      <c r="B3520">
        <v>8000035848</v>
      </c>
      <c r="C3520" t="s">
        <v>3090</v>
      </c>
      <c r="D3520" t="s">
        <v>4613</v>
      </c>
      <c r="E3520" t="str">
        <f t="shared" si="54"/>
        <v>DNS8000035848</v>
      </c>
    </row>
    <row r="3521" spans="1:5" x14ac:dyDescent="0.3">
      <c r="A3521" t="s">
        <v>4017</v>
      </c>
      <c r="B3521">
        <v>8000035923</v>
      </c>
      <c r="C3521" t="s">
        <v>1146</v>
      </c>
      <c r="D3521" t="s">
        <v>4614</v>
      </c>
      <c r="E3521" t="str">
        <f t="shared" si="54"/>
        <v>DNS8000035923</v>
      </c>
    </row>
    <row r="3522" spans="1:5" x14ac:dyDescent="0.3">
      <c r="A3522" t="s">
        <v>4017</v>
      </c>
      <c r="B3522">
        <v>1500578361</v>
      </c>
      <c r="C3522" t="s">
        <v>2355</v>
      </c>
      <c r="D3522" t="s">
        <v>4615</v>
      </c>
      <c r="E3522" t="str">
        <f t="shared" si="54"/>
        <v>DNS1500578361</v>
      </c>
    </row>
    <row r="3523" spans="1:5" x14ac:dyDescent="0.3">
      <c r="A3523" t="s">
        <v>4017</v>
      </c>
      <c r="B3523">
        <v>1510001751</v>
      </c>
      <c r="C3523" t="s">
        <v>3085</v>
      </c>
      <c r="D3523" t="s">
        <v>4616</v>
      </c>
      <c r="E3523" t="str">
        <f t="shared" ref="E3523:E3586" si="55">A3523&amp;B3523</f>
        <v>DNS1510001751</v>
      </c>
    </row>
    <row r="3524" spans="1:5" x14ac:dyDescent="0.3">
      <c r="A3524" t="s">
        <v>4017</v>
      </c>
      <c r="B3524">
        <v>1500859369</v>
      </c>
      <c r="C3524" t="s">
        <v>554</v>
      </c>
      <c r="D3524" t="s">
        <v>4617</v>
      </c>
      <c r="E3524" t="str">
        <f t="shared" si="55"/>
        <v>DNS1500859369</v>
      </c>
    </row>
    <row r="3525" spans="1:5" x14ac:dyDescent="0.3">
      <c r="A3525" t="s">
        <v>4017</v>
      </c>
      <c r="B3525">
        <v>7211003721</v>
      </c>
      <c r="C3525" t="s">
        <v>4618</v>
      </c>
      <c r="D3525" t="s">
        <v>4619</v>
      </c>
      <c r="E3525" t="str">
        <f t="shared" si="55"/>
        <v>DNS7211003721</v>
      </c>
    </row>
    <row r="3526" spans="1:5" x14ac:dyDescent="0.3">
      <c r="A3526" t="s">
        <v>4017</v>
      </c>
      <c r="B3526">
        <v>7211001761</v>
      </c>
      <c r="C3526" t="s">
        <v>4620</v>
      </c>
      <c r="D3526" t="s">
        <v>4621</v>
      </c>
      <c r="E3526" t="str">
        <f t="shared" si="55"/>
        <v>DNS7211001761</v>
      </c>
    </row>
    <row r="3527" spans="1:5" x14ac:dyDescent="0.3">
      <c r="A3527" t="s">
        <v>4017</v>
      </c>
      <c r="B3527">
        <v>7211001044</v>
      </c>
      <c r="C3527" t="s">
        <v>4622</v>
      </c>
      <c r="D3527" t="s">
        <v>4623</v>
      </c>
      <c r="E3527" t="str">
        <f t="shared" si="55"/>
        <v>DNS7211001044</v>
      </c>
    </row>
    <row r="3528" spans="1:5" x14ac:dyDescent="0.3">
      <c r="A3528" t="s">
        <v>4017</v>
      </c>
      <c r="B3528">
        <v>7211001107</v>
      </c>
      <c r="C3528" t="s">
        <v>2364</v>
      </c>
      <c r="D3528" t="s">
        <v>4624</v>
      </c>
      <c r="E3528" t="str">
        <f t="shared" si="55"/>
        <v>DNS7211001107</v>
      </c>
    </row>
    <row r="3529" spans="1:5" x14ac:dyDescent="0.3">
      <c r="A3529" t="s">
        <v>4017</v>
      </c>
      <c r="B3529">
        <v>7211001108</v>
      </c>
      <c r="C3529" t="s">
        <v>488</v>
      </c>
      <c r="D3529" t="s">
        <v>4625</v>
      </c>
      <c r="E3529" t="str">
        <f t="shared" si="55"/>
        <v>DNS7211001108</v>
      </c>
    </row>
    <row r="3530" spans="1:5" x14ac:dyDescent="0.3">
      <c r="A3530" t="s">
        <v>4017</v>
      </c>
      <c r="B3530">
        <v>1510001898</v>
      </c>
      <c r="C3530" t="s">
        <v>1240</v>
      </c>
      <c r="D3530" t="s">
        <v>4626</v>
      </c>
      <c r="E3530" t="str">
        <f t="shared" si="55"/>
        <v>DNS1510001898</v>
      </c>
    </row>
    <row r="3531" spans="1:5" x14ac:dyDescent="0.3">
      <c r="A3531" t="s">
        <v>4017</v>
      </c>
      <c r="B3531">
        <v>7211002342</v>
      </c>
      <c r="C3531" t="s">
        <v>2732</v>
      </c>
      <c r="D3531" t="s">
        <v>4627</v>
      </c>
      <c r="E3531" t="str">
        <f t="shared" si="55"/>
        <v>DNS7211002342</v>
      </c>
    </row>
    <row r="3532" spans="1:5" x14ac:dyDescent="0.3">
      <c r="A3532" t="s">
        <v>4017</v>
      </c>
      <c r="B3532">
        <v>7211002851</v>
      </c>
      <c r="C3532" t="s">
        <v>954</v>
      </c>
      <c r="D3532" t="s">
        <v>4628</v>
      </c>
      <c r="E3532" t="str">
        <f t="shared" si="55"/>
        <v>DNS7211002851</v>
      </c>
    </row>
    <row r="3533" spans="1:5" x14ac:dyDescent="0.3">
      <c r="A3533" t="s">
        <v>4017</v>
      </c>
      <c r="B3533">
        <v>8000035803</v>
      </c>
      <c r="C3533" t="s">
        <v>4629</v>
      </c>
      <c r="D3533" t="s">
        <v>4630</v>
      </c>
      <c r="E3533" t="str">
        <f t="shared" si="55"/>
        <v>DNS8000035803</v>
      </c>
    </row>
    <row r="3534" spans="1:5" x14ac:dyDescent="0.3">
      <c r="A3534" t="s">
        <v>4017</v>
      </c>
      <c r="B3534">
        <v>8010000473</v>
      </c>
      <c r="C3534" t="s">
        <v>4631</v>
      </c>
      <c r="D3534" t="s">
        <v>4632</v>
      </c>
      <c r="E3534" t="str">
        <f t="shared" si="55"/>
        <v>DNS8010000473</v>
      </c>
    </row>
    <row r="3535" spans="1:5" x14ac:dyDescent="0.3">
      <c r="A3535" t="s">
        <v>4017</v>
      </c>
      <c r="B3535">
        <v>8010000020</v>
      </c>
      <c r="C3535" t="s">
        <v>3718</v>
      </c>
      <c r="D3535" t="s">
        <v>4633</v>
      </c>
      <c r="E3535" t="str">
        <f t="shared" si="55"/>
        <v>DNS8010000020</v>
      </c>
    </row>
    <row r="3536" spans="1:5" x14ac:dyDescent="0.3">
      <c r="A3536" t="s">
        <v>4017</v>
      </c>
      <c r="B3536">
        <v>8010000023</v>
      </c>
      <c r="C3536" t="s">
        <v>1326</v>
      </c>
      <c r="D3536" t="s">
        <v>4634</v>
      </c>
      <c r="E3536" t="str">
        <f t="shared" si="55"/>
        <v>DNS8010000023</v>
      </c>
    </row>
    <row r="3537" spans="1:5" x14ac:dyDescent="0.3">
      <c r="A3537" t="s">
        <v>4017</v>
      </c>
      <c r="B3537">
        <v>7211001545</v>
      </c>
      <c r="C3537" t="s">
        <v>2381</v>
      </c>
      <c r="D3537" t="s">
        <v>4635</v>
      </c>
      <c r="E3537" t="str">
        <f t="shared" si="55"/>
        <v>DNS7211001545</v>
      </c>
    </row>
    <row r="3538" spans="1:5" x14ac:dyDescent="0.3">
      <c r="A3538" t="s">
        <v>4017</v>
      </c>
      <c r="B3538">
        <v>7211004209</v>
      </c>
      <c r="C3538" t="s">
        <v>4636</v>
      </c>
      <c r="D3538" t="s">
        <v>4637</v>
      </c>
      <c r="E3538" t="str">
        <f t="shared" si="55"/>
        <v>DNS7211004209</v>
      </c>
    </row>
    <row r="3539" spans="1:5" x14ac:dyDescent="0.3">
      <c r="A3539" t="s">
        <v>4017</v>
      </c>
      <c r="B3539">
        <v>7211002980</v>
      </c>
      <c r="C3539" t="s">
        <v>2777</v>
      </c>
      <c r="D3539" t="s">
        <v>4638</v>
      </c>
      <c r="E3539" t="str">
        <f t="shared" si="55"/>
        <v>DNS7211002980</v>
      </c>
    </row>
    <row r="3540" spans="1:5" x14ac:dyDescent="0.3">
      <c r="A3540" t="s">
        <v>4017</v>
      </c>
      <c r="B3540">
        <v>7211002463</v>
      </c>
      <c r="C3540" t="s">
        <v>2388</v>
      </c>
      <c r="D3540" t="s">
        <v>4639</v>
      </c>
      <c r="E3540" t="str">
        <f t="shared" si="55"/>
        <v>DNS7211002463</v>
      </c>
    </row>
    <row r="3541" spans="1:5" x14ac:dyDescent="0.3">
      <c r="A3541" t="s">
        <v>4017</v>
      </c>
      <c r="B3541">
        <v>7211001078</v>
      </c>
      <c r="C3541" t="s">
        <v>566</v>
      </c>
      <c r="D3541" t="s">
        <v>4640</v>
      </c>
      <c r="E3541" t="str">
        <f t="shared" si="55"/>
        <v>DNS7211001078</v>
      </c>
    </row>
    <row r="3542" spans="1:5" x14ac:dyDescent="0.3">
      <c r="A3542" t="s">
        <v>4017</v>
      </c>
      <c r="B3542">
        <v>8010000464</v>
      </c>
      <c r="C3542" t="s">
        <v>4005</v>
      </c>
      <c r="D3542" t="s">
        <v>4641</v>
      </c>
      <c r="E3542" t="str">
        <f t="shared" si="55"/>
        <v>DNS8010000464</v>
      </c>
    </row>
    <row r="3543" spans="1:5" x14ac:dyDescent="0.3">
      <c r="A3543" t="s">
        <v>4017</v>
      </c>
      <c r="B3543">
        <v>7211003827</v>
      </c>
      <c r="C3543" t="s">
        <v>81</v>
      </c>
      <c r="D3543" t="s">
        <v>4642</v>
      </c>
      <c r="E3543" t="str">
        <f t="shared" si="55"/>
        <v>DNS7211003827</v>
      </c>
    </row>
    <row r="3544" spans="1:5" x14ac:dyDescent="0.3">
      <c r="A3544" t="s">
        <v>4017</v>
      </c>
      <c r="B3544">
        <v>7211002374</v>
      </c>
      <c r="C3544" t="s">
        <v>813</v>
      </c>
      <c r="D3544" t="s">
        <v>4643</v>
      </c>
      <c r="E3544" t="str">
        <f t="shared" si="55"/>
        <v>DNS7211002374</v>
      </c>
    </row>
    <row r="3545" spans="1:5" x14ac:dyDescent="0.3">
      <c r="A3545" t="s">
        <v>4017</v>
      </c>
      <c r="B3545">
        <v>1830007953</v>
      </c>
      <c r="C3545" t="s">
        <v>4644</v>
      </c>
      <c r="D3545" t="s">
        <v>4645</v>
      </c>
      <c r="E3545" t="str">
        <f t="shared" si="55"/>
        <v>DNS1830007953</v>
      </c>
    </row>
    <row r="3546" spans="1:5" x14ac:dyDescent="0.3">
      <c r="A3546" t="s">
        <v>4017</v>
      </c>
      <c r="B3546">
        <v>1830008002</v>
      </c>
      <c r="C3546" t="s">
        <v>4646</v>
      </c>
      <c r="D3546" t="s">
        <v>4647</v>
      </c>
      <c r="E3546" t="str">
        <f t="shared" si="55"/>
        <v>DNS1830008002</v>
      </c>
    </row>
    <row r="3547" spans="1:5" x14ac:dyDescent="0.3">
      <c r="A3547" t="s">
        <v>4017</v>
      </c>
      <c r="B3547">
        <v>1830007977</v>
      </c>
      <c r="C3547" t="s">
        <v>1371</v>
      </c>
      <c r="D3547" t="s">
        <v>4648</v>
      </c>
      <c r="E3547" t="str">
        <f t="shared" si="55"/>
        <v>DNS1830007977</v>
      </c>
    </row>
    <row r="3548" spans="1:5" x14ac:dyDescent="0.3">
      <c r="A3548" t="s">
        <v>4017</v>
      </c>
      <c r="B3548">
        <v>1830008006</v>
      </c>
      <c r="C3548" t="s">
        <v>1369</v>
      </c>
      <c r="D3548" t="s">
        <v>4649</v>
      </c>
      <c r="E3548" t="str">
        <f t="shared" si="55"/>
        <v>DNS1830008006</v>
      </c>
    </row>
    <row r="3549" spans="1:5" x14ac:dyDescent="0.3">
      <c r="A3549" t="s">
        <v>4017</v>
      </c>
      <c r="B3549">
        <v>1830006340</v>
      </c>
      <c r="C3549" t="s">
        <v>4650</v>
      </c>
      <c r="D3549" t="s">
        <v>4651</v>
      </c>
      <c r="E3549" t="str">
        <f t="shared" si="55"/>
        <v>DNS1830006340</v>
      </c>
    </row>
    <row r="3550" spans="1:5" x14ac:dyDescent="0.3">
      <c r="A3550" t="s">
        <v>4017</v>
      </c>
      <c r="B3550">
        <v>1830006342</v>
      </c>
      <c r="C3550" t="s">
        <v>2432</v>
      </c>
      <c r="D3550" t="s">
        <v>4652</v>
      </c>
      <c r="E3550" t="str">
        <f t="shared" si="55"/>
        <v>DNS1830006342</v>
      </c>
    </row>
    <row r="3551" spans="1:5" x14ac:dyDescent="0.3">
      <c r="A3551" t="s">
        <v>4017</v>
      </c>
      <c r="B3551">
        <v>1830007954</v>
      </c>
      <c r="C3551" t="s">
        <v>2431</v>
      </c>
      <c r="D3551" t="s">
        <v>4653</v>
      </c>
      <c r="E3551" t="str">
        <f t="shared" si="55"/>
        <v>DNS1830007954</v>
      </c>
    </row>
    <row r="3552" spans="1:5" x14ac:dyDescent="0.3">
      <c r="A3552" t="s">
        <v>4017</v>
      </c>
      <c r="B3552">
        <v>1830008015</v>
      </c>
      <c r="C3552" t="s">
        <v>4654</v>
      </c>
      <c r="D3552" t="s">
        <v>4655</v>
      </c>
      <c r="E3552" t="str">
        <f t="shared" si="55"/>
        <v>DNS1830008015</v>
      </c>
    </row>
    <row r="3553" spans="1:5" x14ac:dyDescent="0.3">
      <c r="A3553" t="s">
        <v>4017</v>
      </c>
      <c r="B3553">
        <v>1830007621</v>
      </c>
      <c r="C3553" t="s">
        <v>4656</v>
      </c>
      <c r="D3553" t="s">
        <v>4657</v>
      </c>
      <c r="E3553" t="str">
        <f t="shared" si="55"/>
        <v>DNS1830007621</v>
      </c>
    </row>
    <row r="3554" spans="1:5" x14ac:dyDescent="0.3">
      <c r="A3554" t="s">
        <v>4017</v>
      </c>
      <c r="B3554">
        <v>1830008004</v>
      </c>
      <c r="C3554" t="s">
        <v>4658</v>
      </c>
      <c r="D3554" t="s">
        <v>4659</v>
      </c>
      <c r="E3554" t="str">
        <f t="shared" si="55"/>
        <v>DNS1830008004</v>
      </c>
    </row>
    <row r="3555" spans="1:5" x14ac:dyDescent="0.3">
      <c r="A3555" t="s">
        <v>4660</v>
      </c>
      <c r="B3555">
        <v>2100102486</v>
      </c>
      <c r="C3555" t="s">
        <v>4661</v>
      </c>
      <c r="D3555" t="s">
        <v>4662</v>
      </c>
      <c r="E3555" t="str">
        <f t="shared" si="55"/>
        <v>SULPAK2100102486</v>
      </c>
    </row>
    <row r="3556" spans="1:5" x14ac:dyDescent="0.3">
      <c r="A3556" t="s">
        <v>4660</v>
      </c>
      <c r="B3556">
        <v>1510001922</v>
      </c>
      <c r="C3556" t="s">
        <v>3708</v>
      </c>
      <c r="D3556" t="s">
        <v>4663</v>
      </c>
      <c r="E3556" t="str">
        <f t="shared" si="55"/>
        <v>SULPAK1510001922</v>
      </c>
    </row>
    <row r="3557" spans="1:5" x14ac:dyDescent="0.3">
      <c r="A3557" t="s">
        <v>4660</v>
      </c>
      <c r="B3557">
        <v>7211004348</v>
      </c>
      <c r="C3557" t="s">
        <v>1960</v>
      </c>
      <c r="D3557" t="s">
        <v>4664</v>
      </c>
      <c r="E3557" t="str">
        <f t="shared" si="55"/>
        <v>SULPAK7211004348</v>
      </c>
    </row>
    <row r="3558" spans="1:5" x14ac:dyDescent="0.3">
      <c r="A3558" t="s">
        <v>4660</v>
      </c>
      <c r="B3558">
        <v>7211003369</v>
      </c>
      <c r="C3558" t="s">
        <v>429</v>
      </c>
      <c r="D3558" t="s">
        <v>4665</v>
      </c>
      <c r="E3558" t="str">
        <f t="shared" si="55"/>
        <v>SULPAK7211003369</v>
      </c>
    </row>
    <row r="3559" spans="1:5" x14ac:dyDescent="0.3">
      <c r="A3559" t="s">
        <v>4666</v>
      </c>
      <c r="B3559">
        <v>3201000913</v>
      </c>
      <c r="C3559">
        <v>609216030</v>
      </c>
      <c r="D3559" t="s">
        <v>4667</v>
      </c>
      <c r="E3559" t="str">
        <f t="shared" si="55"/>
        <v>technodom3201000913</v>
      </c>
    </row>
    <row r="3560" spans="1:5" x14ac:dyDescent="0.3">
      <c r="A3560" t="s">
        <v>4666</v>
      </c>
      <c r="B3560">
        <v>2211400758</v>
      </c>
      <c r="C3560" t="s">
        <v>4668</v>
      </c>
      <c r="D3560" t="s">
        <v>4669</v>
      </c>
      <c r="E3560" t="str">
        <f t="shared" si="55"/>
        <v>technodom2211400758</v>
      </c>
    </row>
    <row r="3561" spans="1:5" x14ac:dyDescent="0.3">
      <c r="A3561" t="s">
        <v>4666</v>
      </c>
      <c r="B3561">
        <v>1510001769</v>
      </c>
      <c r="C3561" t="s">
        <v>1199</v>
      </c>
      <c r="D3561" t="s">
        <v>4670</v>
      </c>
      <c r="E3561" t="str">
        <f t="shared" si="55"/>
        <v>technodom1510001769</v>
      </c>
    </row>
    <row r="3562" spans="1:5" x14ac:dyDescent="0.3">
      <c r="A3562" t="s">
        <v>447</v>
      </c>
      <c r="B3562">
        <v>2211400690</v>
      </c>
      <c r="C3562" t="s">
        <v>36</v>
      </c>
      <c r="D3562" t="s">
        <v>239</v>
      </c>
      <c r="E3562" t="str">
        <f t="shared" si="55"/>
        <v>Mechta2211400690</v>
      </c>
    </row>
    <row r="3563" spans="1:5" x14ac:dyDescent="0.3">
      <c r="A3563" t="s">
        <v>447</v>
      </c>
      <c r="B3563">
        <v>1830008581</v>
      </c>
      <c r="C3563" t="s">
        <v>1627</v>
      </c>
      <c r="D3563" t="s">
        <v>4671</v>
      </c>
      <c r="E3563" t="str">
        <f t="shared" si="55"/>
        <v>Mechta1830008581</v>
      </c>
    </row>
    <row r="3564" spans="1:5" x14ac:dyDescent="0.3">
      <c r="A3564" t="s">
        <v>3811</v>
      </c>
      <c r="B3564">
        <v>8000036179</v>
      </c>
      <c r="C3564" t="s">
        <v>3686</v>
      </c>
      <c r="D3564" t="s">
        <v>4672</v>
      </c>
      <c r="E3564" t="str">
        <f t="shared" si="55"/>
        <v>Fora8000036179</v>
      </c>
    </row>
    <row r="3565" spans="1:5" x14ac:dyDescent="0.3">
      <c r="A3565" t="s">
        <v>4673</v>
      </c>
      <c r="B3565">
        <v>1830007851</v>
      </c>
      <c r="C3565" t="s">
        <v>1195</v>
      </c>
      <c r="D3565" t="s">
        <v>4674</v>
      </c>
      <c r="E3565" t="str">
        <f t="shared" si="55"/>
        <v>Alser1830007851</v>
      </c>
    </row>
    <row r="3566" spans="1:5" x14ac:dyDescent="0.3">
      <c r="A3566" t="s">
        <v>4673</v>
      </c>
      <c r="B3566">
        <v>1830007856</v>
      </c>
      <c r="C3566" t="s">
        <v>3823</v>
      </c>
      <c r="D3566" t="s">
        <v>4675</v>
      </c>
      <c r="E3566" t="str">
        <f t="shared" si="55"/>
        <v>Alser1830007856</v>
      </c>
    </row>
    <row r="3567" spans="1:5" x14ac:dyDescent="0.3">
      <c r="A3567" t="s">
        <v>4673</v>
      </c>
      <c r="B3567">
        <v>7211002945</v>
      </c>
      <c r="C3567" t="s">
        <v>3044</v>
      </c>
      <c r="D3567" t="s">
        <v>4676</v>
      </c>
      <c r="E3567" t="str">
        <f t="shared" si="55"/>
        <v>Alser7211002945</v>
      </c>
    </row>
    <row r="3568" spans="1:5" x14ac:dyDescent="0.3">
      <c r="A3568" t="s">
        <v>4673</v>
      </c>
      <c r="B3568">
        <v>7211002834</v>
      </c>
      <c r="C3568" t="s">
        <v>4096</v>
      </c>
      <c r="D3568" t="s">
        <v>4677</v>
      </c>
      <c r="E3568" t="str">
        <f t="shared" si="55"/>
        <v>Alser7211002834</v>
      </c>
    </row>
    <row r="3569" spans="1:5" x14ac:dyDescent="0.3">
      <c r="A3569" t="s">
        <v>4673</v>
      </c>
      <c r="B3569">
        <v>7211002459</v>
      </c>
      <c r="C3569" t="s">
        <v>41</v>
      </c>
      <c r="D3569" t="s">
        <v>4678</v>
      </c>
      <c r="E3569" t="str">
        <f t="shared" si="55"/>
        <v>Alser7211002459</v>
      </c>
    </row>
    <row r="3570" spans="1:5" x14ac:dyDescent="0.3">
      <c r="A3570" t="s">
        <v>4673</v>
      </c>
      <c r="B3570">
        <v>7211002932</v>
      </c>
      <c r="C3570" t="s">
        <v>44</v>
      </c>
      <c r="D3570" t="s">
        <v>4679</v>
      </c>
      <c r="E3570" t="str">
        <f t="shared" si="55"/>
        <v>Alser7211002932</v>
      </c>
    </row>
    <row r="3571" spans="1:5" x14ac:dyDescent="0.3">
      <c r="A3571" t="s">
        <v>4673</v>
      </c>
      <c r="B3571">
        <v>7211003740</v>
      </c>
      <c r="C3571" t="s">
        <v>42</v>
      </c>
      <c r="D3571" t="s">
        <v>4680</v>
      </c>
      <c r="E3571" t="str">
        <f t="shared" si="55"/>
        <v>Alser7211003740</v>
      </c>
    </row>
    <row r="3572" spans="1:5" x14ac:dyDescent="0.3">
      <c r="A3572" t="s">
        <v>4673</v>
      </c>
      <c r="B3572">
        <v>9100004140</v>
      </c>
      <c r="C3572" t="s">
        <v>1138</v>
      </c>
      <c r="D3572" t="s">
        <v>4681</v>
      </c>
      <c r="E3572" t="str">
        <f t="shared" si="55"/>
        <v>Alser9100004140</v>
      </c>
    </row>
    <row r="3573" spans="1:5" x14ac:dyDescent="0.3">
      <c r="A3573" t="s">
        <v>4673</v>
      </c>
      <c r="B3573">
        <v>9100004180</v>
      </c>
      <c r="C3573" t="s">
        <v>4682</v>
      </c>
      <c r="D3573" t="s">
        <v>4683</v>
      </c>
      <c r="E3573" t="str">
        <f t="shared" si="55"/>
        <v>Alser9100004180</v>
      </c>
    </row>
    <row r="3574" spans="1:5" x14ac:dyDescent="0.3">
      <c r="A3574" t="s">
        <v>4673</v>
      </c>
      <c r="B3574">
        <v>9100004179</v>
      </c>
      <c r="C3574" t="s">
        <v>472</v>
      </c>
      <c r="D3574" t="s">
        <v>4684</v>
      </c>
      <c r="E3574" t="str">
        <f t="shared" si="55"/>
        <v>Alser9100004179</v>
      </c>
    </row>
    <row r="3575" spans="1:5" x14ac:dyDescent="0.3">
      <c r="A3575" t="s">
        <v>4673</v>
      </c>
      <c r="B3575">
        <v>9100004192</v>
      </c>
      <c r="C3575" t="s">
        <v>470</v>
      </c>
      <c r="D3575" t="s">
        <v>4685</v>
      </c>
      <c r="E3575" t="str">
        <f t="shared" si="55"/>
        <v>Alser9100004192</v>
      </c>
    </row>
    <row r="3576" spans="1:5" x14ac:dyDescent="0.3">
      <c r="A3576" t="s">
        <v>4673</v>
      </c>
      <c r="B3576">
        <v>9100004193</v>
      </c>
      <c r="C3576" t="s">
        <v>468</v>
      </c>
      <c r="D3576" t="s">
        <v>4686</v>
      </c>
      <c r="E3576" t="str">
        <f t="shared" si="55"/>
        <v>Alser9100004193</v>
      </c>
    </row>
    <row r="3577" spans="1:5" x14ac:dyDescent="0.3">
      <c r="A3577" t="s">
        <v>4673</v>
      </c>
      <c r="B3577">
        <v>9100004194</v>
      </c>
      <c r="C3577" t="s">
        <v>466</v>
      </c>
      <c r="D3577" t="s">
        <v>4687</v>
      </c>
      <c r="E3577" t="str">
        <f t="shared" si="55"/>
        <v>Alser9100004194</v>
      </c>
    </row>
    <row r="3578" spans="1:5" x14ac:dyDescent="0.3">
      <c r="A3578" t="s">
        <v>4673</v>
      </c>
      <c r="B3578">
        <v>9100027882</v>
      </c>
      <c r="C3578" t="s">
        <v>4688</v>
      </c>
      <c r="D3578" t="s">
        <v>4689</v>
      </c>
      <c r="E3578" t="str">
        <f t="shared" si="55"/>
        <v>Alser9100027882</v>
      </c>
    </row>
    <row r="3579" spans="1:5" x14ac:dyDescent="0.3">
      <c r="A3579" t="s">
        <v>4673</v>
      </c>
      <c r="B3579">
        <v>9100027883</v>
      </c>
      <c r="C3579" t="s">
        <v>4690</v>
      </c>
      <c r="D3579" t="s">
        <v>4691</v>
      </c>
      <c r="E3579" t="str">
        <f t="shared" si="55"/>
        <v>Alser9100027883</v>
      </c>
    </row>
    <row r="3580" spans="1:5" x14ac:dyDescent="0.3">
      <c r="A3580" t="s">
        <v>4673</v>
      </c>
      <c r="B3580">
        <v>9100027884</v>
      </c>
      <c r="C3580" t="s">
        <v>4692</v>
      </c>
      <c r="D3580" t="s">
        <v>4693</v>
      </c>
      <c r="E3580" t="str">
        <f t="shared" si="55"/>
        <v>Alser9100027884</v>
      </c>
    </row>
    <row r="3581" spans="1:5" x14ac:dyDescent="0.3">
      <c r="A3581" t="s">
        <v>4673</v>
      </c>
      <c r="B3581">
        <v>9100027885</v>
      </c>
      <c r="C3581" t="s">
        <v>4694</v>
      </c>
      <c r="D3581" t="s">
        <v>4695</v>
      </c>
      <c r="E3581" t="str">
        <f t="shared" si="55"/>
        <v>Alser9100027885</v>
      </c>
    </row>
    <row r="3582" spans="1:5" x14ac:dyDescent="0.3">
      <c r="A3582" t="s">
        <v>4673</v>
      </c>
      <c r="B3582">
        <v>9100027886</v>
      </c>
      <c r="C3582" t="s">
        <v>4696</v>
      </c>
      <c r="D3582" t="s">
        <v>4697</v>
      </c>
      <c r="E3582" t="str">
        <f t="shared" si="55"/>
        <v>Alser9100027886</v>
      </c>
    </row>
    <row r="3583" spans="1:5" x14ac:dyDescent="0.3">
      <c r="A3583" t="s">
        <v>4673</v>
      </c>
      <c r="B3583">
        <v>9100027889</v>
      </c>
      <c r="C3583" t="s">
        <v>4698</v>
      </c>
      <c r="D3583" t="s">
        <v>4699</v>
      </c>
      <c r="E3583" t="str">
        <f t="shared" si="55"/>
        <v>Alser9100027889</v>
      </c>
    </row>
    <row r="3584" spans="1:5" x14ac:dyDescent="0.3">
      <c r="A3584" t="s">
        <v>4673</v>
      </c>
      <c r="B3584">
        <v>9100027887</v>
      </c>
      <c r="C3584" t="s">
        <v>4700</v>
      </c>
      <c r="D3584" t="s">
        <v>4701</v>
      </c>
      <c r="E3584" t="str">
        <f t="shared" si="55"/>
        <v>Alser9100027887</v>
      </c>
    </row>
    <row r="3585" spans="1:5" x14ac:dyDescent="0.3">
      <c r="A3585" t="s">
        <v>4673</v>
      </c>
      <c r="B3585">
        <v>9100027888</v>
      </c>
      <c r="C3585" t="s">
        <v>4702</v>
      </c>
      <c r="D3585" t="s">
        <v>4703</v>
      </c>
      <c r="E3585" t="str">
        <f t="shared" si="55"/>
        <v>Alser9100027888</v>
      </c>
    </row>
    <row r="3586" spans="1:5" x14ac:dyDescent="0.3">
      <c r="A3586" t="s">
        <v>4673</v>
      </c>
      <c r="B3586">
        <v>2100125770</v>
      </c>
      <c r="C3586" t="s">
        <v>4704</v>
      </c>
      <c r="D3586" t="s">
        <v>4705</v>
      </c>
      <c r="E3586" t="str">
        <f t="shared" si="55"/>
        <v>Alser2100125770</v>
      </c>
    </row>
    <row r="3587" spans="1:5" x14ac:dyDescent="0.3">
      <c r="A3587" t="s">
        <v>4673</v>
      </c>
      <c r="B3587">
        <v>2100102547</v>
      </c>
      <c r="C3587" t="s">
        <v>979</v>
      </c>
      <c r="D3587" t="s">
        <v>4706</v>
      </c>
      <c r="E3587" t="str">
        <f t="shared" ref="E3587:E3650" si="56">A3587&amp;B3587</f>
        <v>Alser2100102547</v>
      </c>
    </row>
    <row r="3588" spans="1:5" x14ac:dyDescent="0.3">
      <c r="A3588" t="s">
        <v>4673</v>
      </c>
      <c r="B3588">
        <v>2100102486</v>
      </c>
      <c r="C3588" t="s">
        <v>4661</v>
      </c>
      <c r="D3588" t="s">
        <v>4707</v>
      </c>
      <c r="E3588" t="str">
        <f t="shared" si="56"/>
        <v>Alser2100102486</v>
      </c>
    </row>
    <row r="3589" spans="1:5" x14ac:dyDescent="0.3">
      <c r="A3589" t="s">
        <v>4673</v>
      </c>
      <c r="B3589">
        <v>7211004387</v>
      </c>
      <c r="C3589" t="s">
        <v>4364</v>
      </c>
      <c r="D3589" t="s">
        <v>4708</v>
      </c>
      <c r="E3589" t="str">
        <f t="shared" si="56"/>
        <v>Alser7211004387</v>
      </c>
    </row>
    <row r="3590" spans="1:5" x14ac:dyDescent="0.3">
      <c r="A3590" t="s">
        <v>4673</v>
      </c>
      <c r="B3590">
        <v>2211400904</v>
      </c>
      <c r="C3590" t="s">
        <v>3930</v>
      </c>
      <c r="D3590" t="s">
        <v>4709</v>
      </c>
      <c r="E3590" t="str">
        <f t="shared" si="56"/>
        <v>Alser2211400904</v>
      </c>
    </row>
    <row r="3591" spans="1:5" x14ac:dyDescent="0.3">
      <c r="A3591" t="s">
        <v>4673</v>
      </c>
      <c r="B3591">
        <v>2211400880</v>
      </c>
      <c r="C3591" t="s">
        <v>1135</v>
      </c>
      <c r="D3591" t="s">
        <v>4710</v>
      </c>
      <c r="E3591" t="str">
        <f t="shared" si="56"/>
        <v>Alser2211400880</v>
      </c>
    </row>
    <row r="3592" spans="1:5" x14ac:dyDescent="0.3">
      <c r="A3592" t="s">
        <v>4673</v>
      </c>
      <c r="B3592">
        <v>2211400888</v>
      </c>
      <c r="C3592" t="s">
        <v>38</v>
      </c>
      <c r="D3592" t="s">
        <v>4711</v>
      </c>
      <c r="E3592" t="str">
        <f t="shared" si="56"/>
        <v>Alser2211400888</v>
      </c>
    </row>
    <row r="3593" spans="1:5" x14ac:dyDescent="0.3">
      <c r="A3593" t="s">
        <v>4673</v>
      </c>
      <c r="B3593">
        <v>1830005679</v>
      </c>
      <c r="C3593" t="s">
        <v>1894</v>
      </c>
      <c r="D3593" t="s">
        <v>4712</v>
      </c>
      <c r="E3593" t="str">
        <f t="shared" si="56"/>
        <v>Alser1830005679</v>
      </c>
    </row>
    <row r="3594" spans="1:5" x14ac:dyDescent="0.3">
      <c r="A3594" t="s">
        <v>4673</v>
      </c>
      <c r="B3594">
        <v>1830006582</v>
      </c>
      <c r="C3594" t="s">
        <v>1084</v>
      </c>
      <c r="D3594" t="s">
        <v>4713</v>
      </c>
      <c r="E3594" t="str">
        <f t="shared" si="56"/>
        <v>Alser1830006582</v>
      </c>
    </row>
    <row r="3595" spans="1:5" x14ac:dyDescent="0.3">
      <c r="A3595" t="s">
        <v>4673</v>
      </c>
      <c r="B3595">
        <v>1830008220</v>
      </c>
      <c r="C3595" t="s">
        <v>1357</v>
      </c>
      <c r="D3595" t="s">
        <v>4714</v>
      </c>
      <c r="E3595" t="str">
        <f t="shared" si="56"/>
        <v>Alser1830008220</v>
      </c>
    </row>
    <row r="3596" spans="1:5" x14ac:dyDescent="0.3">
      <c r="A3596" t="s">
        <v>4673</v>
      </c>
      <c r="B3596">
        <v>1830008198</v>
      </c>
      <c r="C3596" t="s">
        <v>4715</v>
      </c>
      <c r="D3596" t="s">
        <v>4716</v>
      </c>
      <c r="E3596" t="str">
        <f t="shared" si="56"/>
        <v>Alser1830008198</v>
      </c>
    </row>
    <row r="3597" spans="1:5" x14ac:dyDescent="0.3">
      <c r="A3597" t="s">
        <v>4673</v>
      </c>
      <c r="B3597">
        <v>1830007642</v>
      </c>
      <c r="C3597" t="s">
        <v>1155</v>
      </c>
      <c r="D3597" t="s">
        <v>4717</v>
      </c>
      <c r="E3597" t="str">
        <f t="shared" si="56"/>
        <v>Alser1830007642</v>
      </c>
    </row>
    <row r="3598" spans="1:5" x14ac:dyDescent="0.3">
      <c r="A3598" t="s">
        <v>4673</v>
      </c>
      <c r="B3598">
        <v>1830008076</v>
      </c>
      <c r="C3598" t="s">
        <v>1681</v>
      </c>
      <c r="D3598" t="s">
        <v>4718</v>
      </c>
      <c r="E3598" t="str">
        <f t="shared" si="56"/>
        <v>Alser1830008076</v>
      </c>
    </row>
    <row r="3599" spans="1:5" x14ac:dyDescent="0.3">
      <c r="A3599" t="s">
        <v>4673</v>
      </c>
      <c r="B3599">
        <v>1830007716</v>
      </c>
      <c r="C3599" t="s">
        <v>1160</v>
      </c>
      <c r="D3599" t="s">
        <v>4719</v>
      </c>
      <c r="E3599" t="str">
        <f t="shared" si="56"/>
        <v>Alser1830007716</v>
      </c>
    </row>
    <row r="3600" spans="1:5" x14ac:dyDescent="0.3">
      <c r="A3600" t="s">
        <v>4673</v>
      </c>
      <c r="B3600">
        <v>1830007868</v>
      </c>
      <c r="C3600" t="s">
        <v>1158</v>
      </c>
      <c r="D3600" t="s">
        <v>4720</v>
      </c>
      <c r="E3600" t="str">
        <f t="shared" si="56"/>
        <v>Alser1830007868</v>
      </c>
    </row>
    <row r="3601" spans="1:5" x14ac:dyDescent="0.3">
      <c r="A3601" t="s">
        <v>4673</v>
      </c>
      <c r="B3601">
        <v>7211001107</v>
      </c>
      <c r="C3601" t="s">
        <v>2364</v>
      </c>
      <c r="D3601" t="s">
        <v>4721</v>
      </c>
      <c r="E3601" t="str">
        <f t="shared" si="56"/>
        <v>Alser7211001107</v>
      </c>
    </row>
    <row r="3602" spans="1:5" x14ac:dyDescent="0.3">
      <c r="A3602" t="s">
        <v>4673</v>
      </c>
      <c r="B3602">
        <v>7211004209</v>
      </c>
      <c r="C3602" t="s">
        <v>4636</v>
      </c>
      <c r="D3602" t="s">
        <v>4722</v>
      </c>
      <c r="E3602" t="str">
        <f t="shared" si="56"/>
        <v>Alser7211004209</v>
      </c>
    </row>
    <row r="3603" spans="1:5" x14ac:dyDescent="0.3">
      <c r="A3603" t="s">
        <v>4673</v>
      </c>
      <c r="B3603">
        <v>8010000464</v>
      </c>
      <c r="C3603" t="s">
        <v>4005</v>
      </c>
      <c r="D3603" t="s">
        <v>4723</v>
      </c>
      <c r="E3603" t="str">
        <f t="shared" si="56"/>
        <v>Alser8010000464</v>
      </c>
    </row>
    <row r="3604" spans="1:5" x14ac:dyDescent="0.3">
      <c r="A3604" t="s">
        <v>4673</v>
      </c>
      <c r="B3604">
        <v>1830007970</v>
      </c>
      <c r="C3604" t="s">
        <v>4486</v>
      </c>
      <c r="D3604" t="s">
        <v>4724</v>
      </c>
      <c r="E3604" t="str">
        <f t="shared" si="56"/>
        <v>Alser1830007970</v>
      </c>
    </row>
    <row r="3605" spans="1:5" x14ac:dyDescent="0.3">
      <c r="A3605" t="s">
        <v>4673</v>
      </c>
      <c r="B3605">
        <v>1830007992</v>
      </c>
      <c r="C3605" t="s">
        <v>971</v>
      </c>
      <c r="D3605" t="s">
        <v>4725</v>
      </c>
      <c r="E3605" t="str">
        <f t="shared" si="56"/>
        <v>Alser1830007992</v>
      </c>
    </row>
    <row r="3606" spans="1:5" x14ac:dyDescent="0.3">
      <c r="A3606" t="s">
        <v>4673</v>
      </c>
      <c r="B3606">
        <v>1830006540</v>
      </c>
      <c r="C3606" t="s">
        <v>890</v>
      </c>
      <c r="D3606" t="s">
        <v>4726</v>
      </c>
      <c r="E3606" t="str">
        <f t="shared" si="56"/>
        <v>Alser1830006540</v>
      </c>
    </row>
    <row r="3607" spans="1:5" x14ac:dyDescent="0.3">
      <c r="A3607" t="s">
        <v>4673</v>
      </c>
      <c r="B3607">
        <v>1830007105</v>
      </c>
      <c r="C3607" t="s">
        <v>355</v>
      </c>
      <c r="D3607" t="s">
        <v>4727</v>
      </c>
      <c r="E3607" t="str">
        <f t="shared" si="56"/>
        <v>Alser1830007105</v>
      </c>
    </row>
    <row r="3608" spans="1:5" x14ac:dyDescent="0.3">
      <c r="A3608" t="s">
        <v>4673</v>
      </c>
      <c r="B3608">
        <v>1830006555</v>
      </c>
      <c r="C3608" t="s">
        <v>694</v>
      </c>
      <c r="D3608" t="s">
        <v>4728</v>
      </c>
      <c r="E3608" t="str">
        <f t="shared" si="56"/>
        <v>Alser1830006555</v>
      </c>
    </row>
    <row r="3609" spans="1:5" x14ac:dyDescent="0.3">
      <c r="A3609" t="s">
        <v>4673</v>
      </c>
      <c r="B3609">
        <v>1830006254</v>
      </c>
      <c r="C3609" t="s">
        <v>931</v>
      </c>
      <c r="D3609" t="s">
        <v>4729</v>
      </c>
      <c r="E3609" t="str">
        <f t="shared" si="56"/>
        <v>Alser1830006254</v>
      </c>
    </row>
    <row r="3610" spans="1:5" x14ac:dyDescent="0.3">
      <c r="A3610" t="s">
        <v>4673</v>
      </c>
      <c r="B3610">
        <v>1830007697</v>
      </c>
      <c r="C3610" t="s">
        <v>1174</v>
      </c>
      <c r="D3610" t="s">
        <v>4730</v>
      </c>
      <c r="E3610" t="str">
        <f t="shared" si="56"/>
        <v>Alser1830007697</v>
      </c>
    </row>
    <row r="3611" spans="1:5" x14ac:dyDescent="0.3">
      <c r="A3611" t="s">
        <v>4673</v>
      </c>
      <c r="B3611">
        <v>1830006389</v>
      </c>
      <c r="C3611" t="s">
        <v>1009</v>
      </c>
      <c r="D3611" t="s">
        <v>4731</v>
      </c>
      <c r="E3611" t="str">
        <f t="shared" si="56"/>
        <v>Alser1830006389</v>
      </c>
    </row>
    <row r="3612" spans="1:5" x14ac:dyDescent="0.3">
      <c r="A3612" t="s">
        <v>4673</v>
      </c>
      <c r="B3612">
        <v>1830005242</v>
      </c>
      <c r="C3612" t="s">
        <v>4732</v>
      </c>
      <c r="D3612" t="s">
        <v>4733</v>
      </c>
      <c r="E3612" t="str">
        <f t="shared" si="56"/>
        <v>Alser1830005242</v>
      </c>
    </row>
    <row r="3613" spans="1:5" x14ac:dyDescent="0.3">
      <c r="A3613" t="s">
        <v>4673</v>
      </c>
      <c r="B3613">
        <v>1830005027</v>
      </c>
      <c r="C3613" t="s">
        <v>935</v>
      </c>
      <c r="D3613" t="s">
        <v>4734</v>
      </c>
      <c r="E3613" t="str">
        <f t="shared" si="56"/>
        <v>Alser1830005027</v>
      </c>
    </row>
    <row r="3614" spans="1:5" x14ac:dyDescent="0.3">
      <c r="A3614" t="s">
        <v>4673</v>
      </c>
      <c r="B3614">
        <v>1830007885</v>
      </c>
      <c r="C3614" t="s">
        <v>4735</v>
      </c>
      <c r="D3614" t="s">
        <v>4736</v>
      </c>
      <c r="E3614" t="str">
        <f t="shared" si="56"/>
        <v>Alser1830007885</v>
      </c>
    </row>
    <row r="3615" spans="1:5" x14ac:dyDescent="0.3">
      <c r="A3615" t="s">
        <v>4673</v>
      </c>
      <c r="B3615">
        <v>1830006538</v>
      </c>
      <c r="C3615" t="s">
        <v>4070</v>
      </c>
      <c r="D3615" t="s">
        <v>4737</v>
      </c>
      <c r="E3615" t="str">
        <f t="shared" si="56"/>
        <v>Alser1830006538</v>
      </c>
    </row>
    <row r="3616" spans="1:5" x14ac:dyDescent="0.3">
      <c r="A3616" t="s">
        <v>4673</v>
      </c>
      <c r="B3616">
        <v>1830006479</v>
      </c>
      <c r="C3616" t="s">
        <v>1166</v>
      </c>
      <c r="D3616" t="s">
        <v>4738</v>
      </c>
      <c r="E3616" t="str">
        <f t="shared" si="56"/>
        <v>Alser1830006479</v>
      </c>
    </row>
    <row r="3617" spans="1:5" x14ac:dyDescent="0.3">
      <c r="A3617" t="s">
        <v>4673</v>
      </c>
      <c r="B3617">
        <v>8010000095</v>
      </c>
      <c r="C3617" t="s">
        <v>819</v>
      </c>
      <c r="D3617" t="s">
        <v>4739</v>
      </c>
      <c r="E3617" t="str">
        <f t="shared" si="56"/>
        <v>Alser8010000095</v>
      </c>
    </row>
    <row r="3618" spans="1:5" x14ac:dyDescent="0.3">
      <c r="A3618" t="s">
        <v>4673</v>
      </c>
      <c r="B3618">
        <v>7211004046</v>
      </c>
      <c r="C3618" t="s">
        <v>1335</v>
      </c>
      <c r="D3618" t="s">
        <v>4740</v>
      </c>
      <c r="E3618" t="str">
        <f t="shared" si="56"/>
        <v>Alser7211004046</v>
      </c>
    </row>
    <row r="3619" spans="1:5" x14ac:dyDescent="0.3">
      <c r="A3619" t="s">
        <v>4673</v>
      </c>
      <c r="B3619">
        <v>7211000870</v>
      </c>
      <c r="C3619" t="s">
        <v>776</v>
      </c>
      <c r="D3619" t="s">
        <v>4741</v>
      </c>
      <c r="E3619" t="str">
        <f t="shared" si="56"/>
        <v>Alser7211000870</v>
      </c>
    </row>
    <row r="3620" spans="1:5" x14ac:dyDescent="0.3">
      <c r="A3620" t="s">
        <v>4673</v>
      </c>
      <c r="B3620">
        <v>7211002825</v>
      </c>
      <c r="C3620" t="s">
        <v>1337</v>
      </c>
      <c r="D3620" t="s">
        <v>4742</v>
      </c>
      <c r="E3620" t="str">
        <f t="shared" si="56"/>
        <v>Alser7211002825</v>
      </c>
    </row>
    <row r="3621" spans="1:5" x14ac:dyDescent="0.3">
      <c r="A3621" t="s">
        <v>4673</v>
      </c>
      <c r="B3621">
        <v>7211004274</v>
      </c>
      <c r="C3621" t="s">
        <v>53</v>
      </c>
      <c r="D3621" t="s">
        <v>4743</v>
      </c>
      <c r="E3621" t="str">
        <f t="shared" si="56"/>
        <v>Alser7211004274</v>
      </c>
    </row>
    <row r="3622" spans="1:5" x14ac:dyDescent="0.3">
      <c r="A3622" t="s">
        <v>4673</v>
      </c>
      <c r="B3622">
        <v>8000035826</v>
      </c>
      <c r="C3622" t="s">
        <v>362</v>
      </c>
      <c r="D3622" t="s">
        <v>4744</v>
      </c>
      <c r="E3622" t="str">
        <f t="shared" si="56"/>
        <v>Alser8000035826</v>
      </c>
    </row>
    <row r="3623" spans="1:5" x14ac:dyDescent="0.3">
      <c r="A3623" t="s">
        <v>4673</v>
      </c>
      <c r="B3623">
        <v>7211003001</v>
      </c>
      <c r="C3623" t="s">
        <v>2451</v>
      </c>
      <c r="D3623" t="s">
        <v>4745</v>
      </c>
      <c r="E3623" t="str">
        <f t="shared" si="56"/>
        <v>Alser7211003001</v>
      </c>
    </row>
    <row r="3624" spans="1:5" x14ac:dyDescent="0.3">
      <c r="A3624" t="s">
        <v>4673</v>
      </c>
      <c r="B3624">
        <v>7211003234</v>
      </c>
      <c r="C3624" t="s">
        <v>925</v>
      </c>
      <c r="D3624" t="s">
        <v>4746</v>
      </c>
      <c r="E3624" t="str">
        <f t="shared" si="56"/>
        <v>Alser7211003234</v>
      </c>
    </row>
    <row r="3625" spans="1:5" x14ac:dyDescent="0.3">
      <c r="A3625" t="s">
        <v>4673</v>
      </c>
      <c r="B3625">
        <v>8010000982</v>
      </c>
      <c r="C3625" t="s">
        <v>1274</v>
      </c>
      <c r="D3625" t="s">
        <v>4747</v>
      </c>
      <c r="E3625" t="str">
        <f t="shared" si="56"/>
        <v>Alser8010000982</v>
      </c>
    </row>
    <row r="3626" spans="1:5" x14ac:dyDescent="0.3">
      <c r="A3626" t="s">
        <v>4673</v>
      </c>
      <c r="B3626">
        <v>8010001058</v>
      </c>
      <c r="C3626" t="s">
        <v>4748</v>
      </c>
      <c r="D3626" t="s">
        <v>4749</v>
      </c>
      <c r="E3626" t="str">
        <f t="shared" si="56"/>
        <v>Alser8010001058</v>
      </c>
    </row>
    <row r="3627" spans="1:5" x14ac:dyDescent="0.3">
      <c r="A3627" t="s">
        <v>4673</v>
      </c>
      <c r="B3627">
        <v>1110030485</v>
      </c>
      <c r="C3627" t="s">
        <v>835</v>
      </c>
      <c r="D3627" t="s">
        <v>4750</v>
      </c>
      <c r="E3627" t="str">
        <f t="shared" si="56"/>
        <v>Alser1110030485</v>
      </c>
    </row>
    <row r="3628" spans="1:5" x14ac:dyDescent="0.3">
      <c r="A3628" t="s">
        <v>4673</v>
      </c>
      <c r="B3628">
        <v>1830008167</v>
      </c>
      <c r="C3628" t="s">
        <v>4211</v>
      </c>
      <c r="D3628" t="s">
        <v>4751</v>
      </c>
      <c r="E3628" t="str">
        <f t="shared" si="56"/>
        <v>Alser1830008167</v>
      </c>
    </row>
    <row r="3629" spans="1:5" x14ac:dyDescent="0.3">
      <c r="A3629" t="s">
        <v>4673</v>
      </c>
      <c r="B3629">
        <v>1830006272</v>
      </c>
      <c r="C3629" t="s">
        <v>1363</v>
      </c>
      <c r="D3629" t="s">
        <v>4752</v>
      </c>
      <c r="E3629" t="str">
        <f t="shared" si="56"/>
        <v>Alser1830006272</v>
      </c>
    </row>
    <row r="3630" spans="1:5" x14ac:dyDescent="0.3">
      <c r="A3630" t="s">
        <v>4673</v>
      </c>
      <c r="B3630">
        <v>1830008184</v>
      </c>
      <c r="C3630" t="s">
        <v>1427</v>
      </c>
      <c r="D3630" t="s">
        <v>4082</v>
      </c>
      <c r="E3630" t="str">
        <f t="shared" si="56"/>
        <v>Alser1830008184</v>
      </c>
    </row>
    <row r="3631" spans="1:5" x14ac:dyDescent="0.3">
      <c r="A3631" t="s">
        <v>4673</v>
      </c>
      <c r="B3631">
        <v>1830007629</v>
      </c>
      <c r="C3631" t="s">
        <v>1073</v>
      </c>
      <c r="D3631" t="s">
        <v>4753</v>
      </c>
      <c r="E3631" t="str">
        <f t="shared" si="56"/>
        <v>Alser1830007629</v>
      </c>
    </row>
    <row r="3632" spans="1:5" x14ac:dyDescent="0.3">
      <c r="A3632" t="s">
        <v>4673</v>
      </c>
      <c r="B3632">
        <v>1830008176</v>
      </c>
      <c r="C3632" t="s">
        <v>8</v>
      </c>
      <c r="D3632" t="s">
        <v>4754</v>
      </c>
      <c r="E3632" t="str">
        <f t="shared" si="56"/>
        <v>Alser1830008176</v>
      </c>
    </row>
    <row r="3633" spans="1:5" x14ac:dyDescent="0.3">
      <c r="A3633" t="s">
        <v>4673</v>
      </c>
      <c r="B3633">
        <v>1830007520</v>
      </c>
      <c r="C3633" t="s">
        <v>7</v>
      </c>
      <c r="D3633" t="s">
        <v>4755</v>
      </c>
      <c r="E3633" t="str">
        <f t="shared" si="56"/>
        <v>Alser1830007520</v>
      </c>
    </row>
    <row r="3634" spans="1:5" x14ac:dyDescent="0.3">
      <c r="A3634" t="s">
        <v>4673</v>
      </c>
      <c r="B3634">
        <v>1830007686</v>
      </c>
      <c r="C3634" t="s">
        <v>3918</v>
      </c>
      <c r="D3634" t="s">
        <v>4756</v>
      </c>
      <c r="E3634" t="str">
        <f t="shared" si="56"/>
        <v>Alser1830007686</v>
      </c>
    </row>
    <row r="3635" spans="1:5" x14ac:dyDescent="0.3">
      <c r="A3635" t="s">
        <v>4673</v>
      </c>
      <c r="B3635">
        <v>1830007763</v>
      </c>
      <c r="C3635" t="s">
        <v>18</v>
      </c>
      <c r="D3635" t="s">
        <v>4757</v>
      </c>
      <c r="E3635" t="str">
        <f t="shared" si="56"/>
        <v>Alser1830007763</v>
      </c>
    </row>
    <row r="3636" spans="1:5" x14ac:dyDescent="0.3">
      <c r="A3636" t="s">
        <v>4673</v>
      </c>
      <c r="B3636">
        <v>1500637540</v>
      </c>
      <c r="C3636" t="s">
        <v>859</v>
      </c>
      <c r="D3636" t="s">
        <v>4758</v>
      </c>
      <c r="E3636" t="str">
        <f t="shared" si="56"/>
        <v>Alser1500637540</v>
      </c>
    </row>
    <row r="3637" spans="1:5" x14ac:dyDescent="0.3">
      <c r="A3637" t="s">
        <v>4673</v>
      </c>
      <c r="B3637">
        <v>2211400814</v>
      </c>
      <c r="C3637" t="s">
        <v>1818</v>
      </c>
      <c r="D3637" t="s">
        <v>4759</v>
      </c>
      <c r="E3637" t="str">
        <f t="shared" si="56"/>
        <v>Alser2211400814</v>
      </c>
    </row>
    <row r="3638" spans="1:5" x14ac:dyDescent="0.3">
      <c r="A3638" t="s">
        <v>4673</v>
      </c>
      <c r="B3638">
        <v>8010000465</v>
      </c>
      <c r="C3638" t="s">
        <v>894</v>
      </c>
      <c r="D3638" t="s">
        <v>4760</v>
      </c>
      <c r="E3638" t="str">
        <f t="shared" si="56"/>
        <v>Alser8010000465</v>
      </c>
    </row>
    <row r="3639" spans="1:5" x14ac:dyDescent="0.3">
      <c r="A3639" t="s">
        <v>4673</v>
      </c>
      <c r="B3639">
        <v>7211002463</v>
      </c>
      <c r="C3639" t="s">
        <v>2388</v>
      </c>
      <c r="D3639" t="s">
        <v>4761</v>
      </c>
      <c r="E3639" t="str">
        <f t="shared" si="56"/>
        <v>Alser7211002463</v>
      </c>
    </row>
    <row r="3640" spans="1:5" x14ac:dyDescent="0.3">
      <c r="A3640" t="s">
        <v>4673</v>
      </c>
      <c r="B3640">
        <v>8010000022</v>
      </c>
      <c r="C3640" t="s">
        <v>125</v>
      </c>
      <c r="D3640" t="s">
        <v>4762</v>
      </c>
      <c r="E3640" t="str">
        <f t="shared" si="56"/>
        <v>Alser8010000022</v>
      </c>
    </row>
    <row r="3641" spans="1:5" x14ac:dyDescent="0.3">
      <c r="A3641" t="s">
        <v>4673</v>
      </c>
      <c r="B3641">
        <v>1510001881</v>
      </c>
      <c r="C3641" t="s">
        <v>1330</v>
      </c>
      <c r="D3641" t="s">
        <v>4763</v>
      </c>
      <c r="E3641" t="str">
        <f t="shared" si="56"/>
        <v>Alser1510001881</v>
      </c>
    </row>
    <row r="3642" spans="1:5" x14ac:dyDescent="0.3">
      <c r="A3642" t="s">
        <v>4673</v>
      </c>
      <c r="B3642">
        <v>1830008187</v>
      </c>
      <c r="C3642" t="s">
        <v>1409</v>
      </c>
      <c r="D3642" t="s">
        <v>4764</v>
      </c>
      <c r="E3642" t="str">
        <f t="shared" si="56"/>
        <v>Alser1830008187</v>
      </c>
    </row>
    <row r="3643" spans="1:5" x14ac:dyDescent="0.3">
      <c r="A3643" t="s">
        <v>4673</v>
      </c>
      <c r="B3643">
        <v>7211003316</v>
      </c>
      <c r="C3643" t="s">
        <v>60</v>
      </c>
      <c r="D3643" t="s">
        <v>4765</v>
      </c>
      <c r="E3643" t="str">
        <f t="shared" si="56"/>
        <v>Alser7211003316</v>
      </c>
    </row>
    <row r="3644" spans="1:5" x14ac:dyDescent="0.3">
      <c r="A3644" t="s">
        <v>4673</v>
      </c>
      <c r="B3644">
        <v>1510001599</v>
      </c>
      <c r="C3644" t="s">
        <v>66</v>
      </c>
      <c r="D3644" t="s">
        <v>4766</v>
      </c>
      <c r="E3644" t="str">
        <f t="shared" si="56"/>
        <v>Alser1510001599</v>
      </c>
    </row>
    <row r="3645" spans="1:5" x14ac:dyDescent="0.3">
      <c r="A3645" t="s">
        <v>4673</v>
      </c>
      <c r="B3645">
        <v>1510002143</v>
      </c>
      <c r="C3645" t="s">
        <v>1600</v>
      </c>
      <c r="D3645" t="s">
        <v>4767</v>
      </c>
      <c r="E3645" t="str">
        <f t="shared" si="56"/>
        <v>Alser1510002143</v>
      </c>
    </row>
    <row r="3646" spans="1:5" x14ac:dyDescent="0.3">
      <c r="A3646" t="s">
        <v>4673</v>
      </c>
      <c r="B3646">
        <v>1510002136</v>
      </c>
      <c r="C3646" t="s">
        <v>1590</v>
      </c>
      <c r="D3646" t="s">
        <v>4768</v>
      </c>
      <c r="E3646" t="str">
        <f t="shared" si="56"/>
        <v>Alser1510002136</v>
      </c>
    </row>
    <row r="3647" spans="1:5" x14ac:dyDescent="0.3">
      <c r="A3647" t="s">
        <v>4673</v>
      </c>
      <c r="B3647">
        <v>1830008512</v>
      </c>
      <c r="C3647" t="s">
        <v>113</v>
      </c>
      <c r="D3647" t="s">
        <v>4769</v>
      </c>
      <c r="E3647" t="str">
        <f t="shared" si="56"/>
        <v>Alser1830008512</v>
      </c>
    </row>
    <row r="3648" spans="1:5" x14ac:dyDescent="0.3">
      <c r="A3648" t="s">
        <v>4673</v>
      </c>
      <c r="B3648">
        <v>1830007907</v>
      </c>
      <c r="C3648" t="s">
        <v>4770</v>
      </c>
      <c r="D3648" t="s">
        <v>4771</v>
      </c>
      <c r="E3648" t="str">
        <f t="shared" si="56"/>
        <v>Alser1830007907</v>
      </c>
    </row>
    <row r="3649" spans="1:5" x14ac:dyDescent="0.3">
      <c r="A3649" t="s">
        <v>4673</v>
      </c>
      <c r="B3649">
        <v>1830007548</v>
      </c>
      <c r="C3649" t="s">
        <v>3570</v>
      </c>
      <c r="D3649" t="s">
        <v>4772</v>
      </c>
      <c r="E3649" t="str">
        <f t="shared" si="56"/>
        <v>Alser1830007548</v>
      </c>
    </row>
    <row r="3650" spans="1:5" x14ac:dyDescent="0.3">
      <c r="A3650" t="s">
        <v>4673</v>
      </c>
      <c r="B3650">
        <v>1830007550</v>
      </c>
      <c r="C3650" t="s">
        <v>4773</v>
      </c>
      <c r="D3650" t="s">
        <v>4774</v>
      </c>
      <c r="E3650" t="str">
        <f t="shared" si="56"/>
        <v>Alser1830007550</v>
      </c>
    </row>
    <row r="3651" spans="1:5" x14ac:dyDescent="0.3">
      <c r="A3651" t="s">
        <v>4673</v>
      </c>
      <c r="B3651">
        <v>2211401061</v>
      </c>
      <c r="C3651" t="s">
        <v>1598</v>
      </c>
      <c r="D3651" t="s">
        <v>4775</v>
      </c>
      <c r="E3651" t="str">
        <f t="shared" ref="E3651:E3714" si="57">A3651&amp;B3651</f>
        <v>Alser2211401061</v>
      </c>
    </row>
    <row r="3652" spans="1:5" x14ac:dyDescent="0.3">
      <c r="A3652" t="s">
        <v>4673</v>
      </c>
      <c r="B3652">
        <v>7211004682</v>
      </c>
      <c r="C3652" t="s">
        <v>119</v>
      </c>
      <c r="D3652" t="s">
        <v>4776</v>
      </c>
      <c r="E3652" t="str">
        <f t="shared" si="57"/>
        <v>Alser7211004682</v>
      </c>
    </row>
    <row r="3653" spans="1:5" x14ac:dyDescent="0.3">
      <c r="A3653" t="s">
        <v>4673</v>
      </c>
      <c r="B3653">
        <v>1510001079</v>
      </c>
      <c r="C3653" t="s">
        <v>548</v>
      </c>
      <c r="D3653" t="s">
        <v>4777</v>
      </c>
      <c r="E3653" t="str">
        <f t="shared" si="57"/>
        <v>Alser1510001079</v>
      </c>
    </row>
    <row r="3654" spans="1:5" x14ac:dyDescent="0.3">
      <c r="A3654" t="s">
        <v>4673</v>
      </c>
      <c r="B3654">
        <v>7211004050</v>
      </c>
      <c r="C3654" t="s">
        <v>1114</v>
      </c>
      <c r="D3654" t="s">
        <v>4778</v>
      </c>
      <c r="E3654" t="str">
        <f t="shared" si="57"/>
        <v>Alser7211004050</v>
      </c>
    </row>
    <row r="3655" spans="1:5" x14ac:dyDescent="0.3">
      <c r="A3655" t="s">
        <v>4673</v>
      </c>
      <c r="B3655">
        <v>7211004055</v>
      </c>
      <c r="C3655" t="s">
        <v>1098</v>
      </c>
      <c r="D3655" t="s">
        <v>4779</v>
      </c>
      <c r="E3655" t="str">
        <f t="shared" si="57"/>
        <v>Alser7211004055</v>
      </c>
    </row>
    <row r="3656" spans="1:5" x14ac:dyDescent="0.3">
      <c r="A3656" t="s">
        <v>4673</v>
      </c>
      <c r="B3656">
        <v>1830008199</v>
      </c>
      <c r="C3656" t="s">
        <v>1347</v>
      </c>
      <c r="D3656" t="s">
        <v>4780</v>
      </c>
      <c r="E3656" t="str">
        <f t="shared" si="57"/>
        <v>Alser1830008199</v>
      </c>
    </row>
    <row r="3657" spans="1:5" x14ac:dyDescent="0.3">
      <c r="A3657" t="s">
        <v>4673</v>
      </c>
      <c r="B3657">
        <v>1830005290</v>
      </c>
      <c r="C3657" t="s">
        <v>509</v>
      </c>
      <c r="D3657" t="s">
        <v>4781</v>
      </c>
      <c r="E3657" t="str">
        <f t="shared" si="57"/>
        <v>Alser1830005290</v>
      </c>
    </row>
    <row r="3658" spans="1:5" x14ac:dyDescent="0.3">
      <c r="A3658" t="s">
        <v>4673</v>
      </c>
      <c r="B3658">
        <v>1830005220</v>
      </c>
      <c r="C3658" t="s">
        <v>511</v>
      </c>
      <c r="D3658" t="s">
        <v>4782</v>
      </c>
      <c r="E3658" t="str">
        <f t="shared" si="57"/>
        <v>Alser1830005220</v>
      </c>
    </row>
    <row r="3659" spans="1:5" x14ac:dyDescent="0.3">
      <c r="A3659" t="s">
        <v>4673</v>
      </c>
      <c r="B3659">
        <v>1830006274</v>
      </c>
      <c r="C3659" t="s">
        <v>923</v>
      </c>
      <c r="D3659" t="s">
        <v>4783</v>
      </c>
      <c r="E3659" t="str">
        <f t="shared" si="57"/>
        <v>Alser1830006274</v>
      </c>
    </row>
    <row r="3660" spans="1:5" x14ac:dyDescent="0.3">
      <c r="A3660" t="s">
        <v>4673</v>
      </c>
      <c r="B3660">
        <v>1830007946</v>
      </c>
      <c r="C3660" t="s">
        <v>1394</v>
      </c>
      <c r="D3660" t="s">
        <v>4784</v>
      </c>
      <c r="E3660" t="str">
        <f t="shared" si="57"/>
        <v>Alser1830007946</v>
      </c>
    </row>
    <row r="3661" spans="1:5" x14ac:dyDescent="0.3">
      <c r="A3661" t="s">
        <v>4673</v>
      </c>
      <c r="B3661">
        <v>1830008182</v>
      </c>
      <c r="C3661" t="s">
        <v>1396</v>
      </c>
      <c r="D3661" t="s">
        <v>4785</v>
      </c>
      <c r="E3661" t="str">
        <f t="shared" si="57"/>
        <v>Alser1830008182</v>
      </c>
    </row>
    <row r="3662" spans="1:5" x14ac:dyDescent="0.3">
      <c r="A3662" t="s">
        <v>4673</v>
      </c>
      <c r="B3662">
        <v>1830008061</v>
      </c>
      <c r="C3662" t="s">
        <v>1392</v>
      </c>
      <c r="D3662" t="s">
        <v>4786</v>
      </c>
      <c r="E3662" t="str">
        <f t="shared" si="57"/>
        <v>Alser1830008061</v>
      </c>
    </row>
    <row r="3663" spans="1:5" x14ac:dyDescent="0.3">
      <c r="A3663" t="s">
        <v>4673</v>
      </c>
      <c r="B3663">
        <v>1830003217</v>
      </c>
      <c r="C3663" t="s">
        <v>476</v>
      </c>
      <c r="D3663" t="s">
        <v>4787</v>
      </c>
      <c r="E3663" t="str">
        <f t="shared" si="57"/>
        <v>Alser1830003217</v>
      </c>
    </row>
    <row r="3664" spans="1:5" x14ac:dyDescent="0.3">
      <c r="A3664" t="s">
        <v>4673</v>
      </c>
      <c r="B3664">
        <v>1830007040</v>
      </c>
      <c r="C3664" t="s">
        <v>1069</v>
      </c>
      <c r="D3664" t="s">
        <v>4788</v>
      </c>
      <c r="E3664" t="str">
        <f t="shared" si="57"/>
        <v>Alser1830007040</v>
      </c>
    </row>
    <row r="3665" spans="1:5" x14ac:dyDescent="0.3">
      <c r="A3665" t="s">
        <v>4673</v>
      </c>
      <c r="B3665">
        <v>1830005706</v>
      </c>
      <c r="C3665" t="s">
        <v>1005</v>
      </c>
      <c r="D3665" t="s">
        <v>4789</v>
      </c>
      <c r="E3665" t="str">
        <f t="shared" si="57"/>
        <v>Alser1830005706</v>
      </c>
    </row>
    <row r="3666" spans="1:5" x14ac:dyDescent="0.3">
      <c r="A3666" t="s">
        <v>4673</v>
      </c>
      <c r="B3666">
        <v>1830007698</v>
      </c>
      <c r="C3666" t="s">
        <v>1172</v>
      </c>
      <c r="D3666" t="s">
        <v>4790</v>
      </c>
      <c r="E3666" t="str">
        <f t="shared" si="57"/>
        <v>Alser1830007698</v>
      </c>
    </row>
    <row r="3667" spans="1:5" x14ac:dyDescent="0.3">
      <c r="A3667" t="s">
        <v>4673</v>
      </c>
      <c r="B3667">
        <v>1830007565</v>
      </c>
      <c r="C3667" t="s">
        <v>1170</v>
      </c>
      <c r="D3667" t="s">
        <v>4791</v>
      </c>
      <c r="E3667" t="str">
        <f t="shared" si="57"/>
        <v>Alser1830007565</v>
      </c>
    </row>
    <row r="3668" spans="1:5" x14ac:dyDescent="0.3">
      <c r="A3668" t="s">
        <v>4673</v>
      </c>
      <c r="B3668">
        <v>1830005488</v>
      </c>
      <c r="C3668" t="s">
        <v>886</v>
      </c>
      <c r="D3668" t="s">
        <v>4792</v>
      </c>
      <c r="E3668" t="str">
        <f t="shared" si="57"/>
        <v>Alser1830005488</v>
      </c>
    </row>
    <row r="3669" spans="1:5" x14ac:dyDescent="0.3">
      <c r="A3669" t="s">
        <v>4673</v>
      </c>
      <c r="B3669">
        <v>1830008557</v>
      </c>
      <c r="C3669" t="s">
        <v>1631</v>
      </c>
      <c r="D3669" t="s">
        <v>4793</v>
      </c>
      <c r="E3669" t="str">
        <f t="shared" si="57"/>
        <v>Alser1830008557</v>
      </c>
    </row>
    <row r="3670" spans="1:5" x14ac:dyDescent="0.3">
      <c r="A3670" t="s">
        <v>4673</v>
      </c>
      <c r="B3670">
        <v>1830006984</v>
      </c>
      <c r="C3670" t="s">
        <v>869</v>
      </c>
      <c r="D3670" t="s">
        <v>4794</v>
      </c>
      <c r="E3670" t="str">
        <f t="shared" si="57"/>
        <v>Alser1830006984</v>
      </c>
    </row>
    <row r="3671" spans="1:5" x14ac:dyDescent="0.3">
      <c r="A3671" t="s">
        <v>4673</v>
      </c>
      <c r="B3671">
        <v>1830008194</v>
      </c>
      <c r="C3671" t="s">
        <v>1355</v>
      </c>
      <c r="D3671" t="s">
        <v>4795</v>
      </c>
      <c r="E3671" t="str">
        <f t="shared" si="57"/>
        <v>Alser1830008194</v>
      </c>
    </row>
    <row r="3672" spans="1:5" x14ac:dyDescent="0.3">
      <c r="A3672" t="s">
        <v>4673</v>
      </c>
      <c r="B3672">
        <v>7211002465</v>
      </c>
      <c r="C3672" t="s">
        <v>564</v>
      </c>
      <c r="D3672" t="s">
        <v>4796</v>
      </c>
      <c r="E3672" t="str">
        <f t="shared" si="57"/>
        <v>Alser7211002465</v>
      </c>
    </row>
    <row r="3673" spans="1:5" x14ac:dyDescent="0.3">
      <c r="A3673" t="s">
        <v>4673</v>
      </c>
      <c r="B3673">
        <v>8010000031</v>
      </c>
      <c r="C3673" t="s">
        <v>1686</v>
      </c>
      <c r="D3673" t="s">
        <v>4797</v>
      </c>
      <c r="E3673" t="str">
        <f t="shared" si="57"/>
        <v>Alser8010000031</v>
      </c>
    </row>
    <row r="3674" spans="1:5" x14ac:dyDescent="0.3">
      <c r="A3674" t="s">
        <v>4673</v>
      </c>
      <c r="B3674">
        <v>7211002271</v>
      </c>
      <c r="C3674" t="s">
        <v>556</v>
      </c>
      <c r="D3674" t="s">
        <v>4798</v>
      </c>
      <c r="E3674" t="str">
        <f t="shared" si="57"/>
        <v>Alser7211002271</v>
      </c>
    </row>
    <row r="3675" spans="1:5" x14ac:dyDescent="0.3">
      <c r="A3675" t="s">
        <v>4673</v>
      </c>
      <c r="B3675">
        <v>7211002269</v>
      </c>
      <c r="C3675" t="s">
        <v>1079</v>
      </c>
      <c r="D3675" t="s">
        <v>4799</v>
      </c>
      <c r="E3675" t="str">
        <f t="shared" si="57"/>
        <v>Alser7211002269</v>
      </c>
    </row>
    <row r="3676" spans="1:5" x14ac:dyDescent="0.3">
      <c r="A3676" t="s">
        <v>4673</v>
      </c>
      <c r="B3676">
        <v>1830007904</v>
      </c>
      <c r="C3676" t="s">
        <v>2464</v>
      </c>
      <c r="D3676" t="s">
        <v>4800</v>
      </c>
      <c r="E3676" t="str">
        <f t="shared" si="57"/>
        <v>Alser1830007904</v>
      </c>
    </row>
    <row r="3677" spans="1:5" x14ac:dyDescent="0.3">
      <c r="A3677" t="s">
        <v>4673</v>
      </c>
      <c r="B3677">
        <v>1830007909</v>
      </c>
      <c r="C3677" t="s">
        <v>1383</v>
      </c>
      <c r="D3677" t="s">
        <v>4801</v>
      </c>
      <c r="E3677" t="str">
        <f t="shared" si="57"/>
        <v>Alser1830007909</v>
      </c>
    </row>
    <row r="3678" spans="1:5" x14ac:dyDescent="0.3">
      <c r="A3678" t="s">
        <v>4673</v>
      </c>
      <c r="B3678">
        <v>4100000622</v>
      </c>
      <c r="C3678" t="s">
        <v>2472</v>
      </c>
      <c r="D3678" t="s">
        <v>4802</v>
      </c>
      <c r="E3678" t="str">
        <f t="shared" si="57"/>
        <v>Alser4100000622</v>
      </c>
    </row>
    <row r="3679" spans="1:5" x14ac:dyDescent="0.3">
      <c r="A3679" t="s">
        <v>4673</v>
      </c>
      <c r="B3679">
        <v>1110020257</v>
      </c>
      <c r="C3679" t="s">
        <v>455</v>
      </c>
      <c r="D3679" t="s">
        <v>4803</v>
      </c>
      <c r="E3679" t="str">
        <f t="shared" si="57"/>
        <v>Alser1110020257</v>
      </c>
    </row>
    <row r="3680" spans="1:5" x14ac:dyDescent="0.3">
      <c r="A3680" t="s">
        <v>4673</v>
      </c>
      <c r="B3680">
        <v>7211002289</v>
      </c>
      <c r="C3680" t="s">
        <v>1081</v>
      </c>
      <c r="D3680" t="s">
        <v>4804</v>
      </c>
      <c r="E3680" t="str">
        <f t="shared" si="57"/>
        <v>Alser7211002289</v>
      </c>
    </row>
    <row r="3681" spans="1:5" x14ac:dyDescent="0.3">
      <c r="A3681" t="s">
        <v>4673</v>
      </c>
      <c r="B3681">
        <v>2211401012</v>
      </c>
      <c r="C3681" t="s">
        <v>1703</v>
      </c>
      <c r="D3681" t="s">
        <v>4805</v>
      </c>
      <c r="E3681" t="str">
        <f t="shared" si="57"/>
        <v>Alser2211401012</v>
      </c>
    </row>
    <row r="3682" spans="1:5" x14ac:dyDescent="0.3">
      <c r="A3682" t="s">
        <v>4673</v>
      </c>
      <c r="B3682">
        <v>7211003141</v>
      </c>
      <c r="C3682" t="s">
        <v>898</v>
      </c>
      <c r="D3682" t="s">
        <v>4806</v>
      </c>
      <c r="E3682" t="str">
        <f t="shared" si="57"/>
        <v>Alser7211003141</v>
      </c>
    </row>
    <row r="3683" spans="1:5" x14ac:dyDescent="0.3">
      <c r="A3683" t="s">
        <v>4673</v>
      </c>
      <c r="B3683">
        <v>7211002101</v>
      </c>
      <c r="C3683" t="s">
        <v>425</v>
      </c>
      <c r="D3683" t="s">
        <v>4807</v>
      </c>
      <c r="E3683" t="str">
        <f t="shared" si="57"/>
        <v>Alser7211002101</v>
      </c>
    </row>
    <row r="3684" spans="1:5" x14ac:dyDescent="0.3">
      <c r="A3684" t="s">
        <v>4673</v>
      </c>
      <c r="B3684">
        <v>7211003109</v>
      </c>
      <c r="C3684" t="s">
        <v>48</v>
      </c>
      <c r="D3684" t="s">
        <v>4808</v>
      </c>
      <c r="E3684" t="str">
        <f t="shared" si="57"/>
        <v>Alser7211003109</v>
      </c>
    </row>
    <row r="3685" spans="1:5" x14ac:dyDescent="0.3">
      <c r="A3685" t="s">
        <v>4673</v>
      </c>
      <c r="B3685">
        <v>1830006695</v>
      </c>
      <c r="C3685" t="s">
        <v>1896</v>
      </c>
      <c r="D3685" t="s">
        <v>4809</v>
      </c>
      <c r="E3685" t="str">
        <f t="shared" si="57"/>
        <v>Alser1830006695</v>
      </c>
    </row>
    <row r="3686" spans="1:5" x14ac:dyDescent="0.3">
      <c r="A3686" t="s">
        <v>4673</v>
      </c>
      <c r="B3686">
        <v>1830007084</v>
      </c>
      <c r="C3686" t="s">
        <v>4810</v>
      </c>
      <c r="D3686" t="s">
        <v>4811</v>
      </c>
      <c r="E3686" t="str">
        <f t="shared" si="57"/>
        <v>Alser1830007084</v>
      </c>
    </row>
    <row r="3687" spans="1:5" x14ac:dyDescent="0.3">
      <c r="A3687" t="s">
        <v>4673</v>
      </c>
      <c r="B3687">
        <v>1830007717</v>
      </c>
      <c r="C3687" t="s">
        <v>4812</v>
      </c>
      <c r="D3687" t="s">
        <v>4813</v>
      </c>
      <c r="E3687" t="str">
        <f t="shared" si="57"/>
        <v>Alser1830007717</v>
      </c>
    </row>
    <row r="3688" spans="1:5" x14ac:dyDescent="0.3">
      <c r="A3688" t="s">
        <v>4673</v>
      </c>
      <c r="B3688">
        <v>1830003867</v>
      </c>
      <c r="C3688" t="s">
        <v>482</v>
      </c>
      <c r="D3688" t="s">
        <v>4814</v>
      </c>
      <c r="E3688" t="str">
        <f t="shared" si="57"/>
        <v>Alser1830003867</v>
      </c>
    </row>
    <row r="3689" spans="1:5" x14ac:dyDescent="0.3">
      <c r="A3689" t="s">
        <v>4673</v>
      </c>
      <c r="B3689">
        <v>1830006534</v>
      </c>
      <c r="C3689" t="s">
        <v>1168</v>
      </c>
      <c r="D3689" t="s">
        <v>4815</v>
      </c>
      <c r="E3689" t="str">
        <f t="shared" si="57"/>
        <v>Alser1830006534</v>
      </c>
    </row>
    <row r="3690" spans="1:5" x14ac:dyDescent="0.3">
      <c r="A3690" t="s">
        <v>4673</v>
      </c>
      <c r="B3690">
        <v>1830008506</v>
      </c>
      <c r="C3690" t="s">
        <v>1639</v>
      </c>
      <c r="D3690" t="s">
        <v>4816</v>
      </c>
      <c r="E3690" t="str">
        <f t="shared" si="57"/>
        <v>Alser1830008506</v>
      </c>
    </row>
    <row r="3691" spans="1:5" x14ac:dyDescent="0.3">
      <c r="A3691" t="s">
        <v>4673</v>
      </c>
      <c r="B3691">
        <v>7211004054</v>
      </c>
      <c r="C3691" t="s">
        <v>58</v>
      </c>
      <c r="D3691" t="s">
        <v>4817</v>
      </c>
      <c r="E3691" t="str">
        <f t="shared" si="57"/>
        <v>Alser7211004054</v>
      </c>
    </row>
    <row r="3692" spans="1:5" x14ac:dyDescent="0.3">
      <c r="A3692" t="s">
        <v>4673</v>
      </c>
      <c r="B3692">
        <v>7211004352</v>
      </c>
      <c r="C3692" t="s">
        <v>1500</v>
      </c>
      <c r="D3692" t="s">
        <v>4818</v>
      </c>
      <c r="E3692" t="str">
        <f t="shared" si="57"/>
        <v>Alser7211004352</v>
      </c>
    </row>
    <row r="3693" spans="1:5" x14ac:dyDescent="0.3">
      <c r="A3693" t="s">
        <v>4673</v>
      </c>
      <c r="B3693">
        <v>7211004474</v>
      </c>
      <c r="C3693" t="s">
        <v>415</v>
      </c>
      <c r="D3693" t="s">
        <v>4819</v>
      </c>
      <c r="E3693" t="str">
        <f t="shared" si="57"/>
        <v>Alser7211004474</v>
      </c>
    </row>
    <row r="3694" spans="1:5" x14ac:dyDescent="0.3">
      <c r="A3694" t="s">
        <v>4673</v>
      </c>
      <c r="B3694">
        <v>7211001810</v>
      </c>
      <c r="C3694" t="s">
        <v>527</v>
      </c>
      <c r="D3694" t="s">
        <v>4820</v>
      </c>
      <c r="E3694" t="str">
        <f t="shared" si="57"/>
        <v>Alser7211001810</v>
      </c>
    </row>
    <row r="3695" spans="1:5" x14ac:dyDescent="0.3">
      <c r="A3695" t="s">
        <v>4673</v>
      </c>
      <c r="B3695">
        <v>8010001045</v>
      </c>
      <c r="C3695" t="s">
        <v>1502</v>
      </c>
      <c r="D3695" t="s">
        <v>4821</v>
      </c>
      <c r="E3695" t="str">
        <f t="shared" si="57"/>
        <v>Alser8010001045</v>
      </c>
    </row>
    <row r="3696" spans="1:5" x14ac:dyDescent="0.3">
      <c r="A3696" t="s">
        <v>4673</v>
      </c>
      <c r="B3696">
        <v>1830007268</v>
      </c>
      <c r="C3696" t="s">
        <v>2421</v>
      </c>
      <c r="D3696" t="s">
        <v>4822</v>
      </c>
      <c r="E3696" t="str">
        <f t="shared" si="57"/>
        <v>Alser1830007268</v>
      </c>
    </row>
    <row r="3697" spans="1:5" x14ac:dyDescent="0.3">
      <c r="A3697" t="s">
        <v>4673</v>
      </c>
      <c r="B3697">
        <v>1830007627</v>
      </c>
      <c r="C3697" t="s">
        <v>1744</v>
      </c>
      <c r="D3697" t="s">
        <v>4823</v>
      </c>
      <c r="E3697" t="str">
        <f t="shared" si="57"/>
        <v>Alser1830007627</v>
      </c>
    </row>
    <row r="3698" spans="1:5" x14ac:dyDescent="0.3">
      <c r="A3698" t="s">
        <v>4673</v>
      </c>
      <c r="B3698">
        <v>7211002511</v>
      </c>
      <c r="C3698" t="s">
        <v>3167</v>
      </c>
      <c r="D3698" t="s">
        <v>4824</v>
      </c>
      <c r="E3698" t="str">
        <f t="shared" si="57"/>
        <v>Alser7211002511</v>
      </c>
    </row>
    <row r="3699" spans="1:5" x14ac:dyDescent="0.3">
      <c r="A3699" t="s">
        <v>4673</v>
      </c>
      <c r="B3699">
        <v>1830007584</v>
      </c>
      <c r="C3699" t="s">
        <v>1029</v>
      </c>
      <c r="D3699" t="s">
        <v>4825</v>
      </c>
      <c r="E3699" t="str">
        <f t="shared" si="57"/>
        <v>Alser1830007584</v>
      </c>
    </row>
    <row r="3700" spans="1:5" x14ac:dyDescent="0.3">
      <c r="A3700" t="s">
        <v>4673</v>
      </c>
      <c r="B3700">
        <v>1830008529</v>
      </c>
      <c r="C3700" t="s">
        <v>4826</v>
      </c>
      <c r="D3700" t="s">
        <v>4827</v>
      </c>
      <c r="E3700" t="str">
        <f t="shared" si="57"/>
        <v>Alser1830008529</v>
      </c>
    </row>
    <row r="3701" spans="1:5" x14ac:dyDescent="0.3">
      <c r="A3701" t="s">
        <v>4673</v>
      </c>
      <c r="B3701">
        <v>1830007391</v>
      </c>
      <c r="C3701" t="s">
        <v>4609</v>
      </c>
      <c r="D3701" t="s">
        <v>4828</v>
      </c>
      <c r="E3701" t="str">
        <f t="shared" si="57"/>
        <v>Alser1830007391</v>
      </c>
    </row>
    <row r="3702" spans="1:5" x14ac:dyDescent="0.3">
      <c r="A3702" t="s">
        <v>4673</v>
      </c>
      <c r="B3702">
        <v>1830008520</v>
      </c>
      <c r="C3702" t="s">
        <v>4829</v>
      </c>
      <c r="D3702" t="s">
        <v>4830</v>
      </c>
      <c r="E3702" t="str">
        <f t="shared" si="57"/>
        <v>Alser1830008520</v>
      </c>
    </row>
    <row r="3703" spans="1:5" x14ac:dyDescent="0.3">
      <c r="A3703" t="s">
        <v>4673</v>
      </c>
      <c r="B3703">
        <v>1830007113</v>
      </c>
      <c r="C3703" t="s">
        <v>3987</v>
      </c>
      <c r="D3703" t="s">
        <v>4831</v>
      </c>
      <c r="E3703" t="str">
        <f t="shared" si="57"/>
        <v>Alser1830007113</v>
      </c>
    </row>
    <row r="3704" spans="1:5" x14ac:dyDescent="0.3">
      <c r="A3704" t="s">
        <v>4673</v>
      </c>
      <c r="B3704">
        <v>1830007390</v>
      </c>
      <c r="C3704" t="s">
        <v>4541</v>
      </c>
      <c r="D3704" t="s">
        <v>4832</v>
      </c>
      <c r="E3704" t="str">
        <f t="shared" si="57"/>
        <v>Alser1830007390</v>
      </c>
    </row>
    <row r="3705" spans="1:5" x14ac:dyDescent="0.3">
      <c r="A3705" t="s">
        <v>4673</v>
      </c>
      <c r="B3705">
        <v>1830008493</v>
      </c>
      <c r="C3705" t="s">
        <v>1621</v>
      </c>
      <c r="D3705" t="s">
        <v>4833</v>
      </c>
      <c r="E3705" t="str">
        <f t="shared" si="57"/>
        <v>Alser1830008493</v>
      </c>
    </row>
    <row r="3706" spans="1:5" x14ac:dyDescent="0.3">
      <c r="A3706" t="s">
        <v>4673</v>
      </c>
      <c r="B3706">
        <v>1830008470</v>
      </c>
      <c r="C3706" t="s">
        <v>1637</v>
      </c>
      <c r="D3706" t="s">
        <v>4834</v>
      </c>
      <c r="E3706" t="str">
        <f t="shared" si="57"/>
        <v>Alser1830008470</v>
      </c>
    </row>
    <row r="3707" spans="1:5" x14ac:dyDescent="0.3">
      <c r="A3707" t="s">
        <v>4673</v>
      </c>
      <c r="B3707">
        <v>1830007734</v>
      </c>
      <c r="C3707" t="s">
        <v>2419</v>
      </c>
      <c r="D3707" t="s">
        <v>4835</v>
      </c>
      <c r="E3707" t="str">
        <f t="shared" si="57"/>
        <v>Alser1830007734</v>
      </c>
    </row>
    <row r="3708" spans="1:5" x14ac:dyDescent="0.3">
      <c r="A3708" t="s">
        <v>4673</v>
      </c>
      <c r="B3708">
        <v>1830008532</v>
      </c>
      <c r="C3708" t="s">
        <v>1694</v>
      </c>
      <c r="D3708" t="s">
        <v>4836</v>
      </c>
      <c r="E3708" t="str">
        <f t="shared" si="57"/>
        <v>Alser1830008532</v>
      </c>
    </row>
    <row r="3709" spans="1:5" x14ac:dyDescent="0.3">
      <c r="A3709" t="s">
        <v>4673</v>
      </c>
      <c r="B3709">
        <v>8010000209</v>
      </c>
      <c r="C3709" t="s">
        <v>4837</v>
      </c>
      <c r="D3709" t="s">
        <v>4838</v>
      </c>
      <c r="E3709" t="str">
        <f t="shared" si="57"/>
        <v>Alser8010000209</v>
      </c>
    </row>
    <row r="3710" spans="1:5" x14ac:dyDescent="0.3">
      <c r="A3710" t="s">
        <v>4673</v>
      </c>
      <c r="B3710">
        <v>7211001595</v>
      </c>
      <c r="C3710" t="s">
        <v>1248</v>
      </c>
      <c r="D3710" t="s">
        <v>4839</v>
      </c>
      <c r="E3710" t="str">
        <f t="shared" si="57"/>
        <v>Alser7211001595</v>
      </c>
    </row>
    <row r="3711" spans="1:5" x14ac:dyDescent="0.3">
      <c r="A3711" t="s">
        <v>4673</v>
      </c>
      <c r="B3711">
        <v>1830007745</v>
      </c>
      <c r="C3711" t="s">
        <v>4323</v>
      </c>
      <c r="D3711" t="s">
        <v>4840</v>
      </c>
      <c r="E3711" t="str">
        <f t="shared" si="57"/>
        <v>Alser1830007745</v>
      </c>
    </row>
    <row r="3712" spans="1:5" x14ac:dyDescent="0.3">
      <c r="A3712" t="s">
        <v>4673</v>
      </c>
      <c r="B3712">
        <v>7211002311</v>
      </c>
      <c r="C3712" t="s">
        <v>562</v>
      </c>
      <c r="D3712" t="s">
        <v>4841</v>
      </c>
      <c r="E3712" t="str">
        <f t="shared" si="57"/>
        <v>Alser7211002311</v>
      </c>
    </row>
    <row r="3713" spans="1:5" x14ac:dyDescent="0.3">
      <c r="A3713" t="s">
        <v>4673</v>
      </c>
      <c r="B3713">
        <v>9100048049</v>
      </c>
      <c r="C3713">
        <v>4216224</v>
      </c>
      <c r="D3713" t="s">
        <v>4842</v>
      </c>
      <c r="E3713" t="str">
        <f t="shared" si="57"/>
        <v>Alser9100048049</v>
      </c>
    </row>
    <row r="3714" spans="1:5" x14ac:dyDescent="0.3">
      <c r="A3714" t="s">
        <v>4673</v>
      </c>
      <c r="B3714">
        <v>2100125812</v>
      </c>
      <c r="C3714" t="s">
        <v>4843</v>
      </c>
      <c r="D3714" t="s">
        <v>4844</v>
      </c>
      <c r="E3714" t="str">
        <f t="shared" si="57"/>
        <v>Alser2100125812</v>
      </c>
    </row>
    <row r="3715" spans="1:5" x14ac:dyDescent="0.3">
      <c r="A3715" t="s">
        <v>4673</v>
      </c>
      <c r="B3715">
        <v>1830007573</v>
      </c>
      <c r="C3715" t="s">
        <v>4845</v>
      </c>
      <c r="D3715" t="s">
        <v>4846</v>
      </c>
      <c r="E3715" t="str">
        <f t="shared" ref="E3715:E3778" si="58">A3715&amp;B3715</f>
        <v>Alser1830007573</v>
      </c>
    </row>
    <row r="3716" spans="1:5" x14ac:dyDescent="0.3">
      <c r="A3716" t="s">
        <v>4673</v>
      </c>
      <c r="B3716">
        <v>1830008522</v>
      </c>
      <c r="C3716" t="s">
        <v>4847</v>
      </c>
      <c r="D3716" t="s">
        <v>4848</v>
      </c>
      <c r="E3716" t="str">
        <f t="shared" si="58"/>
        <v>Alser1830008522</v>
      </c>
    </row>
    <row r="3717" spans="1:5" x14ac:dyDescent="0.3">
      <c r="A3717" t="s">
        <v>4673</v>
      </c>
      <c r="B3717">
        <v>1830008216</v>
      </c>
      <c r="C3717" t="s">
        <v>1439</v>
      </c>
      <c r="D3717" t="s">
        <v>4849</v>
      </c>
      <c r="E3717" t="str">
        <f t="shared" si="58"/>
        <v>Alser1830008216</v>
      </c>
    </row>
    <row r="3718" spans="1:5" x14ac:dyDescent="0.3">
      <c r="A3718" t="s">
        <v>4673</v>
      </c>
      <c r="B3718">
        <v>1830008464</v>
      </c>
      <c r="C3718" t="s">
        <v>4850</v>
      </c>
      <c r="D3718" t="s">
        <v>4851</v>
      </c>
      <c r="E3718" t="str">
        <f t="shared" si="58"/>
        <v>Alser1830008464</v>
      </c>
    </row>
    <row r="3719" spans="1:5" x14ac:dyDescent="0.3">
      <c r="A3719" t="s">
        <v>4673</v>
      </c>
      <c r="B3719">
        <v>1830008586</v>
      </c>
      <c r="C3719" t="s">
        <v>1705</v>
      </c>
      <c r="D3719" t="s">
        <v>4852</v>
      </c>
      <c r="E3719" t="str">
        <f t="shared" si="58"/>
        <v>Alser1830008586</v>
      </c>
    </row>
    <row r="3720" spans="1:5" x14ac:dyDescent="0.3">
      <c r="A3720" t="s">
        <v>4673</v>
      </c>
      <c r="B3720">
        <v>1830006595</v>
      </c>
      <c r="C3720" t="s">
        <v>1417</v>
      </c>
      <c r="D3720" t="s">
        <v>4853</v>
      </c>
      <c r="E3720" t="str">
        <f t="shared" si="58"/>
        <v>Alser1830006595</v>
      </c>
    </row>
    <row r="3721" spans="1:5" x14ac:dyDescent="0.3">
      <c r="A3721" t="s">
        <v>4673</v>
      </c>
      <c r="B3721">
        <v>1830008496</v>
      </c>
      <c r="C3721" t="s">
        <v>1619</v>
      </c>
      <c r="D3721" t="s">
        <v>4854</v>
      </c>
      <c r="E3721" t="str">
        <f t="shared" si="58"/>
        <v>Alser1830008496</v>
      </c>
    </row>
    <row r="3722" spans="1:5" x14ac:dyDescent="0.3">
      <c r="A3722" t="s">
        <v>4673</v>
      </c>
      <c r="B3722">
        <v>1830008583</v>
      </c>
      <c r="C3722" t="s">
        <v>1623</v>
      </c>
      <c r="D3722" t="s">
        <v>4855</v>
      </c>
      <c r="E3722" t="str">
        <f t="shared" si="58"/>
        <v>Alser1830008583</v>
      </c>
    </row>
    <row r="3723" spans="1:5" x14ac:dyDescent="0.3">
      <c r="A3723" t="s">
        <v>4673</v>
      </c>
      <c r="B3723">
        <v>7211002441</v>
      </c>
      <c r="C3723" t="s">
        <v>40</v>
      </c>
      <c r="D3723" t="s">
        <v>4856</v>
      </c>
      <c r="E3723" t="str">
        <f t="shared" si="58"/>
        <v>Alser7211002441</v>
      </c>
    </row>
    <row r="3724" spans="1:5" x14ac:dyDescent="0.3">
      <c r="A3724" t="s">
        <v>448</v>
      </c>
      <c r="B3724">
        <v>1830008499</v>
      </c>
      <c r="C3724" t="s">
        <v>1962</v>
      </c>
      <c r="D3724" t="s">
        <v>1962</v>
      </c>
      <c r="E3724" t="str">
        <f t="shared" si="58"/>
        <v>Evrika1830008499</v>
      </c>
    </row>
    <row r="3725" spans="1:5" x14ac:dyDescent="0.3">
      <c r="A3725" t="s">
        <v>448</v>
      </c>
      <c r="B3725">
        <v>7211002932</v>
      </c>
      <c r="C3725" t="s">
        <v>44</v>
      </c>
      <c r="D3725" t="s">
        <v>44</v>
      </c>
      <c r="E3725" t="str">
        <f t="shared" si="58"/>
        <v>Evrika7211002932</v>
      </c>
    </row>
    <row r="3726" spans="1:5" x14ac:dyDescent="0.3">
      <c r="A3726" t="s">
        <v>448</v>
      </c>
      <c r="B3726">
        <v>8010001063</v>
      </c>
      <c r="C3726" t="s">
        <v>1542</v>
      </c>
      <c r="D3726" t="s">
        <v>1542</v>
      </c>
      <c r="E3726" t="str">
        <f t="shared" si="58"/>
        <v>Evrika8010001063</v>
      </c>
    </row>
    <row r="3727" spans="1:5" x14ac:dyDescent="0.3">
      <c r="A3727" t="s">
        <v>448</v>
      </c>
      <c r="B3727">
        <v>2211400761</v>
      </c>
      <c r="C3727" t="s">
        <v>4857</v>
      </c>
      <c r="D3727" t="s">
        <v>4857</v>
      </c>
      <c r="E3727" t="str">
        <f t="shared" si="58"/>
        <v>Evrika2211400761</v>
      </c>
    </row>
    <row r="3728" spans="1:5" x14ac:dyDescent="0.3">
      <c r="A3728" t="s">
        <v>4858</v>
      </c>
      <c r="B3728">
        <v>1110030485</v>
      </c>
      <c r="C3728" t="s">
        <v>835</v>
      </c>
      <c r="E3728" t="str">
        <f t="shared" si="58"/>
        <v>D2C1110030485</v>
      </c>
    </row>
    <row r="3729" spans="1:5" x14ac:dyDescent="0.3">
      <c r="A3729" t="s">
        <v>4858</v>
      </c>
      <c r="B3729">
        <v>1110030532</v>
      </c>
      <c r="C3729" t="s">
        <v>1617</v>
      </c>
      <c r="E3729" t="str">
        <f t="shared" si="58"/>
        <v>D2C1110030532</v>
      </c>
    </row>
    <row r="3730" spans="1:5" x14ac:dyDescent="0.3">
      <c r="A3730" t="s">
        <v>4858</v>
      </c>
      <c r="B3730">
        <v>1110031221</v>
      </c>
      <c r="C3730" t="s">
        <v>929</v>
      </c>
      <c r="E3730" t="str">
        <f t="shared" si="58"/>
        <v>D2C1110031221</v>
      </c>
    </row>
    <row r="3731" spans="1:5" x14ac:dyDescent="0.3">
      <c r="A3731" t="s">
        <v>4858</v>
      </c>
      <c r="B3731">
        <v>1500635821</v>
      </c>
      <c r="C3731" t="s">
        <v>1373</v>
      </c>
      <c r="E3731" t="str">
        <f t="shared" si="58"/>
        <v>D2C1500635821</v>
      </c>
    </row>
    <row r="3732" spans="1:5" x14ac:dyDescent="0.3">
      <c r="A3732" t="s">
        <v>4858</v>
      </c>
      <c r="B3732">
        <v>1500636319</v>
      </c>
      <c r="C3732" t="s">
        <v>505</v>
      </c>
      <c r="E3732" t="str">
        <f t="shared" si="58"/>
        <v>D2C1500636319</v>
      </c>
    </row>
    <row r="3733" spans="1:5" x14ac:dyDescent="0.3">
      <c r="A3733" t="s">
        <v>4858</v>
      </c>
      <c r="B3733">
        <v>1500868890</v>
      </c>
      <c r="C3733" t="s">
        <v>1343</v>
      </c>
      <c r="E3733" t="str">
        <f t="shared" si="58"/>
        <v>D2C1500868890</v>
      </c>
    </row>
    <row r="3734" spans="1:5" x14ac:dyDescent="0.3">
      <c r="A3734" t="s">
        <v>4858</v>
      </c>
      <c r="B3734">
        <v>1510001153</v>
      </c>
      <c r="C3734" t="s">
        <v>68</v>
      </c>
      <c r="E3734" t="str">
        <f t="shared" si="58"/>
        <v>D2C1510001153</v>
      </c>
    </row>
    <row r="3735" spans="1:5" x14ac:dyDescent="0.3">
      <c r="A3735" t="s">
        <v>4858</v>
      </c>
      <c r="B3735">
        <v>1510001318</v>
      </c>
      <c r="C3735" t="s">
        <v>67</v>
      </c>
      <c r="E3735" t="str">
        <f t="shared" si="58"/>
        <v>D2C1510001318</v>
      </c>
    </row>
    <row r="3736" spans="1:5" x14ac:dyDescent="0.3">
      <c r="A3736" t="s">
        <v>4858</v>
      </c>
      <c r="B3736">
        <v>1510001319</v>
      </c>
      <c r="C3736" t="s">
        <v>69</v>
      </c>
      <c r="E3736" t="str">
        <f t="shared" si="58"/>
        <v>D2C1510001319</v>
      </c>
    </row>
    <row r="3737" spans="1:5" x14ac:dyDescent="0.3">
      <c r="A3737" t="s">
        <v>4858</v>
      </c>
      <c r="B3737">
        <v>1510001655</v>
      </c>
      <c r="C3737" t="s">
        <v>412</v>
      </c>
      <c r="E3737" t="str">
        <f t="shared" si="58"/>
        <v>D2C1510001655</v>
      </c>
    </row>
    <row r="3738" spans="1:5" x14ac:dyDescent="0.3">
      <c r="A3738" t="s">
        <v>4858</v>
      </c>
      <c r="B3738">
        <v>1510001848</v>
      </c>
      <c r="C3738" t="s">
        <v>1898</v>
      </c>
      <c r="E3738" t="str">
        <f t="shared" si="58"/>
        <v>D2C1510001848</v>
      </c>
    </row>
    <row r="3739" spans="1:5" x14ac:dyDescent="0.3">
      <c r="A3739" t="s">
        <v>4858</v>
      </c>
      <c r="B3739">
        <v>1510001881</v>
      </c>
      <c r="C3739" t="s">
        <v>1330</v>
      </c>
      <c r="E3739" t="str">
        <f t="shared" si="58"/>
        <v>D2C1510001881</v>
      </c>
    </row>
    <row r="3740" spans="1:5" x14ac:dyDescent="0.3">
      <c r="A3740" t="s">
        <v>4858</v>
      </c>
      <c r="B3740">
        <v>1510001898</v>
      </c>
      <c r="C3740" t="s">
        <v>1240</v>
      </c>
      <c r="E3740" t="str">
        <f t="shared" si="58"/>
        <v>D2C1510001898</v>
      </c>
    </row>
    <row r="3741" spans="1:5" x14ac:dyDescent="0.3">
      <c r="A3741" t="s">
        <v>4858</v>
      </c>
      <c r="B3741">
        <v>1510001904</v>
      </c>
      <c r="C3741" t="s">
        <v>3409</v>
      </c>
      <c r="E3741" t="str">
        <f t="shared" si="58"/>
        <v>D2C1510001904</v>
      </c>
    </row>
    <row r="3742" spans="1:5" x14ac:dyDescent="0.3">
      <c r="A3742" t="s">
        <v>4858</v>
      </c>
      <c r="B3742">
        <v>1510001937</v>
      </c>
      <c r="C3742" t="s">
        <v>1655</v>
      </c>
      <c r="E3742" t="str">
        <f t="shared" si="58"/>
        <v>D2C1510001937</v>
      </c>
    </row>
    <row r="3743" spans="1:5" x14ac:dyDescent="0.3">
      <c r="A3743" t="s">
        <v>4858</v>
      </c>
      <c r="B3743">
        <v>1510001948</v>
      </c>
      <c r="C3743" t="s">
        <v>857</v>
      </c>
      <c r="E3743" t="str">
        <f t="shared" si="58"/>
        <v>D2C1510001948</v>
      </c>
    </row>
    <row r="3744" spans="1:5" x14ac:dyDescent="0.3">
      <c r="A3744" t="s">
        <v>4858</v>
      </c>
      <c r="B3744">
        <v>1510002143</v>
      </c>
      <c r="C3744" t="s">
        <v>1600</v>
      </c>
      <c r="E3744" t="str">
        <f t="shared" si="58"/>
        <v>D2C1510002143</v>
      </c>
    </row>
    <row r="3745" spans="1:5" x14ac:dyDescent="0.3">
      <c r="A3745" t="s">
        <v>4858</v>
      </c>
      <c r="B3745">
        <v>1510002155</v>
      </c>
      <c r="C3745" t="s">
        <v>417</v>
      </c>
      <c r="E3745" t="str">
        <f t="shared" si="58"/>
        <v>D2C1510002155</v>
      </c>
    </row>
    <row r="3746" spans="1:5" x14ac:dyDescent="0.3">
      <c r="A3746" t="s">
        <v>4858</v>
      </c>
      <c r="B3746">
        <v>1600005409</v>
      </c>
      <c r="C3746" t="s">
        <v>2320</v>
      </c>
      <c r="E3746" t="str">
        <f t="shared" si="58"/>
        <v>D2C1600005409</v>
      </c>
    </row>
    <row r="3747" spans="1:5" x14ac:dyDescent="0.3">
      <c r="A3747" t="s">
        <v>4858</v>
      </c>
      <c r="B3747">
        <v>1830003934</v>
      </c>
      <c r="C3747" t="s">
        <v>921</v>
      </c>
      <c r="E3747" t="str">
        <f t="shared" si="58"/>
        <v>D2C1830003934</v>
      </c>
    </row>
    <row r="3748" spans="1:5" x14ac:dyDescent="0.3">
      <c r="A3748" t="s">
        <v>4858</v>
      </c>
      <c r="B3748">
        <v>1830005000</v>
      </c>
      <c r="C3748" t="s">
        <v>1268</v>
      </c>
      <c r="E3748" t="str">
        <f t="shared" si="58"/>
        <v>D2C1830005000</v>
      </c>
    </row>
    <row r="3749" spans="1:5" x14ac:dyDescent="0.3">
      <c r="A3749" t="s">
        <v>4858</v>
      </c>
      <c r="B3749">
        <v>1830005220</v>
      </c>
      <c r="C3749" t="s">
        <v>511</v>
      </c>
      <c r="E3749" t="str">
        <f t="shared" si="58"/>
        <v>D2C1830005220</v>
      </c>
    </row>
    <row r="3750" spans="1:5" x14ac:dyDescent="0.3">
      <c r="A3750" t="s">
        <v>4858</v>
      </c>
      <c r="B3750">
        <v>1830005290</v>
      </c>
      <c r="C3750" t="s">
        <v>509</v>
      </c>
      <c r="E3750" t="str">
        <f t="shared" si="58"/>
        <v>D2C1830005290</v>
      </c>
    </row>
    <row r="3751" spans="1:5" x14ac:dyDescent="0.3">
      <c r="A3751" t="s">
        <v>4858</v>
      </c>
      <c r="B3751">
        <v>1830006273</v>
      </c>
      <c r="C3751" t="s">
        <v>704</v>
      </c>
      <c r="E3751" t="str">
        <f t="shared" si="58"/>
        <v>D2C1830006273</v>
      </c>
    </row>
    <row r="3752" spans="1:5" x14ac:dyDescent="0.3">
      <c r="A3752" t="s">
        <v>4858</v>
      </c>
      <c r="B3752">
        <v>1830006274</v>
      </c>
      <c r="C3752" t="s">
        <v>923</v>
      </c>
      <c r="E3752" t="str">
        <f t="shared" si="58"/>
        <v>D2C1830006274</v>
      </c>
    </row>
    <row r="3753" spans="1:5" x14ac:dyDescent="0.3">
      <c r="A3753" t="s">
        <v>4858</v>
      </c>
      <c r="B3753">
        <v>1830006595</v>
      </c>
      <c r="C3753" t="s">
        <v>1417</v>
      </c>
      <c r="E3753" t="str">
        <f t="shared" si="58"/>
        <v>D2C1830006595</v>
      </c>
    </row>
    <row r="3754" spans="1:5" x14ac:dyDescent="0.3">
      <c r="A3754" t="s">
        <v>4858</v>
      </c>
      <c r="B3754">
        <v>1830006695</v>
      </c>
      <c r="C3754" t="s">
        <v>1896</v>
      </c>
      <c r="E3754" t="str">
        <f t="shared" si="58"/>
        <v>D2C1830006695</v>
      </c>
    </row>
    <row r="3755" spans="1:5" x14ac:dyDescent="0.3">
      <c r="A3755" t="s">
        <v>4858</v>
      </c>
      <c r="B3755">
        <v>1830006775</v>
      </c>
      <c r="C3755" t="s">
        <v>2701</v>
      </c>
      <c r="E3755" t="str">
        <f t="shared" si="58"/>
        <v>D2C1830006775</v>
      </c>
    </row>
    <row r="3756" spans="1:5" x14ac:dyDescent="0.3">
      <c r="A3756" t="s">
        <v>4858</v>
      </c>
      <c r="B3756">
        <v>1830006984</v>
      </c>
      <c r="C3756" t="s">
        <v>869</v>
      </c>
      <c r="E3756" t="str">
        <f t="shared" si="58"/>
        <v>D2C1830006984</v>
      </c>
    </row>
    <row r="3757" spans="1:5" x14ac:dyDescent="0.3">
      <c r="A3757" t="s">
        <v>4858</v>
      </c>
      <c r="B3757">
        <v>1830007057</v>
      </c>
      <c r="C3757" t="s">
        <v>4340</v>
      </c>
      <c r="E3757" t="str">
        <f t="shared" si="58"/>
        <v>D2C1830007057</v>
      </c>
    </row>
    <row r="3758" spans="1:5" x14ac:dyDescent="0.3">
      <c r="A3758" t="s">
        <v>4858</v>
      </c>
      <c r="B3758">
        <v>1830007105</v>
      </c>
      <c r="C3758" t="s">
        <v>355</v>
      </c>
      <c r="E3758" t="str">
        <f t="shared" si="58"/>
        <v>D2C1830007105</v>
      </c>
    </row>
    <row r="3759" spans="1:5" x14ac:dyDescent="0.3">
      <c r="A3759" t="s">
        <v>4858</v>
      </c>
      <c r="B3759">
        <v>1830007142</v>
      </c>
      <c r="C3759" t="s">
        <v>2286</v>
      </c>
      <c r="E3759" t="str">
        <f t="shared" si="58"/>
        <v>D2C1830007142</v>
      </c>
    </row>
    <row r="3760" spans="1:5" x14ac:dyDescent="0.3">
      <c r="A3760" t="s">
        <v>4858</v>
      </c>
      <c r="B3760">
        <v>1830007156</v>
      </c>
      <c r="C3760" t="s">
        <v>411</v>
      </c>
      <c r="E3760" t="str">
        <f t="shared" si="58"/>
        <v>D2C1830007156</v>
      </c>
    </row>
    <row r="3761" spans="1:5" x14ac:dyDescent="0.3">
      <c r="A3761" t="s">
        <v>4858</v>
      </c>
      <c r="B3761">
        <v>1830007160</v>
      </c>
      <c r="C3761" t="s">
        <v>1096</v>
      </c>
      <c r="E3761" t="str">
        <f t="shared" si="58"/>
        <v>D2C1830007160</v>
      </c>
    </row>
    <row r="3762" spans="1:5" x14ac:dyDescent="0.3">
      <c r="A3762" t="s">
        <v>4858</v>
      </c>
      <c r="B3762">
        <v>1830007269</v>
      </c>
      <c r="C3762" t="s">
        <v>1092</v>
      </c>
      <c r="E3762" t="str">
        <f t="shared" si="58"/>
        <v>D2C1830007269</v>
      </c>
    </row>
    <row r="3763" spans="1:5" x14ac:dyDescent="0.3">
      <c r="A3763" t="s">
        <v>4858</v>
      </c>
      <c r="B3763">
        <v>1830007359</v>
      </c>
      <c r="C3763" t="s">
        <v>19</v>
      </c>
      <c r="E3763" t="str">
        <f t="shared" si="58"/>
        <v>D2C1830007359</v>
      </c>
    </row>
    <row r="3764" spans="1:5" x14ac:dyDescent="0.3">
      <c r="A3764" t="s">
        <v>4858</v>
      </c>
      <c r="B3764">
        <v>1830007520</v>
      </c>
      <c r="C3764" t="s">
        <v>7</v>
      </c>
      <c r="E3764" t="str">
        <f t="shared" si="58"/>
        <v>D2C1830007520</v>
      </c>
    </row>
    <row r="3765" spans="1:5" x14ac:dyDescent="0.3">
      <c r="A3765" t="s">
        <v>4858</v>
      </c>
      <c r="B3765">
        <v>1830007550</v>
      </c>
      <c r="C3765" t="s">
        <v>4773</v>
      </c>
      <c r="E3765" t="str">
        <f t="shared" si="58"/>
        <v>D2C1830007550</v>
      </c>
    </row>
    <row r="3766" spans="1:5" x14ac:dyDescent="0.3">
      <c r="A3766" t="s">
        <v>4858</v>
      </c>
      <c r="B3766">
        <v>1830007565</v>
      </c>
      <c r="C3766" t="s">
        <v>1170</v>
      </c>
      <c r="E3766" t="str">
        <f t="shared" si="58"/>
        <v>D2C1830007565</v>
      </c>
    </row>
    <row r="3767" spans="1:5" x14ac:dyDescent="0.3">
      <c r="A3767" t="s">
        <v>4858</v>
      </c>
      <c r="B3767">
        <v>1830007569</v>
      </c>
      <c r="C3767" t="s">
        <v>1612</v>
      </c>
      <c r="E3767" t="str">
        <f t="shared" si="58"/>
        <v>D2C1830007569</v>
      </c>
    </row>
    <row r="3768" spans="1:5" x14ac:dyDescent="0.3">
      <c r="A3768" t="s">
        <v>4858</v>
      </c>
      <c r="B3768">
        <v>1830007584</v>
      </c>
      <c r="C3768" t="s">
        <v>1029</v>
      </c>
      <c r="E3768" t="str">
        <f t="shared" si="58"/>
        <v>D2C1830007584</v>
      </c>
    </row>
    <row r="3769" spans="1:5" x14ac:dyDescent="0.3">
      <c r="A3769" t="s">
        <v>4858</v>
      </c>
      <c r="B3769">
        <v>1830007629</v>
      </c>
      <c r="C3769" t="s">
        <v>1073</v>
      </c>
      <c r="E3769" t="str">
        <f t="shared" si="58"/>
        <v>D2C1830007629</v>
      </c>
    </row>
    <row r="3770" spans="1:5" x14ac:dyDescent="0.3">
      <c r="A3770" t="s">
        <v>4858</v>
      </c>
      <c r="B3770">
        <v>1830007634</v>
      </c>
      <c r="C3770" t="s">
        <v>2202</v>
      </c>
      <c r="E3770" t="str">
        <f t="shared" si="58"/>
        <v>D2C1830007634</v>
      </c>
    </row>
    <row r="3771" spans="1:5" x14ac:dyDescent="0.3">
      <c r="A3771" t="s">
        <v>4858</v>
      </c>
      <c r="B3771">
        <v>1830007642</v>
      </c>
      <c r="C3771" t="s">
        <v>1155</v>
      </c>
      <c r="E3771" t="str">
        <f t="shared" si="58"/>
        <v>D2C1830007642</v>
      </c>
    </row>
    <row r="3772" spans="1:5" x14ac:dyDescent="0.3">
      <c r="A3772" t="s">
        <v>4858</v>
      </c>
      <c r="B3772">
        <v>1830007679</v>
      </c>
      <c r="C3772" t="s">
        <v>1246</v>
      </c>
      <c r="E3772" t="str">
        <f t="shared" si="58"/>
        <v>D2C1830007679</v>
      </c>
    </row>
    <row r="3773" spans="1:5" x14ac:dyDescent="0.3">
      <c r="A3773" t="s">
        <v>4858</v>
      </c>
      <c r="B3773">
        <v>1830007686</v>
      </c>
      <c r="C3773" t="s">
        <v>3918</v>
      </c>
      <c r="E3773" t="str">
        <f t="shared" si="58"/>
        <v>D2C1830007686</v>
      </c>
    </row>
    <row r="3774" spans="1:5" x14ac:dyDescent="0.3">
      <c r="A3774" t="s">
        <v>4858</v>
      </c>
      <c r="B3774">
        <v>1830007715</v>
      </c>
      <c r="C3774" t="s">
        <v>409</v>
      </c>
      <c r="E3774" t="str">
        <f t="shared" si="58"/>
        <v>D2C1830007715</v>
      </c>
    </row>
    <row r="3775" spans="1:5" x14ac:dyDescent="0.3">
      <c r="A3775" t="s">
        <v>4858</v>
      </c>
      <c r="B3775">
        <v>1830007725</v>
      </c>
      <c r="C3775" t="s">
        <v>21</v>
      </c>
      <c r="E3775" t="str">
        <f t="shared" si="58"/>
        <v>D2C1830007725</v>
      </c>
    </row>
    <row r="3776" spans="1:5" x14ac:dyDescent="0.3">
      <c r="A3776" t="s">
        <v>4858</v>
      </c>
      <c r="B3776">
        <v>1830007748</v>
      </c>
      <c r="C3776" t="s">
        <v>2031</v>
      </c>
      <c r="E3776" t="str">
        <f t="shared" si="58"/>
        <v>D2C1830007748</v>
      </c>
    </row>
    <row r="3777" spans="1:5" x14ac:dyDescent="0.3">
      <c r="A3777" t="s">
        <v>4858</v>
      </c>
      <c r="B3777">
        <v>1830007750</v>
      </c>
      <c r="C3777" t="s">
        <v>1090</v>
      </c>
      <c r="E3777" t="str">
        <f t="shared" si="58"/>
        <v>D2C1830007750</v>
      </c>
    </row>
    <row r="3778" spans="1:5" x14ac:dyDescent="0.3">
      <c r="A3778" t="s">
        <v>4858</v>
      </c>
      <c r="B3778">
        <v>1830007760</v>
      </c>
      <c r="C3778" t="s">
        <v>17</v>
      </c>
      <c r="E3778" t="str">
        <f t="shared" si="58"/>
        <v>D2C1830007760</v>
      </c>
    </row>
    <row r="3779" spans="1:5" x14ac:dyDescent="0.3">
      <c r="A3779" t="s">
        <v>4858</v>
      </c>
      <c r="B3779">
        <v>1830007809</v>
      </c>
      <c r="C3779" t="s">
        <v>410</v>
      </c>
      <c r="E3779" t="str">
        <f t="shared" ref="E3779:E3842" si="59">A3779&amp;B3779</f>
        <v>D2C1830007809</v>
      </c>
    </row>
    <row r="3780" spans="1:5" x14ac:dyDescent="0.3">
      <c r="A3780" t="s">
        <v>4858</v>
      </c>
      <c r="B3780">
        <v>1830007903</v>
      </c>
      <c r="C3780" t="s">
        <v>3693</v>
      </c>
      <c r="E3780" t="str">
        <f t="shared" si="59"/>
        <v>D2C1830007903</v>
      </c>
    </row>
    <row r="3781" spans="1:5" x14ac:dyDescent="0.3">
      <c r="A3781" t="s">
        <v>4858</v>
      </c>
      <c r="B3781">
        <v>1830007905</v>
      </c>
      <c r="C3781" t="s">
        <v>1867</v>
      </c>
      <c r="E3781" t="str">
        <f t="shared" si="59"/>
        <v>D2C1830007905</v>
      </c>
    </row>
    <row r="3782" spans="1:5" x14ac:dyDescent="0.3">
      <c r="A3782" t="s">
        <v>4858</v>
      </c>
      <c r="B3782">
        <v>1830007909</v>
      </c>
      <c r="C3782" t="s">
        <v>1383</v>
      </c>
      <c r="E3782" t="str">
        <f t="shared" si="59"/>
        <v>D2C1830007909</v>
      </c>
    </row>
    <row r="3783" spans="1:5" x14ac:dyDescent="0.3">
      <c r="A3783" t="s">
        <v>4858</v>
      </c>
      <c r="B3783">
        <v>1830007919</v>
      </c>
      <c r="C3783" t="s">
        <v>422</v>
      </c>
      <c r="E3783" t="str">
        <f t="shared" si="59"/>
        <v>D2C1830007919</v>
      </c>
    </row>
    <row r="3784" spans="1:5" x14ac:dyDescent="0.3">
      <c r="A3784" t="s">
        <v>4858</v>
      </c>
      <c r="B3784">
        <v>1830007933</v>
      </c>
      <c r="C3784" t="s">
        <v>98</v>
      </c>
      <c r="E3784" t="str">
        <f t="shared" si="59"/>
        <v>D2C1830007933</v>
      </c>
    </row>
    <row r="3785" spans="1:5" x14ac:dyDescent="0.3">
      <c r="A3785" t="s">
        <v>4858</v>
      </c>
      <c r="B3785">
        <v>1830007964</v>
      </c>
      <c r="C3785" t="s">
        <v>4859</v>
      </c>
      <c r="E3785" t="str">
        <f t="shared" si="59"/>
        <v>D2C1830007964</v>
      </c>
    </row>
    <row r="3786" spans="1:5" x14ac:dyDescent="0.3">
      <c r="A3786" t="s">
        <v>4858</v>
      </c>
      <c r="B3786">
        <v>1830007978</v>
      </c>
      <c r="C3786" t="s">
        <v>4490</v>
      </c>
      <c r="E3786" t="str">
        <f t="shared" si="59"/>
        <v>D2C1830007978</v>
      </c>
    </row>
    <row r="3787" spans="1:5" x14ac:dyDescent="0.3">
      <c r="A3787" t="s">
        <v>4858</v>
      </c>
      <c r="B3787">
        <v>1830008022</v>
      </c>
      <c r="C3787" t="s">
        <v>100</v>
      </c>
      <c r="E3787" t="str">
        <f t="shared" si="59"/>
        <v>D2C1830008022</v>
      </c>
    </row>
    <row r="3788" spans="1:5" x14ac:dyDescent="0.3">
      <c r="A3788" t="s">
        <v>4858</v>
      </c>
      <c r="B3788">
        <v>1830008164</v>
      </c>
      <c r="C3788" t="s">
        <v>1533</v>
      </c>
      <c r="E3788" t="str">
        <f t="shared" si="59"/>
        <v>D2C1830008164</v>
      </c>
    </row>
    <row r="3789" spans="1:5" x14ac:dyDescent="0.3">
      <c r="A3789" t="s">
        <v>4858</v>
      </c>
      <c r="B3789">
        <v>1830008168</v>
      </c>
      <c r="C3789" t="s">
        <v>1571</v>
      </c>
      <c r="E3789" t="str">
        <f t="shared" si="59"/>
        <v>D2C1830008168</v>
      </c>
    </row>
    <row r="3790" spans="1:5" x14ac:dyDescent="0.3">
      <c r="A3790" t="s">
        <v>4858</v>
      </c>
      <c r="B3790">
        <v>1830008169</v>
      </c>
      <c r="C3790" t="s">
        <v>1270</v>
      </c>
      <c r="E3790" t="str">
        <f t="shared" si="59"/>
        <v>D2C1830008169</v>
      </c>
    </row>
    <row r="3791" spans="1:5" x14ac:dyDescent="0.3">
      <c r="A3791" t="s">
        <v>4858</v>
      </c>
      <c r="B3791">
        <v>1830008184</v>
      </c>
      <c r="C3791" t="s">
        <v>1427</v>
      </c>
      <c r="E3791" t="str">
        <f t="shared" si="59"/>
        <v>D2C1830008184</v>
      </c>
    </row>
    <row r="3792" spans="1:5" x14ac:dyDescent="0.3">
      <c r="A3792" t="s">
        <v>4858</v>
      </c>
      <c r="B3792">
        <v>1830008187</v>
      </c>
      <c r="C3792" t="s">
        <v>1409</v>
      </c>
      <c r="E3792" t="str">
        <f t="shared" si="59"/>
        <v>D2C1830008187</v>
      </c>
    </row>
    <row r="3793" spans="1:5" x14ac:dyDescent="0.3">
      <c r="A3793" t="s">
        <v>4858</v>
      </c>
      <c r="B3793">
        <v>1830008194</v>
      </c>
      <c r="C3793" t="s">
        <v>1355</v>
      </c>
      <c r="E3793" t="str">
        <f t="shared" si="59"/>
        <v>D2C1830008194</v>
      </c>
    </row>
    <row r="3794" spans="1:5" x14ac:dyDescent="0.3">
      <c r="A3794" t="s">
        <v>4858</v>
      </c>
      <c r="B3794">
        <v>1830008199</v>
      </c>
      <c r="C3794" t="s">
        <v>1347</v>
      </c>
      <c r="E3794" t="str">
        <f t="shared" si="59"/>
        <v>D2C1830008199</v>
      </c>
    </row>
    <row r="3795" spans="1:5" x14ac:dyDescent="0.3">
      <c r="A3795" t="s">
        <v>4858</v>
      </c>
      <c r="B3795">
        <v>1830008214</v>
      </c>
      <c r="C3795" t="s">
        <v>1557</v>
      </c>
      <c r="E3795" t="str">
        <f t="shared" si="59"/>
        <v>D2C1830008214</v>
      </c>
    </row>
    <row r="3796" spans="1:5" x14ac:dyDescent="0.3">
      <c r="A3796" t="s">
        <v>4858</v>
      </c>
      <c r="B3796">
        <v>1830008216</v>
      </c>
      <c r="C3796" t="s">
        <v>1439</v>
      </c>
      <c r="E3796" t="str">
        <f t="shared" si="59"/>
        <v>D2C1830008216</v>
      </c>
    </row>
    <row r="3797" spans="1:5" x14ac:dyDescent="0.3">
      <c r="A3797" t="s">
        <v>4858</v>
      </c>
      <c r="B3797">
        <v>1830008217</v>
      </c>
      <c r="C3797" t="s">
        <v>1969</v>
      </c>
      <c r="E3797" t="str">
        <f t="shared" si="59"/>
        <v>D2C1830008217</v>
      </c>
    </row>
    <row r="3798" spans="1:5" x14ac:dyDescent="0.3">
      <c r="A3798" t="s">
        <v>4858</v>
      </c>
      <c r="B3798">
        <v>1830008218</v>
      </c>
      <c r="C3798" t="s">
        <v>3552</v>
      </c>
      <c r="E3798" t="str">
        <f t="shared" si="59"/>
        <v>D2C1830008218</v>
      </c>
    </row>
    <row r="3799" spans="1:5" x14ac:dyDescent="0.3">
      <c r="A3799" t="s">
        <v>4858</v>
      </c>
      <c r="B3799">
        <v>1830008227</v>
      </c>
      <c r="C3799" t="s">
        <v>10</v>
      </c>
      <c r="E3799" t="str">
        <f t="shared" si="59"/>
        <v>D2C1830008227</v>
      </c>
    </row>
    <row r="3800" spans="1:5" x14ac:dyDescent="0.3">
      <c r="A3800" t="s">
        <v>4858</v>
      </c>
      <c r="B3800">
        <v>1830008233</v>
      </c>
      <c r="C3800" t="s">
        <v>13</v>
      </c>
      <c r="E3800" t="str">
        <f t="shared" si="59"/>
        <v>D2C1830008233</v>
      </c>
    </row>
    <row r="3801" spans="1:5" x14ac:dyDescent="0.3">
      <c r="A3801" t="s">
        <v>4858</v>
      </c>
      <c r="B3801">
        <v>1830008239</v>
      </c>
      <c r="C3801" t="s">
        <v>408</v>
      </c>
      <c r="E3801" t="str">
        <f t="shared" si="59"/>
        <v>D2C1830008239</v>
      </c>
    </row>
    <row r="3802" spans="1:5" x14ac:dyDescent="0.3">
      <c r="A3802" t="s">
        <v>4858</v>
      </c>
      <c r="B3802">
        <v>1830008260</v>
      </c>
      <c r="C3802" t="s">
        <v>102</v>
      </c>
      <c r="E3802" t="str">
        <f t="shared" si="59"/>
        <v>D2C1830008260</v>
      </c>
    </row>
    <row r="3803" spans="1:5" x14ac:dyDescent="0.3">
      <c r="A3803" t="s">
        <v>4858</v>
      </c>
      <c r="B3803">
        <v>1830008290</v>
      </c>
      <c r="C3803" t="s">
        <v>15</v>
      </c>
      <c r="E3803" t="str">
        <f t="shared" si="59"/>
        <v>D2C1830008290</v>
      </c>
    </row>
    <row r="3804" spans="1:5" x14ac:dyDescent="0.3">
      <c r="A3804" t="s">
        <v>4858</v>
      </c>
      <c r="B3804">
        <v>1830008313</v>
      </c>
      <c r="C3804" t="s">
        <v>214</v>
      </c>
      <c r="E3804" t="str">
        <f t="shared" si="59"/>
        <v>D2C1830008313</v>
      </c>
    </row>
    <row r="3805" spans="1:5" x14ac:dyDescent="0.3">
      <c r="A3805" t="s">
        <v>4858</v>
      </c>
      <c r="B3805">
        <v>1830008396</v>
      </c>
      <c r="C3805" t="s">
        <v>3753</v>
      </c>
      <c r="E3805" t="str">
        <f t="shared" si="59"/>
        <v>D2C1830008396</v>
      </c>
    </row>
    <row r="3806" spans="1:5" x14ac:dyDescent="0.3">
      <c r="A3806" t="s">
        <v>4858</v>
      </c>
      <c r="B3806">
        <v>1830008417</v>
      </c>
      <c r="C3806" t="s">
        <v>4860</v>
      </c>
      <c r="E3806" t="str">
        <f t="shared" si="59"/>
        <v>D2C1830008417</v>
      </c>
    </row>
    <row r="3807" spans="1:5" x14ac:dyDescent="0.3">
      <c r="A3807" t="s">
        <v>4858</v>
      </c>
      <c r="B3807">
        <v>1830008458</v>
      </c>
      <c r="C3807" t="s">
        <v>1643</v>
      </c>
      <c r="E3807" t="str">
        <f t="shared" si="59"/>
        <v>D2C1830008458</v>
      </c>
    </row>
    <row r="3808" spans="1:5" x14ac:dyDescent="0.3">
      <c r="A3808" t="s">
        <v>4858</v>
      </c>
      <c r="B3808">
        <v>1830008461</v>
      </c>
      <c r="C3808" t="s">
        <v>424</v>
      </c>
      <c r="E3808" t="str">
        <f t="shared" si="59"/>
        <v>D2C1830008461</v>
      </c>
    </row>
    <row r="3809" spans="1:5" x14ac:dyDescent="0.3">
      <c r="A3809" t="s">
        <v>4858</v>
      </c>
      <c r="B3809">
        <v>1830008468</v>
      </c>
      <c r="C3809" t="s">
        <v>1645</v>
      </c>
      <c r="E3809" t="str">
        <f t="shared" si="59"/>
        <v>D2C1830008468</v>
      </c>
    </row>
    <row r="3810" spans="1:5" x14ac:dyDescent="0.3">
      <c r="A3810" t="s">
        <v>4858</v>
      </c>
      <c r="B3810">
        <v>1830008493</v>
      </c>
      <c r="C3810" t="s">
        <v>1621</v>
      </c>
      <c r="E3810" t="str">
        <f t="shared" si="59"/>
        <v>D2C1830008493</v>
      </c>
    </row>
    <row r="3811" spans="1:5" x14ac:dyDescent="0.3">
      <c r="A3811" t="s">
        <v>4858</v>
      </c>
      <c r="B3811">
        <v>1830008506</v>
      </c>
      <c r="C3811" t="s">
        <v>1639</v>
      </c>
      <c r="E3811" t="str">
        <f t="shared" si="59"/>
        <v>D2C1830008506</v>
      </c>
    </row>
    <row r="3812" spans="1:5" x14ac:dyDescent="0.3">
      <c r="A3812" t="s">
        <v>4858</v>
      </c>
      <c r="B3812">
        <v>1830008513</v>
      </c>
      <c r="C3812" t="s">
        <v>112</v>
      </c>
      <c r="E3812" t="str">
        <f t="shared" si="59"/>
        <v>D2C1830008513</v>
      </c>
    </row>
    <row r="3813" spans="1:5" x14ac:dyDescent="0.3">
      <c r="A3813" t="s">
        <v>4858</v>
      </c>
      <c r="B3813">
        <v>1830008518</v>
      </c>
      <c r="C3813" t="s">
        <v>111</v>
      </c>
      <c r="E3813" t="str">
        <f t="shared" si="59"/>
        <v>D2C1830008518</v>
      </c>
    </row>
    <row r="3814" spans="1:5" x14ac:dyDescent="0.3">
      <c r="A3814" t="s">
        <v>4858</v>
      </c>
      <c r="B3814">
        <v>1830008532</v>
      </c>
      <c r="C3814" t="s">
        <v>1694</v>
      </c>
      <c r="E3814" t="str">
        <f t="shared" si="59"/>
        <v>D2C1830008532</v>
      </c>
    </row>
    <row r="3815" spans="1:5" x14ac:dyDescent="0.3">
      <c r="A3815" t="s">
        <v>4858</v>
      </c>
      <c r="B3815">
        <v>1830008554</v>
      </c>
      <c r="C3815" t="s">
        <v>1635</v>
      </c>
      <c r="E3815" t="str">
        <f t="shared" si="59"/>
        <v>D2C1830008554</v>
      </c>
    </row>
    <row r="3816" spans="1:5" x14ac:dyDescent="0.3">
      <c r="A3816" t="s">
        <v>4858</v>
      </c>
      <c r="B3816">
        <v>1830008556</v>
      </c>
      <c r="C3816" t="s">
        <v>1633</v>
      </c>
      <c r="E3816" t="str">
        <f t="shared" si="59"/>
        <v>D2C1830008556</v>
      </c>
    </row>
    <row r="3817" spans="1:5" x14ac:dyDescent="0.3">
      <c r="A3817" t="s">
        <v>4858</v>
      </c>
      <c r="B3817">
        <v>1830008557</v>
      </c>
      <c r="C3817" t="s">
        <v>1631</v>
      </c>
      <c r="E3817" t="str">
        <f t="shared" si="59"/>
        <v>D2C1830008557</v>
      </c>
    </row>
    <row r="3818" spans="1:5" x14ac:dyDescent="0.3">
      <c r="A3818" t="s">
        <v>4858</v>
      </c>
      <c r="B3818">
        <v>1830008582</v>
      </c>
      <c r="C3818" t="s">
        <v>1700</v>
      </c>
      <c r="E3818" t="str">
        <f t="shared" si="59"/>
        <v>D2C1830008582</v>
      </c>
    </row>
    <row r="3819" spans="1:5" x14ac:dyDescent="0.3">
      <c r="A3819" t="s">
        <v>4858</v>
      </c>
      <c r="B3819">
        <v>2100058891</v>
      </c>
      <c r="C3819" t="s">
        <v>586</v>
      </c>
      <c r="E3819" t="str">
        <f t="shared" si="59"/>
        <v>D2C2100058891</v>
      </c>
    </row>
    <row r="3820" spans="1:5" x14ac:dyDescent="0.3">
      <c r="A3820" t="s">
        <v>4858</v>
      </c>
      <c r="B3820">
        <v>2100060368</v>
      </c>
      <c r="C3820" t="s">
        <v>1798</v>
      </c>
      <c r="E3820" t="str">
        <f t="shared" si="59"/>
        <v>D2C2100060368</v>
      </c>
    </row>
    <row r="3821" spans="1:5" x14ac:dyDescent="0.3">
      <c r="A3821" t="s">
        <v>4858</v>
      </c>
      <c r="B3821">
        <v>2100087317</v>
      </c>
      <c r="C3821" t="s">
        <v>3002</v>
      </c>
      <c r="E3821" t="str">
        <f t="shared" si="59"/>
        <v>D2C2100087317</v>
      </c>
    </row>
    <row r="3822" spans="1:5" x14ac:dyDescent="0.3">
      <c r="A3822" t="s">
        <v>4858</v>
      </c>
      <c r="B3822">
        <v>2100087318</v>
      </c>
      <c r="C3822" t="s">
        <v>1295</v>
      </c>
      <c r="E3822" t="str">
        <f t="shared" si="59"/>
        <v>D2C2100087318</v>
      </c>
    </row>
    <row r="3823" spans="1:5" x14ac:dyDescent="0.3">
      <c r="A3823" t="s">
        <v>4858</v>
      </c>
      <c r="B3823">
        <v>2100087319</v>
      </c>
      <c r="C3823" t="s">
        <v>3050</v>
      </c>
      <c r="E3823" t="str">
        <f t="shared" si="59"/>
        <v>D2C2100087319</v>
      </c>
    </row>
    <row r="3824" spans="1:5" x14ac:dyDescent="0.3">
      <c r="A3824" t="s">
        <v>4858</v>
      </c>
      <c r="B3824">
        <v>2100087320</v>
      </c>
      <c r="C3824" t="s">
        <v>1299</v>
      </c>
      <c r="E3824" t="str">
        <f t="shared" si="59"/>
        <v>D2C2100087320</v>
      </c>
    </row>
    <row r="3825" spans="1:5" x14ac:dyDescent="0.3">
      <c r="A3825" t="s">
        <v>4858</v>
      </c>
      <c r="B3825">
        <v>2100087321</v>
      </c>
      <c r="C3825" t="s">
        <v>1291</v>
      </c>
      <c r="E3825" t="str">
        <f t="shared" si="59"/>
        <v>D2C2100087321</v>
      </c>
    </row>
    <row r="3826" spans="1:5" x14ac:dyDescent="0.3">
      <c r="A3826" t="s">
        <v>4858</v>
      </c>
      <c r="B3826">
        <v>2100087323</v>
      </c>
      <c r="C3826" t="s">
        <v>1293</v>
      </c>
      <c r="E3826" t="str">
        <f t="shared" si="59"/>
        <v>D2C2100087323</v>
      </c>
    </row>
    <row r="3827" spans="1:5" x14ac:dyDescent="0.3">
      <c r="A3827" t="s">
        <v>4858</v>
      </c>
      <c r="B3827">
        <v>2100087325</v>
      </c>
      <c r="C3827" t="s">
        <v>4861</v>
      </c>
      <c r="E3827" t="str">
        <f t="shared" si="59"/>
        <v>D2C2100087325</v>
      </c>
    </row>
    <row r="3828" spans="1:5" x14ac:dyDescent="0.3">
      <c r="A3828" t="s">
        <v>4858</v>
      </c>
      <c r="B3828">
        <v>2100087329</v>
      </c>
      <c r="C3828" t="s">
        <v>4862</v>
      </c>
      <c r="E3828" t="str">
        <f t="shared" si="59"/>
        <v>D2C2100087329</v>
      </c>
    </row>
    <row r="3829" spans="1:5" x14ac:dyDescent="0.3">
      <c r="A3829" t="s">
        <v>4858</v>
      </c>
      <c r="B3829">
        <v>2100087330</v>
      </c>
      <c r="C3829" t="s">
        <v>1301</v>
      </c>
      <c r="E3829" t="str">
        <f t="shared" si="59"/>
        <v>D2C2100087330</v>
      </c>
    </row>
    <row r="3830" spans="1:5" x14ac:dyDescent="0.3">
      <c r="A3830" t="s">
        <v>4858</v>
      </c>
      <c r="B3830">
        <v>2100087332</v>
      </c>
      <c r="C3830" t="s">
        <v>4863</v>
      </c>
      <c r="E3830" t="str">
        <f t="shared" si="59"/>
        <v>D2C2100087332</v>
      </c>
    </row>
    <row r="3831" spans="1:5" x14ac:dyDescent="0.3">
      <c r="A3831" t="s">
        <v>4858</v>
      </c>
      <c r="B3831">
        <v>2100087333</v>
      </c>
      <c r="C3831" t="s">
        <v>4864</v>
      </c>
      <c r="E3831" t="str">
        <f t="shared" si="59"/>
        <v>D2C2100087333</v>
      </c>
    </row>
    <row r="3832" spans="1:5" x14ac:dyDescent="0.3">
      <c r="A3832" t="s">
        <v>4858</v>
      </c>
      <c r="B3832">
        <v>2100087393</v>
      </c>
      <c r="C3832" t="s">
        <v>1297</v>
      </c>
      <c r="E3832" t="str">
        <f t="shared" si="59"/>
        <v>D2C2100087393</v>
      </c>
    </row>
    <row r="3833" spans="1:5" x14ac:dyDescent="0.3">
      <c r="A3833" t="s">
        <v>4858</v>
      </c>
      <c r="B3833">
        <v>2100087400</v>
      </c>
      <c r="C3833" t="s">
        <v>4865</v>
      </c>
      <c r="E3833" t="str">
        <f t="shared" si="59"/>
        <v>D2C2100087400</v>
      </c>
    </row>
    <row r="3834" spans="1:5" x14ac:dyDescent="0.3">
      <c r="A3834" t="s">
        <v>4858</v>
      </c>
      <c r="B3834">
        <v>2100088630</v>
      </c>
      <c r="C3834" t="s">
        <v>2440</v>
      </c>
      <c r="E3834" t="str">
        <f t="shared" si="59"/>
        <v>D2C2100088630</v>
      </c>
    </row>
    <row r="3835" spans="1:5" x14ac:dyDescent="0.3">
      <c r="A3835" t="s">
        <v>4858</v>
      </c>
      <c r="B3835">
        <v>2100104356</v>
      </c>
      <c r="C3835" t="s">
        <v>1688</v>
      </c>
      <c r="E3835" t="str">
        <f t="shared" si="59"/>
        <v>D2C2100104356</v>
      </c>
    </row>
    <row r="3836" spans="1:5" x14ac:dyDescent="0.3">
      <c r="A3836" t="s">
        <v>4858</v>
      </c>
      <c r="B3836">
        <v>2100108801</v>
      </c>
      <c r="C3836" t="s">
        <v>4866</v>
      </c>
      <c r="E3836" t="str">
        <f t="shared" si="59"/>
        <v>D2C2100108801</v>
      </c>
    </row>
    <row r="3837" spans="1:5" x14ac:dyDescent="0.3">
      <c r="A3837" t="s">
        <v>4858</v>
      </c>
      <c r="B3837">
        <v>2100108802</v>
      </c>
      <c r="C3837" t="s">
        <v>4867</v>
      </c>
      <c r="E3837" t="str">
        <f t="shared" si="59"/>
        <v>D2C2100108802</v>
      </c>
    </row>
    <row r="3838" spans="1:5" x14ac:dyDescent="0.3">
      <c r="A3838" t="s">
        <v>4858</v>
      </c>
      <c r="B3838">
        <v>2100108803</v>
      </c>
      <c r="C3838" t="s">
        <v>4868</v>
      </c>
      <c r="E3838" t="str">
        <f t="shared" si="59"/>
        <v>D2C2100108803</v>
      </c>
    </row>
    <row r="3839" spans="1:5" x14ac:dyDescent="0.3">
      <c r="A3839" t="s">
        <v>4858</v>
      </c>
      <c r="B3839">
        <v>2100110589</v>
      </c>
      <c r="C3839" t="s">
        <v>1488</v>
      </c>
      <c r="E3839" t="str">
        <f t="shared" si="59"/>
        <v>D2C2100110589</v>
      </c>
    </row>
    <row r="3840" spans="1:5" x14ac:dyDescent="0.3">
      <c r="A3840" t="s">
        <v>4858</v>
      </c>
      <c r="B3840">
        <v>2100114427</v>
      </c>
      <c r="C3840" t="s">
        <v>4276</v>
      </c>
      <c r="E3840" t="str">
        <f t="shared" si="59"/>
        <v>D2C2100114427</v>
      </c>
    </row>
    <row r="3841" spans="1:5" x14ac:dyDescent="0.3">
      <c r="A3841" t="s">
        <v>4858</v>
      </c>
      <c r="B3841">
        <v>2100115982</v>
      </c>
      <c r="C3841" t="s">
        <v>85</v>
      </c>
      <c r="E3841" t="str">
        <f t="shared" si="59"/>
        <v>D2C2100115982</v>
      </c>
    </row>
    <row r="3842" spans="1:5" x14ac:dyDescent="0.3">
      <c r="A3842" t="s">
        <v>4858</v>
      </c>
      <c r="B3842">
        <v>2100116195</v>
      </c>
      <c r="C3842" t="s">
        <v>84</v>
      </c>
      <c r="E3842" t="str">
        <f t="shared" si="59"/>
        <v>D2C2100116195</v>
      </c>
    </row>
    <row r="3843" spans="1:5" x14ac:dyDescent="0.3">
      <c r="A3843" t="s">
        <v>4858</v>
      </c>
      <c r="B3843">
        <v>2100117440</v>
      </c>
      <c r="C3843" t="s">
        <v>1561</v>
      </c>
      <c r="E3843" t="str">
        <f t="shared" ref="E3843:E3906" si="60">A3843&amp;B3843</f>
        <v>D2C2100117440</v>
      </c>
    </row>
    <row r="3844" spans="1:5" x14ac:dyDescent="0.3">
      <c r="A3844" t="s">
        <v>4858</v>
      </c>
      <c r="B3844">
        <v>2100117441</v>
      </c>
      <c r="C3844" t="s">
        <v>4429</v>
      </c>
      <c r="E3844" t="str">
        <f t="shared" si="60"/>
        <v>D2C2100117441</v>
      </c>
    </row>
    <row r="3845" spans="1:5" x14ac:dyDescent="0.3">
      <c r="A3845" t="s">
        <v>4858</v>
      </c>
      <c r="B3845">
        <v>2100117531</v>
      </c>
      <c r="C3845" t="s">
        <v>1559</v>
      </c>
      <c r="E3845" t="str">
        <f t="shared" si="60"/>
        <v>D2C2100117531</v>
      </c>
    </row>
    <row r="3846" spans="1:5" x14ac:dyDescent="0.3">
      <c r="A3846" t="s">
        <v>4858</v>
      </c>
      <c r="B3846">
        <v>2100117533</v>
      </c>
      <c r="C3846" t="s">
        <v>997</v>
      </c>
      <c r="E3846" t="str">
        <f t="shared" si="60"/>
        <v>D2C2100117533</v>
      </c>
    </row>
    <row r="3847" spans="1:5" x14ac:dyDescent="0.3">
      <c r="A3847" t="s">
        <v>4858</v>
      </c>
      <c r="B3847">
        <v>2100117987</v>
      </c>
      <c r="C3847" t="s">
        <v>1287</v>
      </c>
      <c r="E3847" t="str">
        <f t="shared" si="60"/>
        <v>D2C2100117987</v>
      </c>
    </row>
    <row r="3848" spans="1:5" x14ac:dyDescent="0.3">
      <c r="A3848" t="s">
        <v>4858</v>
      </c>
      <c r="B3848">
        <v>2100117988</v>
      </c>
      <c r="C3848" t="s">
        <v>999</v>
      </c>
      <c r="E3848" t="str">
        <f t="shared" si="60"/>
        <v>D2C2100117988</v>
      </c>
    </row>
    <row r="3849" spans="1:5" x14ac:dyDescent="0.3">
      <c r="A3849" t="s">
        <v>4858</v>
      </c>
      <c r="B3849">
        <v>2100117990</v>
      </c>
      <c r="C3849" t="s">
        <v>1563</v>
      </c>
      <c r="E3849" t="str">
        <f t="shared" si="60"/>
        <v>D2C2100117990</v>
      </c>
    </row>
    <row r="3850" spans="1:5" x14ac:dyDescent="0.3">
      <c r="A3850" t="s">
        <v>4858</v>
      </c>
      <c r="B3850">
        <v>2100117991</v>
      </c>
      <c r="C3850" t="s">
        <v>1565</v>
      </c>
      <c r="E3850" t="str">
        <f t="shared" si="60"/>
        <v>D2C2100117991</v>
      </c>
    </row>
    <row r="3851" spans="1:5" x14ac:dyDescent="0.3">
      <c r="A3851" t="s">
        <v>4858</v>
      </c>
      <c r="B3851">
        <v>2100117992</v>
      </c>
      <c r="C3851" t="s">
        <v>4116</v>
      </c>
      <c r="E3851" t="str">
        <f t="shared" si="60"/>
        <v>D2C2100117992</v>
      </c>
    </row>
    <row r="3852" spans="1:5" x14ac:dyDescent="0.3">
      <c r="A3852" t="s">
        <v>4858</v>
      </c>
      <c r="B3852">
        <v>2100118168</v>
      </c>
      <c r="C3852" t="s">
        <v>437</v>
      </c>
      <c r="E3852" t="str">
        <f t="shared" si="60"/>
        <v>D2C2100118168</v>
      </c>
    </row>
    <row r="3853" spans="1:5" x14ac:dyDescent="0.3">
      <c r="A3853" t="s">
        <v>4858</v>
      </c>
      <c r="B3853">
        <v>2100118285</v>
      </c>
      <c r="C3853" t="s">
        <v>92</v>
      </c>
      <c r="E3853" t="str">
        <f t="shared" si="60"/>
        <v>D2C2100118285</v>
      </c>
    </row>
    <row r="3854" spans="1:5" x14ac:dyDescent="0.3">
      <c r="A3854" t="s">
        <v>4858</v>
      </c>
      <c r="B3854">
        <v>2100118286</v>
      </c>
      <c r="C3854" t="s">
        <v>90</v>
      </c>
      <c r="E3854" t="str">
        <f t="shared" si="60"/>
        <v>D2C2100118286</v>
      </c>
    </row>
    <row r="3855" spans="1:5" x14ac:dyDescent="0.3">
      <c r="A3855" t="s">
        <v>4858</v>
      </c>
      <c r="B3855">
        <v>2100118287</v>
      </c>
      <c r="C3855" t="s">
        <v>3336</v>
      </c>
      <c r="E3855" t="str">
        <f t="shared" si="60"/>
        <v>D2C2100118287</v>
      </c>
    </row>
    <row r="3856" spans="1:5" x14ac:dyDescent="0.3">
      <c r="A3856" t="s">
        <v>4858</v>
      </c>
      <c r="B3856">
        <v>2100118288</v>
      </c>
      <c r="C3856" t="s">
        <v>87</v>
      </c>
      <c r="E3856" t="str">
        <f t="shared" si="60"/>
        <v>D2C2100118288</v>
      </c>
    </row>
    <row r="3857" spans="1:5" x14ac:dyDescent="0.3">
      <c r="A3857" t="s">
        <v>4858</v>
      </c>
      <c r="B3857">
        <v>2100118289</v>
      </c>
      <c r="C3857" t="s">
        <v>88</v>
      </c>
      <c r="E3857" t="str">
        <f t="shared" si="60"/>
        <v>D2C2100118289</v>
      </c>
    </row>
    <row r="3858" spans="1:5" x14ac:dyDescent="0.3">
      <c r="A3858" t="s">
        <v>4858</v>
      </c>
      <c r="B3858">
        <v>2100118290</v>
      </c>
      <c r="C3858" t="s">
        <v>89</v>
      </c>
      <c r="E3858" t="str">
        <f t="shared" si="60"/>
        <v>D2C2100118290</v>
      </c>
    </row>
    <row r="3859" spans="1:5" x14ac:dyDescent="0.3">
      <c r="A3859" t="s">
        <v>4858</v>
      </c>
      <c r="B3859">
        <v>2100118291</v>
      </c>
      <c r="C3859" t="s">
        <v>3338</v>
      </c>
      <c r="E3859" t="str">
        <f t="shared" si="60"/>
        <v>D2C2100118291</v>
      </c>
    </row>
    <row r="3860" spans="1:5" x14ac:dyDescent="0.3">
      <c r="A3860" t="s">
        <v>4858</v>
      </c>
      <c r="B3860">
        <v>2100118292</v>
      </c>
      <c r="C3860" t="s">
        <v>3334</v>
      </c>
      <c r="E3860" t="str">
        <f t="shared" si="60"/>
        <v>D2C2100118292</v>
      </c>
    </row>
    <row r="3861" spans="1:5" x14ac:dyDescent="0.3">
      <c r="A3861" t="s">
        <v>4858</v>
      </c>
      <c r="B3861">
        <v>2100118307</v>
      </c>
      <c r="C3861" t="s">
        <v>1209</v>
      </c>
      <c r="E3861" t="str">
        <f t="shared" si="60"/>
        <v>D2C2100118307</v>
      </c>
    </row>
    <row r="3862" spans="1:5" x14ac:dyDescent="0.3">
      <c r="A3862" t="s">
        <v>4858</v>
      </c>
      <c r="B3862">
        <v>2100118308</v>
      </c>
      <c r="C3862" t="s">
        <v>1211</v>
      </c>
      <c r="E3862" t="str">
        <f t="shared" si="60"/>
        <v>D2C2100118308</v>
      </c>
    </row>
    <row r="3863" spans="1:5" x14ac:dyDescent="0.3">
      <c r="A3863" t="s">
        <v>4858</v>
      </c>
      <c r="B3863">
        <v>2100118309</v>
      </c>
      <c r="C3863" t="s">
        <v>2161</v>
      </c>
      <c r="E3863" t="str">
        <f t="shared" si="60"/>
        <v>D2C2100118309</v>
      </c>
    </row>
    <row r="3864" spans="1:5" x14ac:dyDescent="0.3">
      <c r="A3864" t="s">
        <v>4858</v>
      </c>
      <c r="B3864">
        <v>2100118310</v>
      </c>
      <c r="C3864" t="s">
        <v>1201</v>
      </c>
      <c r="E3864" t="str">
        <f t="shared" si="60"/>
        <v>D2C2100118310</v>
      </c>
    </row>
    <row r="3865" spans="1:5" x14ac:dyDescent="0.3">
      <c r="A3865" t="s">
        <v>4858</v>
      </c>
      <c r="B3865">
        <v>2100118311</v>
      </c>
      <c r="C3865" t="s">
        <v>1203</v>
      </c>
      <c r="E3865" t="str">
        <f t="shared" si="60"/>
        <v>D2C2100118311</v>
      </c>
    </row>
    <row r="3866" spans="1:5" x14ac:dyDescent="0.3">
      <c r="A3866" t="s">
        <v>4858</v>
      </c>
      <c r="B3866">
        <v>2100118312</v>
      </c>
      <c r="C3866" t="s">
        <v>1205</v>
      </c>
      <c r="E3866" t="str">
        <f t="shared" si="60"/>
        <v>D2C2100118312</v>
      </c>
    </row>
    <row r="3867" spans="1:5" x14ac:dyDescent="0.3">
      <c r="A3867" t="s">
        <v>4858</v>
      </c>
      <c r="B3867">
        <v>2100118313</v>
      </c>
      <c r="C3867" t="s">
        <v>4869</v>
      </c>
      <c r="E3867" t="str">
        <f t="shared" si="60"/>
        <v>D2C2100118313</v>
      </c>
    </row>
    <row r="3868" spans="1:5" x14ac:dyDescent="0.3">
      <c r="A3868" t="s">
        <v>4858</v>
      </c>
      <c r="B3868">
        <v>2100118460</v>
      </c>
      <c r="C3868" t="s">
        <v>3318</v>
      </c>
      <c r="E3868" t="str">
        <f t="shared" si="60"/>
        <v>D2C2100118460</v>
      </c>
    </row>
    <row r="3869" spans="1:5" x14ac:dyDescent="0.3">
      <c r="A3869" t="s">
        <v>4858</v>
      </c>
      <c r="B3869">
        <v>2100118826</v>
      </c>
      <c r="C3869" t="s">
        <v>4280</v>
      </c>
      <c r="E3869" t="str">
        <f t="shared" si="60"/>
        <v>D2C2100118826</v>
      </c>
    </row>
    <row r="3870" spans="1:5" x14ac:dyDescent="0.3">
      <c r="A3870" t="s">
        <v>4858</v>
      </c>
      <c r="B3870">
        <v>2100118828</v>
      </c>
      <c r="C3870" t="s">
        <v>1567</v>
      </c>
      <c r="E3870" t="str">
        <f t="shared" si="60"/>
        <v>D2C2100118828</v>
      </c>
    </row>
    <row r="3871" spans="1:5" x14ac:dyDescent="0.3">
      <c r="A3871" t="s">
        <v>4858</v>
      </c>
      <c r="B3871">
        <v>2100118933</v>
      </c>
      <c r="C3871" t="s">
        <v>1213</v>
      </c>
      <c r="E3871" t="str">
        <f t="shared" si="60"/>
        <v>D2C2100118933</v>
      </c>
    </row>
    <row r="3872" spans="1:5" x14ac:dyDescent="0.3">
      <c r="A3872" t="s">
        <v>4858</v>
      </c>
      <c r="B3872">
        <v>2100119880</v>
      </c>
      <c r="C3872" t="s">
        <v>1490</v>
      </c>
      <c r="E3872" t="str">
        <f t="shared" si="60"/>
        <v>D2C2100119880</v>
      </c>
    </row>
    <row r="3873" spans="1:5" x14ac:dyDescent="0.3">
      <c r="A3873" t="s">
        <v>4858</v>
      </c>
      <c r="B3873">
        <v>2100121256</v>
      </c>
      <c r="C3873" t="s">
        <v>4870</v>
      </c>
      <c r="E3873" t="str">
        <f t="shared" si="60"/>
        <v>D2C2100121256</v>
      </c>
    </row>
    <row r="3874" spans="1:5" x14ac:dyDescent="0.3">
      <c r="A3874" t="s">
        <v>4858</v>
      </c>
      <c r="B3874">
        <v>2100121258</v>
      </c>
      <c r="C3874" t="s">
        <v>3429</v>
      </c>
      <c r="E3874" t="str">
        <f t="shared" si="60"/>
        <v>D2C2100121258</v>
      </c>
    </row>
    <row r="3875" spans="1:5" x14ac:dyDescent="0.3">
      <c r="A3875" t="s">
        <v>4858</v>
      </c>
      <c r="B3875">
        <v>2100121261</v>
      </c>
      <c r="C3875" t="s">
        <v>3372</v>
      </c>
      <c r="E3875" t="str">
        <f t="shared" si="60"/>
        <v>D2C2100121261</v>
      </c>
    </row>
    <row r="3876" spans="1:5" x14ac:dyDescent="0.3">
      <c r="A3876" t="s">
        <v>4858</v>
      </c>
      <c r="B3876">
        <v>2100121262</v>
      </c>
      <c r="C3876" t="s">
        <v>3417</v>
      </c>
      <c r="E3876" t="str">
        <f t="shared" si="60"/>
        <v>D2C2100121262</v>
      </c>
    </row>
    <row r="3877" spans="1:5" x14ac:dyDescent="0.3">
      <c r="A3877" t="s">
        <v>4858</v>
      </c>
      <c r="B3877">
        <v>2100121263</v>
      </c>
      <c r="C3877" t="s">
        <v>3419</v>
      </c>
      <c r="E3877" t="str">
        <f t="shared" si="60"/>
        <v>D2C2100121263</v>
      </c>
    </row>
    <row r="3878" spans="1:5" x14ac:dyDescent="0.3">
      <c r="A3878" t="s">
        <v>4858</v>
      </c>
      <c r="B3878">
        <v>2100121266</v>
      </c>
      <c r="C3878" t="s">
        <v>3374</v>
      </c>
      <c r="E3878" t="str">
        <f t="shared" si="60"/>
        <v>D2C2100121266</v>
      </c>
    </row>
    <row r="3879" spans="1:5" x14ac:dyDescent="0.3">
      <c r="A3879" t="s">
        <v>4858</v>
      </c>
      <c r="B3879">
        <v>2100121267</v>
      </c>
      <c r="C3879" t="s">
        <v>3412</v>
      </c>
      <c r="E3879" t="str">
        <f t="shared" si="60"/>
        <v>D2C2100121267</v>
      </c>
    </row>
    <row r="3880" spans="1:5" x14ac:dyDescent="0.3">
      <c r="A3880" t="s">
        <v>4858</v>
      </c>
      <c r="B3880">
        <v>2100121270</v>
      </c>
      <c r="C3880" t="s">
        <v>4871</v>
      </c>
      <c r="E3880" t="str">
        <f t="shared" si="60"/>
        <v>D2C2100121270</v>
      </c>
    </row>
    <row r="3881" spans="1:5" x14ac:dyDescent="0.3">
      <c r="A3881" t="s">
        <v>4858</v>
      </c>
      <c r="B3881">
        <v>2100121271</v>
      </c>
      <c r="C3881" t="s">
        <v>4872</v>
      </c>
      <c r="E3881" t="str">
        <f t="shared" si="60"/>
        <v>D2C2100121271</v>
      </c>
    </row>
    <row r="3882" spans="1:5" x14ac:dyDescent="0.3">
      <c r="A3882" t="s">
        <v>4858</v>
      </c>
      <c r="B3882">
        <v>2100121273</v>
      </c>
      <c r="C3882" t="s">
        <v>3370</v>
      </c>
      <c r="E3882" t="str">
        <f t="shared" si="60"/>
        <v>D2C2100121273</v>
      </c>
    </row>
    <row r="3883" spans="1:5" x14ac:dyDescent="0.3">
      <c r="A3883" t="s">
        <v>4858</v>
      </c>
      <c r="B3883">
        <v>2100121373</v>
      </c>
      <c r="C3883" t="s">
        <v>400</v>
      </c>
      <c r="E3883" t="str">
        <f t="shared" si="60"/>
        <v>D2C2100121373</v>
      </c>
    </row>
    <row r="3884" spans="1:5" x14ac:dyDescent="0.3">
      <c r="A3884" t="s">
        <v>4858</v>
      </c>
      <c r="B3884">
        <v>2100121730</v>
      </c>
      <c r="C3884" t="s">
        <v>1494</v>
      </c>
      <c r="E3884" t="str">
        <f t="shared" si="60"/>
        <v>D2C2100121730</v>
      </c>
    </row>
    <row r="3885" spans="1:5" x14ac:dyDescent="0.3">
      <c r="A3885" t="s">
        <v>4858</v>
      </c>
      <c r="B3885">
        <v>2100121731</v>
      </c>
      <c r="C3885" t="s">
        <v>3365</v>
      </c>
      <c r="E3885" t="str">
        <f t="shared" si="60"/>
        <v>D2C2100121731</v>
      </c>
    </row>
    <row r="3886" spans="1:5" x14ac:dyDescent="0.3">
      <c r="A3886" t="s">
        <v>4858</v>
      </c>
      <c r="B3886">
        <v>2100121732</v>
      </c>
      <c r="C3886" t="s">
        <v>434</v>
      </c>
      <c r="E3886" t="str">
        <f t="shared" si="60"/>
        <v>D2C2100121732</v>
      </c>
    </row>
    <row r="3887" spans="1:5" x14ac:dyDescent="0.3">
      <c r="A3887" t="s">
        <v>4858</v>
      </c>
      <c r="B3887">
        <v>2100121737</v>
      </c>
      <c r="C3887" t="s">
        <v>3361</v>
      </c>
      <c r="E3887" t="str">
        <f t="shared" si="60"/>
        <v>D2C2100121737</v>
      </c>
    </row>
    <row r="3888" spans="1:5" x14ac:dyDescent="0.3">
      <c r="A3888" t="s">
        <v>4858</v>
      </c>
      <c r="B3888">
        <v>2100121738</v>
      </c>
      <c r="C3888" t="s">
        <v>435</v>
      </c>
      <c r="E3888" t="str">
        <f t="shared" si="60"/>
        <v>D2C2100121738</v>
      </c>
    </row>
    <row r="3889" spans="1:5" x14ac:dyDescent="0.3">
      <c r="A3889" t="s">
        <v>4858</v>
      </c>
      <c r="B3889">
        <v>2100121739</v>
      </c>
      <c r="C3889" t="s">
        <v>433</v>
      </c>
      <c r="E3889" t="str">
        <f t="shared" si="60"/>
        <v>D2C2100121739</v>
      </c>
    </row>
    <row r="3890" spans="1:5" x14ac:dyDescent="0.3">
      <c r="A3890" t="s">
        <v>4858</v>
      </c>
      <c r="B3890">
        <v>2100121761</v>
      </c>
      <c r="C3890" t="s">
        <v>1498</v>
      </c>
      <c r="E3890" t="str">
        <f t="shared" si="60"/>
        <v>D2C2100121761</v>
      </c>
    </row>
    <row r="3891" spans="1:5" x14ac:dyDescent="0.3">
      <c r="A3891" t="s">
        <v>4858</v>
      </c>
      <c r="B3891">
        <v>2100122930</v>
      </c>
      <c r="C3891" t="s">
        <v>401</v>
      </c>
      <c r="E3891" t="str">
        <f t="shared" si="60"/>
        <v>D2C2100122930</v>
      </c>
    </row>
    <row r="3892" spans="1:5" x14ac:dyDescent="0.3">
      <c r="A3892" t="s">
        <v>4858</v>
      </c>
      <c r="B3892">
        <v>2100122932</v>
      </c>
      <c r="C3892" t="s">
        <v>2002</v>
      </c>
      <c r="E3892" t="str">
        <f t="shared" si="60"/>
        <v>D2C2100122932</v>
      </c>
    </row>
    <row r="3893" spans="1:5" x14ac:dyDescent="0.3">
      <c r="A3893" t="s">
        <v>4858</v>
      </c>
      <c r="B3893">
        <v>2100124606</v>
      </c>
      <c r="C3893" t="s">
        <v>86</v>
      </c>
      <c r="E3893" t="str">
        <f t="shared" si="60"/>
        <v>D2C2100124606</v>
      </c>
    </row>
    <row r="3894" spans="1:5" x14ac:dyDescent="0.3">
      <c r="A3894" t="s">
        <v>4858</v>
      </c>
      <c r="B3894">
        <v>2211400056</v>
      </c>
      <c r="C3894" t="s">
        <v>837</v>
      </c>
      <c r="E3894" t="str">
        <f t="shared" si="60"/>
        <v>D2C2211400056</v>
      </c>
    </row>
    <row r="3895" spans="1:5" x14ac:dyDescent="0.3">
      <c r="A3895" t="s">
        <v>4858</v>
      </c>
      <c r="B3895">
        <v>2211400344</v>
      </c>
      <c r="C3895" t="s">
        <v>1511</v>
      </c>
      <c r="E3895" t="str">
        <f t="shared" si="60"/>
        <v>D2C2211400344</v>
      </c>
    </row>
    <row r="3896" spans="1:5" x14ac:dyDescent="0.3">
      <c r="A3896" t="s">
        <v>4858</v>
      </c>
      <c r="B3896">
        <v>2211400482</v>
      </c>
      <c r="C3896" t="s">
        <v>1507</v>
      </c>
      <c r="E3896" t="str">
        <f t="shared" si="60"/>
        <v>D2C2211400482</v>
      </c>
    </row>
    <row r="3897" spans="1:5" x14ac:dyDescent="0.3">
      <c r="A3897" t="s">
        <v>4858</v>
      </c>
      <c r="B3897">
        <v>2211400762</v>
      </c>
      <c r="C3897" t="s">
        <v>2171</v>
      </c>
      <c r="E3897" t="str">
        <f t="shared" si="60"/>
        <v>D2C2211400762</v>
      </c>
    </row>
    <row r="3898" spans="1:5" x14ac:dyDescent="0.3">
      <c r="A3898" t="s">
        <v>4858</v>
      </c>
      <c r="B3898">
        <v>2211400764</v>
      </c>
      <c r="C3898" t="s">
        <v>1505</v>
      </c>
      <c r="E3898" t="str">
        <f t="shared" si="60"/>
        <v>D2C2211400764</v>
      </c>
    </row>
    <row r="3899" spans="1:5" x14ac:dyDescent="0.3">
      <c r="A3899" t="s">
        <v>4858</v>
      </c>
      <c r="B3899">
        <v>2211400794</v>
      </c>
      <c r="C3899" t="s">
        <v>416</v>
      </c>
      <c r="E3899" t="str">
        <f t="shared" si="60"/>
        <v>D2C2211400794</v>
      </c>
    </row>
    <row r="3900" spans="1:5" x14ac:dyDescent="0.3">
      <c r="A3900" t="s">
        <v>4858</v>
      </c>
      <c r="B3900">
        <v>2211400796</v>
      </c>
      <c r="C3900" t="s">
        <v>1118</v>
      </c>
      <c r="E3900" t="str">
        <f t="shared" si="60"/>
        <v>D2C2211400796</v>
      </c>
    </row>
    <row r="3901" spans="1:5" x14ac:dyDescent="0.3">
      <c r="A3901" t="s">
        <v>4858</v>
      </c>
      <c r="B3901">
        <v>2211400810</v>
      </c>
      <c r="C3901" t="s">
        <v>25</v>
      </c>
      <c r="E3901" t="str">
        <f t="shared" si="60"/>
        <v>D2C2211400810</v>
      </c>
    </row>
    <row r="3902" spans="1:5" x14ac:dyDescent="0.3">
      <c r="A3902" t="s">
        <v>4858</v>
      </c>
      <c r="B3902">
        <v>2211400811</v>
      </c>
      <c r="C3902" t="s">
        <v>28</v>
      </c>
      <c r="E3902" t="str">
        <f t="shared" si="60"/>
        <v>D2C2211400811</v>
      </c>
    </row>
    <row r="3903" spans="1:5" x14ac:dyDescent="0.3">
      <c r="A3903" t="s">
        <v>4858</v>
      </c>
      <c r="B3903">
        <v>2211400813</v>
      </c>
      <c r="C3903" t="s">
        <v>1779</v>
      </c>
      <c r="E3903" t="str">
        <f t="shared" si="60"/>
        <v>D2C2211400813</v>
      </c>
    </row>
    <row r="3904" spans="1:5" x14ac:dyDescent="0.3">
      <c r="A3904" t="s">
        <v>4858</v>
      </c>
      <c r="B3904">
        <v>2211400844</v>
      </c>
      <c r="C3904" t="s">
        <v>27</v>
      </c>
      <c r="E3904" t="str">
        <f t="shared" si="60"/>
        <v>D2C2211400844</v>
      </c>
    </row>
    <row r="3905" spans="1:5" x14ac:dyDescent="0.3">
      <c r="A3905" t="s">
        <v>4858</v>
      </c>
      <c r="B3905">
        <v>2211400854</v>
      </c>
      <c r="C3905" t="s">
        <v>29</v>
      </c>
      <c r="E3905" t="str">
        <f t="shared" si="60"/>
        <v>D2C2211400854</v>
      </c>
    </row>
    <row r="3906" spans="1:5" x14ac:dyDescent="0.3">
      <c r="A3906" t="s">
        <v>4858</v>
      </c>
      <c r="B3906">
        <v>2211400888</v>
      </c>
      <c r="C3906" t="s">
        <v>38</v>
      </c>
      <c r="E3906" t="str">
        <f t="shared" si="60"/>
        <v>D2C2211400888</v>
      </c>
    </row>
    <row r="3907" spans="1:5" x14ac:dyDescent="0.3">
      <c r="A3907" t="s">
        <v>4858</v>
      </c>
      <c r="B3907">
        <v>2211400905</v>
      </c>
      <c r="C3907" t="s">
        <v>4385</v>
      </c>
      <c r="E3907" t="str">
        <f t="shared" ref="E3907:E3970" si="61">A3907&amp;B3907</f>
        <v>D2C2211400905</v>
      </c>
    </row>
    <row r="3908" spans="1:5" x14ac:dyDescent="0.3">
      <c r="A3908" t="s">
        <v>4858</v>
      </c>
      <c r="B3908">
        <v>2211400921</v>
      </c>
      <c r="C3908" t="s">
        <v>33</v>
      </c>
      <c r="E3908" t="str">
        <f t="shared" si="61"/>
        <v>D2C2211400921</v>
      </c>
    </row>
    <row r="3909" spans="1:5" x14ac:dyDescent="0.3">
      <c r="A3909" t="s">
        <v>4858</v>
      </c>
      <c r="B3909">
        <v>2211400925</v>
      </c>
      <c r="C3909" t="s">
        <v>3311</v>
      </c>
      <c r="E3909" t="str">
        <f t="shared" si="61"/>
        <v>D2C2211400925</v>
      </c>
    </row>
    <row r="3910" spans="1:5" x14ac:dyDescent="0.3">
      <c r="A3910" t="s">
        <v>4858</v>
      </c>
      <c r="B3910">
        <v>2211400928</v>
      </c>
      <c r="C3910" t="s">
        <v>1781</v>
      </c>
      <c r="E3910" t="str">
        <f t="shared" si="61"/>
        <v>D2C2211400928</v>
      </c>
    </row>
    <row r="3911" spans="1:5" x14ac:dyDescent="0.3">
      <c r="A3911" t="s">
        <v>4858</v>
      </c>
      <c r="B3911">
        <v>2211400971</v>
      </c>
      <c r="C3911" t="s">
        <v>4873</v>
      </c>
      <c r="E3911" t="str">
        <f t="shared" si="61"/>
        <v>D2C2211400971</v>
      </c>
    </row>
    <row r="3912" spans="1:5" x14ac:dyDescent="0.3">
      <c r="A3912" t="s">
        <v>4858</v>
      </c>
      <c r="B3912">
        <v>2211400973</v>
      </c>
      <c r="C3912" t="s">
        <v>3807</v>
      </c>
      <c r="E3912" t="str">
        <f t="shared" si="61"/>
        <v>D2C2211400973</v>
      </c>
    </row>
    <row r="3913" spans="1:5" x14ac:dyDescent="0.3">
      <c r="A3913" t="s">
        <v>4858</v>
      </c>
      <c r="B3913">
        <v>2211400979</v>
      </c>
      <c r="C3913" t="s">
        <v>37</v>
      </c>
      <c r="E3913" t="str">
        <f t="shared" si="61"/>
        <v>D2C2211400979</v>
      </c>
    </row>
    <row r="3914" spans="1:5" x14ac:dyDescent="0.3">
      <c r="A3914" t="s">
        <v>4858</v>
      </c>
      <c r="B3914">
        <v>2211400987</v>
      </c>
      <c r="C3914" t="s">
        <v>4874</v>
      </c>
      <c r="E3914" t="str">
        <f t="shared" si="61"/>
        <v>D2C2211400987</v>
      </c>
    </row>
    <row r="3915" spans="1:5" x14ac:dyDescent="0.3">
      <c r="A3915" t="s">
        <v>4858</v>
      </c>
      <c r="B3915">
        <v>2211401014</v>
      </c>
      <c r="C3915" t="s">
        <v>371</v>
      </c>
      <c r="E3915" t="str">
        <f t="shared" si="61"/>
        <v>D2C2211401014</v>
      </c>
    </row>
    <row r="3916" spans="1:5" x14ac:dyDescent="0.3">
      <c r="A3916" t="s">
        <v>4858</v>
      </c>
      <c r="B3916">
        <v>2211401034</v>
      </c>
      <c r="C3916" t="s">
        <v>396</v>
      </c>
      <c r="E3916" t="str">
        <f t="shared" si="61"/>
        <v>D2C2211401034</v>
      </c>
    </row>
    <row r="3917" spans="1:5" x14ac:dyDescent="0.3">
      <c r="A3917" t="s">
        <v>4858</v>
      </c>
      <c r="B3917">
        <v>2211401035</v>
      </c>
      <c r="C3917" t="s">
        <v>395</v>
      </c>
      <c r="E3917" t="str">
        <f t="shared" si="61"/>
        <v>D2C2211401035</v>
      </c>
    </row>
    <row r="3918" spans="1:5" x14ac:dyDescent="0.3">
      <c r="A3918" t="s">
        <v>4858</v>
      </c>
      <c r="B3918">
        <v>2211401038</v>
      </c>
      <c r="C3918" t="s">
        <v>32</v>
      </c>
      <c r="E3918" t="str">
        <f t="shared" si="61"/>
        <v>D2C2211401038</v>
      </c>
    </row>
    <row r="3919" spans="1:5" x14ac:dyDescent="0.3">
      <c r="A3919" t="s">
        <v>4858</v>
      </c>
      <c r="B3919">
        <v>2211401050</v>
      </c>
      <c r="C3919" t="s">
        <v>127</v>
      </c>
      <c r="E3919" t="str">
        <f t="shared" si="61"/>
        <v>D2C2211401050</v>
      </c>
    </row>
    <row r="3920" spans="1:5" x14ac:dyDescent="0.3">
      <c r="A3920" t="s">
        <v>4858</v>
      </c>
      <c r="B3920">
        <v>7211000396</v>
      </c>
      <c r="C3920" t="s">
        <v>2392</v>
      </c>
      <c r="E3920" t="str">
        <f t="shared" si="61"/>
        <v>D2C7211000396</v>
      </c>
    </row>
    <row r="3921" spans="1:5" x14ac:dyDescent="0.3">
      <c r="A3921" t="s">
        <v>4858</v>
      </c>
      <c r="B3921">
        <v>7211001078</v>
      </c>
      <c r="C3921" t="s">
        <v>566</v>
      </c>
      <c r="E3921" t="str">
        <f t="shared" si="61"/>
        <v>D2C7211001078</v>
      </c>
    </row>
    <row r="3922" spans="1:5" x14ac:dyDescent="0.3">
      <c r="A3922" t="s">
        <v>4858</v>
      </c>
      <c r="B3922">
        <v>7211001544</v>
      </c>
      <c r="C3922" t="s">
        <v>2379</v>
      </c>
      <c r="E3922" t="str">
        <f t="shared" si="61"/>
        <v>D2C7211001544</v>
      </c>
    </row>
    <row r="3923" spans="1:5" x14ac:dyDescent="0.3">
      <c r="A3923" t="s">
        <v>4858</v>
      </c>
      <c r="B3923">
        <v>7211001595</v>
      </c>
      <c r="C3923" t="s">
        <v>4875</v>
      </c>
      <c r="E3923" t="str">
        <f t="shared" si="61"/>
        <v>D2C7211001595</v>
      </c>
    </row>
    <row r="3924" spans="1:5" x14ac:dyDescent="0.3">
      <c r="A3924" t="s">
        <v>4858</v>
      </c>
      <c r="B3924">
        <v>7211001804</v>
      </c>
      <c r="C3924" t="s">
        <v>2549</v>
      </c>
      <c r="E3924" t="str">
        <f t="shared" si="61"/>
        <v>D2C7211001804</v>
      </c>
    </row>
    <row r="3925" spans="1:5" x14ac:dyDescent="0.3">
      <c r="A3925" t="s">
        <v>4858</v>
      </c>
      <c r="B3925">
        <v>7211002180</v>
      </c>
      <c r="C3925" t="s">
        <v>568</v>
      </c>
      <c r="E3925" t="str">
        <f t="shared" si="61"/>
        <v>D2C7211002180</v>
      </c>
    </row>
    <row r="3926" spans="1:5" x14ac:dyDescent="0.3">
      <c r="A3926" t="s">
        <v>4858</v>
      </c>
      <c r="B3926">
        <v>7211002271</v>
      </c>
      <c r="C3926" t="s">
        <v>556</v>
      </c>
      <c r="E3926" t="str">
        <f t="shared" si="61"/>
        <v>D2C7211002271</v>
      </c>
    </row>
    <row r="3927" spans="1:5" x14ac:dyDescent="0.3">
      <c r="A3927" t="s">
        <v>4858</v>
      </c>
      <c r="B3927">
        <v>7211002287</v>
      </c>
      <c r="C3927" t="s">
        <v>2578</v>
      </c>
      <c r="E3927" t="str">
        <f t="shared" si="61"/>
        <v>D2C7211002287</v>
      </c>
    </row>
    <row r="3928" spans="1:5" x14ac:dyDescent="0.3">
      <c r="A3928" t="s">
        <v>4858</v>
      </c>
      <c r="B3928">
        <v>7211002289</v>
      </c>
      <c r="C3928" t="s">
        <v>1081</v>
      </c>
      <c r="E3928" t="str">
        <f t="shared" si="61"/>
        <v>D2C7211002289</v>
      </c>
    </row>
    <row r="3929" spans="1:5" x14ac:dyDescent="0.3">
      <c r="A3929" t="s">
        <v>4858</v>
      </c>
      <c r="B3929">
        <v>7211002374</v>
      </c>
      <c r="C3929" t="s">
        <v>813</v>
      </c>
      <c r="E3929" t="str">
        <f t="shared" si="61"/>
        <v>D2C7211002374</v>
      </c>
    </row>
    <row r="3930" spans="1:5" x14ac:dyDescent="0.3">
      <c r="A3930" t="s">
        <v>4858</v>
      </c>
      <c r="B3930">
        <v>7211002441</v>
      </c>
      <c r="C3930" t="s">
        <v>40</v>
      </c>
      <c r="E3930" t="str">
        <f t="shared" si="61"/>
        <v>D2C7211002441</v>
      </c>
    </row>
    <row r="3931" spans="1:5" x14ac:dyDescent="0.3">
      <c r="A3931" t="s">
        <v>4858</v>
      </c>
      <c r="B3931">
        <v>7211002459</v>
      </c>
      <c r="C3931" t="s">
        <v>41</v>
      </c>
      <c r="E3931" t="str">
        <f t="shared" si="61"/>
        <v>D2C7211002459</v>
      </c>
    </row>
    <row r="3932" spans="1:5" x14ac:dyDescent="0.3">
      <c r="A3932" t="s">
        <v>4858</v>
      </c>
      <c r="B3932">
        <v>7211002465</v>
      </c>
      <c r="C3932" t="s">
        <v>564</v>
      </c>
      <c r="E3932" t="str">
        <f t="shared" si="61"/>
        <v>D2C7211002465</v>
      </c>
    </row>
    <row r="3933" spans="1:5" x14ac:dyDescent="0.3">
      <c r="A3933" t="s">
        <v>4858</v>
      </c>
      <c r="B3933">
        <v>7211002491</v>
      </c>
      <c r="C3933" t="s">
        <v>600</v>
      </c>
      <c r="E3933" t="str">
        <f t="shared" si="61"/>
        <v>D2C7211002491</v>
      </c>
    </row>
    <row r="3934" spans="1:5" x14ac:dyDescent="0.3">
      <c r="A3934" t="s">
        <v>4858</v>
      </c>
      <c r="B3934">
        <v>7211002511</v>
      </c>
      <c r="C3934" t="s">
        <v>3167</v>
      </c>
      <c r="E3934" t="str">
        <f t="shared" si="61"/>
        <v>D2C7211002511</v>
      </c>
    </row>
    <row r="3935" spans="1:5" x14ac:dyDescent="0.3">
      <c r="A3935" t="s">
        <v>4858</v>
      </c>
      <c r="B3935">
        <v>7211002749</v>
      </c>
      <c r="C3935" t="s">
        <v>397</v>
      </c>
      <c r="E3935" t="str">
        <f t="shared" si="61"/>
        <v>D2C7211002749</v>
      </c>
    </row>
    <row r="3936" spans="1:5" x14ac:dyDescent="0.3">
      <c r="A3936" t="s">
        <v>4858</v>
      </c>
      <c r="B3936">
        <v>7211002804</v>
      </c>
      <c r="C3936" t="s">
        <v>1790</v>
      </c>
      <c r="E3936" t="str">
        <f t="shared" si="61"/>
        <v>D2C7211002804</v>
      </c>
    </row>
    <row r="3937" spans="1:5" x14ac:dyDescent="0.3">
      <c r="A3937" t="s">
        <v>4858</v>
      </c>
      <c r="B3937">
        <v>7211002851</v>
      </c>
      <c r="C3937" t="s">
        <v>954</v>
      </c>
      <c r="E3937" t="str">
        <f t="shared" si="61"/>
        <v>D2C7211002851</v>
      </c>
    </row>
    <row r="3938" spans="1:5" x14ac:dyDescent="0.3">
      <c r="A3938" t="s">
        <v>4858</v>
      </c>
      <c r="B3938">
        <v>7211002932</v>
      </c>
      <c r="C3938" t="s">
        <v>44</v>
      </c>
      <c r="E3938" t="str">
        <f t="shared" si="61"/>
        <v>D2C7211002932</v>
      </c>
    </row>
    <row r="3939" spans="1:5" x14ac:dyDescent="0.3">
      <c r="A3939" t="s">
        <v>4858</v>
      </c>
      <c r="B3939">
        <v>7211002980</v>
      </c>
      <c r="C3939" t="s">
        <v>2777</v>
      </c>
      <c r="E3939" t="str">
        <f t="shared" si="61"/>
        <v>D2C7211002980</v>
      </c>
    </row>
    <row r="3940" spans="1:5" x14ac:dyDescent="0.3">
      <c r="A3940" t="s">
        <v>4858</v>
      </c>
      <c r="B3940">
        <v>7211003234</v>
      </c>
      <c r="C3940" t="s">
        <v>925</v>
      </c>
      <c r="E3940" t="str">
        <f t="shared" si="61"/>
        <v>D2C7211003234</v>
      </c>
    </row>
    <row r="3941" spans="1:5" x14ac:dyDescent="0.3">
      <c r="A3941" t="s">
        <v>4858</v>
      </c>
      <c r="B3941">
        <v>7211003245</v>
      </c>
      <c r="C3941" t="s">
        <v>72</v>
      </c>
      <c r="E3941" t="str">
        <f t="shared" si="61"/>
        <v>D2C7211003245</v>
      </c>
    </row>
    <row r="3942" spans="1:5" x14ac:dyDescent="0.3">
      <c r="A3942" t="s">
        <v>4858</v>
      </c>
      <c r="B3942">
        <v>7211003267</v>
      </c>
      <c r="C3942" t="s">
        <v>1102</v>
      </c>
      <c r="E3942" t="str">
        <f t="shared" si="61"/>
        <v>D2C7211003267</v>
      </c>
    </row>
    <row r="3943" spans="1:5" x14ac:dyDescent="0.3">
      <c r="A3943" t="s">
        <v>4858</v>
      </c>
      <c r="B3943">
        <v>7211003308</v>
      </c>
      <c r="C3943" t="s">
        <v>871</v>
      </c>
      <c r="E3943" t="str">
        <f t="shared" si="61"/>
        <v>D2C7211003308</v>
      </c>
    </row>
    <row r="3944" spans="1:5" x14ac:dyDescent="0.3">
      <c r="A3944" t="s">
        <v>4858</v>
      </c>
      <c r="B3944">
        <v>7211003316</v>
      </c>
      <c r="C3944" t="s">
        <v>60</v>
      </c>
      <c r="E3944" t="str">
        <f t="shared" si="61"/>
        <v>D2C7211003316</v>
      </c>
    </row>
    <row r="3945" spans="1:5" x14ac:dyDescent="0.3">
      <c r="A3945" t="s">
        <v>4858</v>
      </c>
      <c r="B3945">
        <v>7211003740</v>
      </c>
      <c r="C3945" t="s">
        <v>42</v>
      </c>
      <c r="E3945" t="str">
        <f t="shared" si="61"/>
        <v>D2C7211003740</v>
      </c>
    </row>
    <row r="3946" spans="1:5" x14ac:dyDescent="0.3">
      <c r="A3946" t="s">
        <v>4858</v>
      </c>
      <c r="B3946">
        <v>7211003820</v>
      </c>
      <c r="C3946" t="s">
        <v>121</v>
      </c>
      <c r="E3946" t="str">
        <f t="shared" si="61"/>
        <v>D2C7211003820</v>
      </c>
    </row>
    <row r="3947" spans="1:5" x14ac:dyDescent="0.3">
      <c r="A3947" t="s">
        <v>4858</v>
      </c>
      <c r="B3947">
        <v>7211003938</v>
      </c>
      <c r="C3947" t="s">
        <v>73</v>
      </c>
      <c r="E3947" t="str">
        <f t="shared" si="61"/>
        <v>D2C7211003938</v>
      </c>
    </row>
    <row r="3948" spans="1:5" x14ac:dyDescent="0.3">
      <c r="A3948" t="s">
        <v>4858</v>
      </c>
      <c r="B3948">
        <v>7211003955</v>
      </c>
      <c r="C3948" t="s">
        <v>1244</v>
      </c>
      <c r="E3948" t="str">
        <f t="shared" si="61"/>
        <v>D2C7211003955</v>
      </c>
    </row>
    <row r="3949" spans="1:5" x14ac:dyDescent="0.3">
      <c r="A3949" t="s">
        <v>4858</v>
      </c>
      <c r="B3949">
        <v>7211003968</v>
      </c>
      <c r="C3949" t="s">
        <v>47</v>
      </c>
      <c r="E3949" t="str">
        <f t="shared" si="61"/>
        <v>D2C7211003968</v>
      </c>
    </row>
    <row r="3950" spans="1:5" x14ac:dyDescent="0.3">
      <c r="A3950" t="s">
        <v>4858</v>
      </c>
      <c r="B3950">
        <v>7211003983</v>
      </c>
      <c r="C3950" t="s">
        <v>1436</v>
      </c>
      <c r="E3950" t="str">
        <f t="shared" si="61"/>
        <v>D2C7211003983</v>
      </c>
    </row>
    <row r="3951" spans="1:5" x14ac:dyDescent="0.3">
      <c r="A3951" t="s">
        <v>4858</v>
      </c>
      <c r="B3951">
        <v>7211004054</v>
      </c>
      <c r="C3951" t="s">
        <v>58</v>
      </c>
      <c r="E3951" t="str">
        <f t="shared" si="61"/>
        <v>D2C7211004054</v>
      </c>
    </row>
    <row r="3952" spans="1:5" x14ac:dyDescent="0.3">
      <c r="A3952" t="s">
        <v>4858</v>
      </c>
      <c r="B3952">
        <v>7211004078</v>
      </c>
      <c r="C3952" t="s">
        <v>43</v>
      </c>
      <c r="E3952" t="str">
        <f t="shared" si="61"/>
        <v>D2C7211004078</v>
      </c>
    </row>
    <row r="3953" spans="1:5" x14ac:dyDescent="0.3">
      <c r="A3953" t="s">
        <v>4858</v>
      </c>
      <c r="B3953">
        <v>7211004244</v>
      </c>
      <c r="C3953" t="s">
        <v>61</v>
      </c>
      <c r="E3953" t="str">
        <f t="shared" si="61"/>
        <v>D2C7211004244</v>
      </c>
    </row>
    <row r="3954" spans="1:5" x14ac:dyDescent="0.3">
      <c r="A3954" t="s">
        <v>4858</v>
      </c>
      <c r="B3954">
        <v>7211004399</v>
      </c>
      <c r="C3954" t="s">
        <v>1711</v>
      </c>
      <c r="E3954" t="str">
        <f t="shared" si="61"/>
        <v>D2C7211004399</v>
      </c>
    </row>
    <row r="3955" spans="1:5" x14ac:dyDescent="0.3">
      <c r="A3955" t="s">
        <v>4858</v>
      </c>
      <c r="B3955">
        <v>7211004463</v>
      </c>
      <c r="C3955" t="s">
        <v>110</v>
      </c>
      <c r="E3955" t="str">
        <f t="shared" si="61"/>
        <v>D2C7211004463</v>
      </c>
    </row>
    <row r="3956" spans="1:5" x14ac:dyDescent="0.3">
      <c r="A3956" t="s">
        <v>4858</v>
      </c>
      <c r="B3956">
        <v>7211004672</v>
      </c>
      <c r="C3956" t="s">
        <v>363</v>
      </c>
      <c r="E3956" t="str">
        <f t="shared" si="61"/>
        <v>D2C7211004672</v>
      </c>
    </row>
    <row r="3957" spans="1:5" x14ac:dyDescent="0.3">
      <c r="A3957" t="s">
        <v>4858</v>
      </c>
      <c r="B3957">
        <v>7211004699</v>
      </c>
      <c r="C3957" t="s">
        <v>120</v>
      </c>
      <c r="E3957" t="str">
        <f t="shared" si="61"/>
        <v>D2C7211004699</v>
      </c>
    </row>
    <row r="3958" spans="1:5" x14ac:dyDescent="0.3">
      <c r="A3958" t="s">
        <v>4858</v>
      </c>
      <c r="B3958">
        <v>8000001814</v>
      </c>
      <c r="C3958" t="s">
        <v>515</v>
      </c>
      <c r="E3958" t="str">
        <f t="shared" si="61"/>
        <v>D2C8000001814</v>
      </c>
    </row>
    <row r="3959" spans="1:5" x14ac:dyDescent="0.3">
      <c r="A3959" t="s">
        <v>4858</v>
      </c>
      <c r="B3959">
        <v>8000035379</v>
      </c>
      <c r="C3959" t="s">
        <v>2210</v>
      </c>
      <c r="E3959" t="str">
        <f t="shared" si="61"/>
        <v>D2C8000035379</v>
      </c>
    </row>
    <row r="3960" spans="1:5" x14ac:dyDescent="0.3">
      <c r="A3960" t="s">
        <v>4858</v>
      </c>
      <c r="B3960">
        <v>8000035621</v>
      </c>
      <c r="C3960" t="s">
        <v>1365</v>
      </c>
      <c r="E3960" t="str">
        <f t="shared" si="61"/>
        <v>D2C8000035621</v>
      </c>
    </row>
    <row r="3961" spans="1:5" x14ac:dyDescent="0.3">
      <c r="A3961" t="s">
        <v>4858</v>
      </c>
      <c r="B3961">
        <v>8000036018</v>
      </c>
      <c r="C3961" t="s">
        <v>716</v>
      </c>
      <c r="E3961" t="str">
        <f t="shared" si="61"/>
        <v>D2C8000036018</v>
      </c>
    </row>
    <row r="3962" spans="1:5" x14ac:dyDescent="0.3">
      <c r="A3962" t="s">
        <v>4858</v>
      </c>
      <c r="B3962">
        <v>8000036062</v>
      </c>
      <c r="C3962" t="s">
        <v>1252</v>
      </c>
      <c r="E3962" t="str">
        <f t="shared" si="61"/>
        <v>D2C8000036062</v>
      </c>
    </row>
    <row r="3963" spans="1:5" x14ac:dyDescent="0.3">
      <c r="A3963" t="s">
        <v>4858</v>
      </c>
      <c r="B3963">
        <v>8000036182</v>
      </c>
      <c r="C3963" t="s">
        <v>80</v>
      </c>
      <c r="E3963" t="str">
        <f t="shared" si="61"/>
        <v>D2C8000036182</v>
      </c>
    </row>
    <row r="3964" spans="1:5" x14ac:dyDescent="0.3">
      <c r="A3964" t="s">
        <v>4858</v>
      </c>
      <c r="B3964">
        <v>8010000095</v>
      </c>
      <c r="C3964" t="s">
        <v>819</v>
      </c>
      <c r="E3964" t="str">
        <f t="shared" si="61"/>
        <v>D2C8010000095</v>
      </c>
    </row>
    <row r="3965" spans="1:5" x14ac:dyDescent="0.3">
      <c r="A3965" t="s">
        <v>4858</v>
      </c>
      <c r="B3965">
        <v>8010000152</v>
      </c>
      <c r="C3965" t="s">
        <v>1260</v>
      </c>
      <c r="E3965" t="str">
        <f t="shared" si="61"/>
        <v>D2C8010000152</v>
      </c>
    </row>
    <row r="3966" spans="1:5" x14ac:dyDescent="0.3">
      <c r="A3966" t="s">
        <v>4858</v>
      </c>
      <c r="B3966">
        <v>8010000431</v>
      </c>
      <c r="C3966" t="s">
        <v>79</v>
      </c>
      <c r="E3966" t="str">
        <f t="shared" si="61"/>
        <v>D2C8010000431</v>
      </c>
    </row>
    <row r="3967" spans="1:5" x14ac:dyDescent="0.3">
      <c r="A3967" t="s">
        <v>4858</v>
      </c>
      <c r="B3967">
        <v>8010000465</v>
      </c>
      <c r="C3967" t="s">
        <v>894</v>
      </c>
      <c r="E3967" t="str">
        <f t="shared" si="61"/>
        <v>D2C8010000465</v>
      </c>
    </row>
    <row r="3968" spans="1:5" x14ac:dyDescent="0.3">
      <c r="A3968" t="s">
        <v>4858</v>
      </c>
      <c r="B3968">
        <v>8010000985</v>
      </c>
      <c r="C3968" t="s">
        <v>76</v>
      </c>
      <c r="E3968" t="str">
        <f t="shared" si="61"/>
        <v>D2C8010000985</v>
      </c>
    </row>
    <row r="3969" spans="1:5" x14ac:dyDescent="0.3">
      <c r="A3969" t="s">
        <v>4858</v>
      </c>
      <c r="B3969">
        <v>8010000986</v>
      </c>
      <c r="C3969" t="s">
        <v>75</v>
      </c>
      <c r="E3969" t="str">
        <f t="shared" si="61"/>
        <v>D2C8010000986</v>
      </c>
    </row>
    <row r="3970" spans="1:5" x14ac:dyDescent="0.3">
      <c r="A3970" t="s">
        <v>4858</v>
      </c>
      <c r="B3970">
        <v>8010001045</v>
      </c>
      <c r="C3970" t="s">
        <v>1502</v>
      </c>
      <c r="E3970" t="str">
        <f t="shared" si="61"/>
        <v>D2C8010001045</v>
      </c>
    </row>
    <row r="3971" spans="1:5" x14ac:dyDescent="0.3">
      <c r="A3971" t="s">
        <v>4858</v>
      </c>
      <c r="B3971">
        <v>8010001069</v>
      </c>
      <c r="C3971" t="s">
        <v>3</v>
      </c>
      <c r="E3971" t="str">
        <f t="shared" ref="E3971:E4034" si="62">A3971&amp;B3971</f>
        <v>D2C8010001069</v>
      </c>
    </row>
    <row r="3972" spans="1:5" x14ac:dyDescent="0.3">
      <c r="A3972" t="s">
        <v>4858</v>
      </c>
      <c r="B3972">
        <v>9100004140</v>
      </c>
      <c r="C3972">
        <v>4090120</v>
      </c>
      <c r="E3972" t="str">
        <f t="shared" si="62"/>
        <v>D2C9100004140</v>
      </c>
    </row>
    <row r="3973" spans="1:5" x14ac:dyDescent="0.3">
      <c r="A3973" t="s">
        <v>4858</v>
      </c>
      <c r="B3973">
        <v>9100004179</v>
      </c>
      <c r="C3973">
        <v>4090122</v>
      </c>
      <c r="E3973" t="str">
        <f t="shared" si="62"/>
        <v>D2C9100004179</v>
      </c>
    </row>
    <row r="3974" spans="1:5" x14ac:dyDescent="0.3">
      <c r="A3974" t="s">
        <v>4858</v>
      </c>
      <c r="B3974">
        <v>9100004192</v>
      </c>
      <c r="C3974">
        <v>4090124</v>
      </c>
      <c r="E3974" t="str">
        <f t="shared" si="62"/>
        <v>D2C9100004192</v>
      </c>
    </row>
    <row r="3975" spans="1:5" x14ac:dyDescent="0.3">
      <c r="A3975" t="s">
        <v>4858</v>
      </c>
      <c r="B3975">
        <v>9100004193</v>
      </c>
      <c r="C3975">
        <v>4090126</v>
      </c>
      <c r="E3975" t="str">
        <f t="shared" si="62"/>
        <v>D2C9100004193</v>
      </c>
    </row>
    <row r="3976" spans="1:5" x14ac:dyDescent="0.3">
      <c r="A3976" t="s">
        <v>4858</v>
      </c>
      <c r="B3976">
        <v>9100004194</v>
      </c>
      <c r="C3976">
        <v>4090128</v>
      </c>
      <c r="E3976" t="str">
        <f t="shared" si="62"/>
        <v>D2C9100004194</v>
      </c>
    </row>
    <row r="3977" spans="1:5" x14ac:dyDescent="0.3">
      <c r="A3977" t="s">
        <v>4858</v>
      </c>
      <c r="B3977">
        <v>9100004195</v>
      </c>
      <c r="C3977">
        <v>4090130</v>
      </c>
      <c r="E3977" t="str">
        <f t="shared" si="62"/>
        <v>D2C9100004195</v>
      </c>
    </row>
    <row r="3978" spans="1:5" x14ac:dyDescent="0.3">
      <c r="A3978" t="s">
        <v>4858</v>
      </c>
      <c r="B3978">
        <v>9100036465</v>
      </c>
      <c r="C3978">
        <v>4192124</v>
      </c>
      <c r="E3978" t="str">
        <f t="shared" si="62"/>
        <v>D2C9100036465</v>
      </c>
    </row>
    <row r="3979" spans="1:5" x14ac:dyDescent="0.3">
      <c r="A3979" t="s">
        <v>4858</v>
      </c>
      <c r="B3979">
        <v>9100036466</v>
      </c>
      <c r="C3979">
        <v>4192126</v>
      </c>
      <c r="E3979" t="str">
        <f t="shared" si="62"/>
        <v>D2C9100036466</v>
      </c>
    </row>
    <row r="3980" spans="1:5" x14ac:dyDescent="0.3">
      <c r="A3980" t="s">
        <v>4858</v>
      </c>
      <c r="B3980">
        <v>9100036467</v>
      </c>
      <c r="C3980">
        <v>4192128</v>
      </c>
      <c r="E3980" t="str">
        <f t="shared" si="62"/>
        <v>D2C9100036467</v>
      </c>
    </row>
    <row r="3981" spans="1:5" x14ac:dyDescent="0.3">
      <c r="A3981" t="s">
        <v>4858</v>
      </c>
      <c r="B3981">
        <v>9100036468</v>
      </c>
      <c r="C3981">
        <v>4192525</v>
      </c>
      <c r="E3981" t="str">
        <f t="shared" si="62"/>
        <v>D2C9100036468</v>
      </c>
    </row>
    <row r="3982" spans="1:5" x14ac:dyDescent="0.3">
      <c r="A3982" t="s">
        <v>4858</v>
      </c>
      <c r="B3982">
        <v>9100036469</v>
      </c>
      <c r="C3982">
        <v>4192628</v>
      </c>
      <c r="E3982" t="str">
        <f t="shared" si="62"/>
        <v>D2C9100036469</v>
      </c>
    </row>
    <row r="3983" spans="1:5" x14ac:dyDescent="0.3">
      <c r="A3983" t="s">
        <v>4858</v>
      </c>
      <c r="B3983">
        <v>9100036470</v>
      </c>
      <c r="C3983">
        <v>4192224</v>
      </c>
      <c r="E3983" t="str">
        <f t="shared" si="62"/>
        <v>D2C9100036470</v>
      </c>
    </row>
    <row r="3984" spans="1:5" x14ac:dyDescent="0.3">
      <c r="A3984" t="s">
        <v>4858</v>
      </c>
      <c r="B3984">
        <v>9100046093</v>
      </c>
      <c r="C3984">
        <v>4211122</v>
      </c>
      <c r="E3984" t="str">
        <f t="shared" si="62"/>
        <v>D2C9100046093</v>
      </c>
    </row>
    <row r="3985" spans="1:5" x14ac:dyDescent="0.3">
      <c r="A3985" t="s">
        <v>4858</v>
      </c>
      <c r="B3985">
        <v>9100046094</v>
      </c>
      <c r="C3985">
        <v>4211124</v>
      </c>
      <c r="E3985" t="str">
        <f t="shared" si="62"/>
        <v>D2C9100046094</v>
      </c>
    </row>
    <row r="3986" spans="1:5" x14ac:dyDescent="0.3">
      <c r="A3986" t="s">
        <v>4858</v>
      </c>
      <c r="B3986">
        <v>9100046095</v>
      </c>
      <c r="C3986">
        <v>4211126</v>
      </c>
      <c r="E3986" t="str">
        <f t="shared" si="62"/>
        <v>D2C9100046095</v>
      </c>
    </row>
    <row r="3987" spans="1:5" x14ac:dyDescent="0.3">
      <c r="A3987" t="s">
        <v>4858</v>
      </c>
      <c r="B3987">
        <v>9100046096</v>
      </c>
      <c r="C3987">
        <v>4211128</v>
      </c>
      <c r="E3987" t="str">
        <f t="shared" si="62"/>
        <v>D2C9100046096</v>
      </c>
    </row>
    <row r="3988" spans="1:5" x14ac:dyDescent="0.3">
      <c r="A3988" t="s">
        <v>4858</v>
      </c>
      <c r="B3988">
        <v>9100046097</v>
      </c>
      <c r="C3988">
        <v>4211522</v>
      </c>
      <c r="E3988" t="str">
        <f t="shared" si="62"/>
        <v>D2C9100046097</v>
      </c>
    </row>
    <row r="3989" spans="1:5" x14ac:dyDescent="0.3">
      <c r="A3989" t="s">
        <v>4858</v>
      </c>
      <c r="B3989">
        <v>9100046098</v>
      </c>
      <c r="C3989">
        <v>4211628</v>
      </c>
      <c r="E3989" t="str">
        <f t="shared" si="62"/>
        <v>D2C9100046098</v>
      </c>
    </row>
    <row r="3990" spans="1:5" x14ac:dyDescent="0.3">
      <c r="A3990" t="s">
        <v>4858</v>
      </c>
      <c r="B3990">
        <v>9100046100</v>
      </c>
      <c r="C3990">
        <v>4211924</v>
      </c>
      <c r="E3990" t="str">
        <f t="shared" si="62"/>
        <v>D2C9100046100</v>
      </c>
    </row>
    <row r="3991" spans="1:5" x14ac:dyDescent="0.3">
      <c r="A3991" t="s">
        <v>4858</v>
      </c>
      <c r="B3991">
        <v>9100046102</v>
      </c>
      <c r="C3991">
        <v>4211928</v>
      </c>
      <c r="E3991" t="str">
        <f t="shared" si="62"/>
        <v>D2C9100046102</v>
      </c>
    </row>
    <row r="3992" spans="1:5" x14ac:dyDescent="0.3">
      <c r="A3992" t="s">
        <v>4858</v>
      </c>
      <c r="B3992">
        <v>2211400977</v>
      </c>
      <c r="C3992" t="s">
        <v>35</v>
      </c>
      <c r="E3992" t="str">
        <f t="shared" si="62"/>
        <v>D2C2211400977</v>
      </c>
    </row>
    <row r="3993" spans="1:5" x14ac:dyDescent="0.3">
      <c r="A3993" t="s">
        <v>4858</v>
      </c>
      <c r="B3993">
        <v>7211003827</v>
      </c>
      <c r="C3993" t="s">
        <v>81</v>
      </c>
      <c r="E3993" t="str">
        <f t="shared" si="62"/>
        <v>D2C7211003827</v>
      </c>
    </row>
    <row r="3994" spans="1:5" x14ac:dyDescent="0.3">
      <c r="A3994" t="s">
        <v>4858</v>
      </c>
      <c r="B3994">
        <v>2211401062</v>
      </c>
      <c r="C3994" t="s">
        <v>1596</v>
      </c>
      <c r="E3994" t="str">
        <f t="shared" si="62"/>
        <v>D2C2211401062</v>
      </c>
    </row>
    <row r="3995" spans="1:5" x14ac:dyDescent="0.3">
      <c r="A3995" t="s">
        <v>4858</v>
      </c>
      <c r="B3995">
        <v>2211400649</v>
      </c>
      <c r="C3995" t="s">
        <v>432</v>
      </c>
      <c r="E3995" t="str">
        <f t="shared" si="62"/>
        <v>D2C2211400649</v>
      </c>
    </row>
    <row r="3996" spans="1:5" x14ac:dyDescent="0.3">
      <c r="A3996" t="s">
        <v>4858</v>
      </c>
      <c r="B3996">
        <v>2100118829</v>
      </c>
      <c r="C3996" t="s">
        <v>427</v>
      </c>
      <c r="E3996" t="str">
        <f t="shared" si="62"/>
        <v>D2C2100118829</v>
      </c>
    </row>
    <row r="3997" spans="1:5" x14ac:dyDescent="0.3">
      <c r="A3997" t="s">
        <v>4858</v>
      </c>
      <c r="B3997">
        <v>1830008470</v>
      </c>
      <c r="C3997" t="s">
        <v>1637</v>
      </c>
      <c r="E3997" t="str">
        <f t="shared" si="62"/>
        <v>D2C1830008470</v>
      </c>
    </row>
    <row r="3998" spans="1:5" x14ac:dyDescent="0.3">
      <c r="A3998" t="s">
        <v>4858</v>
      </c>
      <c r="B3998">
        <v>2211400650</v>
      </c>
      <c r="C3998" t="s">
        <v>431</v>
      </c>
      <c r="E3998" t="str">
        <f t="shared" si="62"/>
        <v>D2C2211400650</v>
      </c>
    </row>
    <row r="3999" spans="1:5" x14ac:dyDescent="0.3">
      <c r="A3999" t="s">
        <v>4858</v>
      </c>
      <c r="B3999">
        <v>7211003399</v>
      </c>
      <c r="C3999" t="s">
        <v>50</v>
      </c>
      <c r="E3999" t="str">
        <f t="shared" si="62"/>
        <v>D2C7211003399</v>
      </c>
    </row>
    <row r="4000" spans="1:5" x14ac:dyDescent="0.3">
      <c r="A4000" t="s">
        <v>4858</v>
      </c>
      <c r="B4000">
        <v>7211003356</v>
      </c>
      <c r="C4000" t="s">
        <v>975</v>
      </c>
      <c r="E4000" t="str">
        <f t="shared" si="62"/>
        <v>D2C7211003356</v>
      </c>
    </row>
    <row r="4001" spans="1:5" x14ac:dyDescent="0.3">
      <c r="A4001" t="s">
        <v>4858</v>
      </c>
      <c r="B4001">
        <v>1600005144</v>
      </c>
      <c r="C4001" t="s">
        <v>1603</v>
      </c>
      <c r="E4001" t="str">
        <f t="shared" si="62"/>
        <v>D2C1600005144</v>
      </c>
    </row>
    <row r="4002" spans="1:5" x14ac:dyDescent="0.3">
      <c r="A4002" t="s">
        <v>4858</v>
      </c>
      <c r="B4002">
        <v>1830008496</v>
      </c>
      <c r="C4002" t="s">
        <v>1619</v>
      </c>
      <c r="E4002" t="str">
        <f t="shared" si="62"/>
        <v>D2C1830008496</v>
      </c>
    </row>
    <row r="4003" spans="1:5" x14ac:dyDescent="0.3">
      <c r="A4003" t="s">
        <v>4858</v>
      </c>
      <c r="B4003">
        <v>1830006532</v>
      </c>
      <c r="C4003" t="s">
        <v>888</v>
      </c>
      <c r="E4003" t="str">
        <f t="shared" si="62"/>
        <v>D2C1830006532</v>
      </c>
    </row>
    <row r="4004" spans="1:5" x14ac:dyDescent="0.3">
      <c r="A4004" t="s">
        <v>4858</v>
      </c>
      <c r="B4004">
        <v>7211002608</v>
      </c>
      <c r="C4004" t="s">
        <v>54</v>
      </c>
      <c r="E4004" t="str">
        <f t="shared" si="62"/>
        <v>D2C7211002608</v>
      </c>
    </row>
    <row r="4005" spans="1:5" x14ac:dyDescent="0.3">
      <c r="A4005" t="s">
        <v>4858</v>
      </c>
      <c r="B4005">
        <v>8010000864</v>
      </c>
      <c r="C4005" t="s">
        <v>3047</v>
      </c>
      <c r="E4005" t="str">
        <f t="shared" si="62"/>
        <v>D2C8010000864</v>
      </c>
    </row>
    <row r="4006" spans="1:5" x14ac:dyDescent="0.3">
      <c r="A4006" t="s">
        <v>4858</v>
      </c>
      <c r="B4006">
        <v>2211401036</v>
      </c>
      <c r="C4006" t="s">
        <v>1425</v>
      </c>
      <c r="E4006" t="str">
        <f t="shared" si="62"/>
        <v>D2C2211401036</v>
      </c>
    </row>
    <row r="4007" spans="1:5" x14ac:dyDescent="0.3">
      <c r="A4007" t="s">
        <v>4858</v>
      </c>
      <c r="B4007">
        <v>1830006540</v>
      </c>
      <c r="C4007" t="s">
        <v>890</v>
      </c>
      <c r="E4007" t="str">
        <f t="shared" si="62"/>
        <v>D2C1830006540</v>
      </c>
    </row>
    <row r="4008" spans="1:5" x14ac:dyDescent="0.3">
      <c r="A4008" t="s">
        <v>447</v>
      </c>
      <c r="B4008">
        <v>7211004435</v>
      </c>
      <c r="C4008" t="s">
        <v>413</v>
      </c>
      <c r="D4008" t="s">
        <v>1952</v>
      </c>
      <c r="E4008" t="str">
        <f t="shared" si="62"/>
        <v>Mechta7211004435</v>
      </c>
    </row>
    <row r="4009" spans="1:5" x14ac:dyDescent="0.3">
      <c r="A4009" t="s">
        <v>448</v>
      </c>
      <c r="B4009">
        <v>7211004435</v>
      </c>
      <c r="C4009" t="s">
        <v>413</v>
      </c>
      <c r="D4009" t="s">
        <v>413</v>
      </c>
      <c r="E4009" t="str">
        <f t="shared" si="62"/>
        <v>Evrika7211004435</v>
      </c>
    </row>
    <row r="4010" spans="1:5" x14ac:dyDescent="0.3">
      <c r="A4010" t="s">
        <v>445</v>
      </c>
      <c r="B4010">
        <v>7211004435</v>
      </c>
      <c r="C4010" t="s">
        <v>413</v>
      </c>
      <c r="D4010" t="s">
        <v>3494</v>
      </c>
      <c r="E4010" t="str">
        <f t="shared" si="62"/>
        <v>Technodom7211004435</v>
      </c>
    </row>
    <row r="4011" spans="1:5" x14ac:dyDescent="0.3">
      <c r="A4011" t="s">
        <v>445</v>
      </c>
      <c r="B4011">
        <v>2211400970</v>
      </c>
      <c r="C4011" t="s">
        <v>4876</v>
      </c>
      <c r="D4011" t="s">
        <v>4877</v>
      </c>
      <c r="E4011" t="str">
        <f t="shared" si="62"/>
        <v>Technodom2211400970</v>
      </c>
    </row>
    <row r="4012" spans="1:5" x14ac:dyDescent="0.3">
      <c r="A4012" t="s">
        <v>445</v>
      </c>
      <c r="B4012">
        <v>2211400972</v>
      </c>
      <c r="C4012" t="s">
        <v>4878</v>
      </c>
      <c r="D4012" t="s">
        <v>4879</v>
      </c>
      <c r="E4012" t="str">
        <f t="shared" si="62"/>
        <v>Technodom2211400972</v>
      </c>
    </row>
    <row r="4013" spans="1:5" x14ac:dyDescent="0.3">
      <c r="A4013" t="s">
        <v>4858</v>
      </c>
      <c r="B4013">
        <v>1500637540</v>
      </c>
      <c r="C4013" t="s">
        <v>859</v>
      </c>
      <c r="E4013" t="str">
        <f t="shared" si="62"/>
        <v>D2C1500637540</v>
      </c>
    </row>
    <row r="4014" spans="1:5" x14ac:dyDescent="0.3">
      <c r="A4014" t="s">
        <v>4858</v>
      </c>
      <c r="B4014">
        <v>1830008192</v>
      </c>
      <c r="C4014" t="s">
        <v>1359</v>
      </c>
      <c r="E4014" t="str">
        <f t="shared" si="62"/>
        <v>D2C1830008192</v>
      </c>
    </row>
    <row r="4015" spans="1:5" x14ac:dyDescent="0.3">
      <c r="A4015" t="s">
        <v>4858</v>
      </c>
      <c r="B4015">
        <v>2100093086</v>
      </c>
      <c r="C4015" t="s">
        <v>1579</v>
      </c>
      <c r="E4015" t="str">
        <f t="shared" si="62"/>
        <v>D2C2100093086</v>
      </c>
    </row>
    <row r="4016" spans="1:5" x14ac:dyDescent="0.3">
      <c r="A4016" t="s">
        <v>4858</v>
      </c>
      <c r="B4016">
        <v>2211401074</v>
      </c>
      <c r="C4016" t="s">
        <v>128</v>
      </c>
      <c r="E4016" t="str">
        <f t="shared" si="62"/>
        <v>D2C2211401074</v>
      </c>
    </row>
    <row r="4017" spans="1:5" x14ac:dyDescent="0.3">
      <c r="A4017" t="s">
        <v>447</v>
      </c>
      <c r="B4017">
        <v>1510001655</v>
      </c>
      <c r="C4017" t="s">
        <v>412</v>
      </c>
      <c r="D4017" t="s">
        <v>4880</v>
      </c>
      <c r="E4017" t="str">
        <f t="shared" si="62"/>
        <v>Mechta1510001655</v>
      </c>
    </row>
    <row r="4018" spans="1:5" x14ac:dyDescent="0.3">
      <c r="A4018" t="s">
        <v>447</v>
      </c>
      <c r="B4018">
        <v>1830008359</v>
      </c>
      <c r="C4018" t="s">
        <v>4881</v>
      </c>
      <c r="D4018" t="s">
        <v>4882</v>
      </c>
      <c r="E4018" t="str">
        <f t="shared" si="62"/>
        <v>Mechta1830008359</v>
      </c>
    </row>
    <row r="4019" spans="1:5" x14ac:dyDescent="0.3">
      <c r="A4019" t="s">
        <v>447</v>
      </c>
      <c r="B4019">
        <v>1830008759</v>
      </c>
      <c r="C4019" t="s">
        <v>4883</v>
      </c>
      <c r="D4019" t="s">
        <v>4884</v>
      </c>
      <c r="E4019" t="str">
        <f t="shared" si="62"/>
        <v>Mechta1830008759</v>
      </c>
    </row>
    <row r="4020" spans="1:5" x14ac:dyDescent="0.3">
      <c r="A4020" t="s">
        <v>447</v>
      </c>
      <c r="B4020">
        <v>1830005655</v>
      </c>
      <c r="C4020" t="s">
        <v>4531</v>
      </c>
      <c r="D4020" t="s">
        <v>4885</v>
      </c>
      <c r="E4020" t="str">
        <f t="shared" si="62"/>
        <v>Mechta1830005655</v>
      </c>
    </row>
    <row r="4021" spans="1:5" x14ac:dyDescent="0.3">
      <c r="A4021" t="s">
        <v>447</v>
      </c>
      <c r="B4021">
        <v>1830008765</v>
      </c>
      <c r="C4021" t="s">
        <v>441</v>
      </c>
      <c r="D4021" t="s">
        <v>4886</v>
      </c>
      <c r="E4021" t="str">
        <f t="shared" si="62"/>
        <v>Mechta1830008765</v>
      </c>
    </row>
    <row r="4022" spans="1:5" x14ac:dyDescent="0.3">
      <c r="A4022" t="s">
        <v>447</v>
      </c>
      <c r="B4022">
        <v>1830008521</v>
      </c>
      <c r="C4022" t="s">
        <v>1651</v>
      </c>
      <c r="D4022" t="s">
        <v>4887</v>
      </c>
      <c r="E4022" t="str">
        <f t="shared" si="62"/>
        <v>Mechta1830008521</v>
      </c>
    </row>
    <row r="4023" spans="1:5" x14ac:dyDescent="0.3">
      <c r="A4023" t="s">
        <v>447</v>
      </c>
      <c r="B4023">
        <v>1830008526</v>
      </c>
      <c r="C4023" t="s">
        <v>358</v>
      </c>
      <c r="D4023" t="s">
        <v>4888</v>
      </c>
      <c r="E4023" t="str">
        <f t="shared" si="62"/>
        <v>Mechta1830008526</v>
      </c>
    </row>
    <row r="4024" spans="1:5" x14ac:dyDescent="0.3">
      <c r="A4024" t="s">
        <v>4017</v>
      </c>
      <c r="B4024">
        <v>3100514514</v>
      </c>
      <c r="C4024">
        <v>514514</v>
      </c>
      <c r="D4024" t="s">
        <v>4889</v>
      </c>
      <c r="E4024" t="str">
        <f t="shared" si="62"/>
        <v>DNS3100514514</v>
      </c>
    </row>
    <row r="4025" spans="1:5" x14ac:dyDescent="0.3">
      <c r="A4025" t="s">
        <v>4017</v>
      </c>
      <c r="B4025">
        <v>3100514515</v>
      </c>
      <c r="C4025">
        <v>514515</v>
      </c>
      <c r="D4025" t="s">
        <v>4890</v>
      </c>
      <c r="E4025" t="str">
        <f t="shared" si="62"/>
        <v>DNS3100514515</v>
      </c>
    </row>
    <row r="4026" spans="1:5" x14ac:dyDescent="0.3">
      <c r="A4026" t="s">
        <v>4017</v>
      </c>
      <c r="B4026">
        <v>3100514516</v>
      </c>
      <c r="C4026">
        <v>514516</v>
      </c>
      <c r="D4026" t="s">
        <v>4891</v>
      </c>
      <c r="E4026" t="str">
        <f t="shared" si="62"/>
        <v>DNS3100514516</v>
      </c>
    </row>
    <row r="4027" spans="1:5" x14ac:dyDescent="0.3">
      <c r="A4027" t="s">
        <v>4017</v>
      </c>
      <c r="B4027">
        <v>3100514517</v>
      </c>
      <c r="C4027">
        <v>514517</v>
      </c>
      <c r="D4027" t="s">
        <v>4892</v>
      </c>
      <c r="E4027" t="str">
        <f t="shared" si="62"/>
        <v>DNS3100514517</v>
      </c>
    </row>
    <row r="4028" spans="1:5" x14ac:dyDescent="0.3">
      <c r="A4028" t="s">
        <v>4017</v>
      </c>
      <c r="B4028">
        <v>3100513356</v>
      </c>
      <c r="C4028">
        <v>513356</v>
      </c>
      <c r="D4028" t="s">
        <v>4893</v>
      </c>
      <c r="E4028" t="str">
        <f t="shared" si="62"/>
        <v>DNS3100513356</v>
      </c>
    </row>
    <row r="4029" spans="1:5" x14ac:dyDescent="0.3">
      <c r="A4029" t="s">
        <v>4017</v>
      </c>
      <c r="B4029">
        <v>3100513357</v>
      </c>
      <c r="C4029">
        <v>513357</v>
      </c>
      <c r="D4029" t="s">
        <v>4894</v>
      </c>
      <c r="E4029" t="str">
        <f t="shared" si="62"/>
        <v>DNS3100513357</v>
      </c>
    </row>
    <row r="4030" spans="1:5" x14ac:dyDescent="0.3">
      <c r="A4030" t="s">
        <v>4017</v>
      </c>
      <c r="B4030">
        <v>3100513359</v>
      </c>
      <c r="C4030">
        <v>513359</v>
      </c>
      <c r="D4030" t="s">
        <v>4895</v>
      </c>
      <c r="E4030" t="str">
        <f t="shared" si="62"/>
        <v>DNS3100513359</v>
      </c>
    </row>
    <row r="4031" spans="1:5" x14ac:dyDescent="0.3">
      <c r="A4031" t="s">
        <v>4017</v>
      </c>
      <c r="B4031">
        <v>3100513360</v>
      </c>
      <c r="C4031">
        <v>513360</v>
      </c>
      <c r="D4031" t="s">
        <v>4896</v>
      </c>
      <c r="E4031" t="str">
        <f t="shared" si="62"/>
        <v>DNS3100513360</v>
      </c>
    </row>
    <row r="4032" spans="1:5" x14ac:dyDescent="0.3">
      <c r="A4032" t="s">
        <v>4017</v>
      </c>
      <c r="B4032">
        <v>3100513361</v>
      </c>
      <c r="C4032">
        <v>513361</v>
      </c>
      <c r="D4032" t="s">
        <v>4897</v>
      </c>
      <c r="E4032" t="str">
        <f t="shared" si="62"/>
        <v>DNS3100513361</v>
      </c>
    </row>
    <row r="4033" spans="1:5" x14ac:dyDescent="0.3">
      <c r="A4033" t="s">
        <v>4017</v>
      </c>
      <c r="B4033">
        <v>3100513548</v>
      </c>
      <c r="C4033">
        <v>513548</v>
      </c>
      <c r="D4033" t="s">
        <v>4898</v>
      </c>
      <c r="E4033" t="str">
        <f t="shared" si="62"/>
        <v>DNS3100513548</v>
      </c>
    </row>
    <row r="4034" spans="1:5" x14ac:dyDescent="0.3">
      <c r="A4034" t="s">
        <v>4017</v>
      </c>
      <c r="B4034">
        <v>3100513550</v>
      </c>
      <c r="C4034">
        <v>513550</v>
      </c>
      <c r="D4034" t="s">
        <v>4899</v>
      </c>
      <c r="E4034" t="str">
        <f t="shared" si="62"/>
        <v>DNS3100513550</v>
      </c>
    </row>
    <row r="4035" spans="1:5" x14ac:dyDescent="0.3">
      <c r="A4035" t="s">
        <v>4017</v>
      </c>
      <c r="B4035">
        <v>3100513552</v>
      </c>
      <c r="C4035">
        <v>513552</v>
      </c>
      <c r="D4035" t="s">
        <v>4900</v>
      </c>
      <c r="E4035" t="str">
        <f t="shared" ref="E4035:E4098" si="63">A4035&amp;B4035</f>
        <v>DNS3100513552</v>
      </c>
    </row>
    <row r="4036" spans="1:5" x14ac:dyDescent="0.3">
      <c r="A4036" t="s">
        <v>4017</v>
      </c>
      <c r="B4036">
        <v>3100515108</v>
      </c>
      <c r="C4036">
        <v>515108</v>
      </c>
      <c r="D4036" t="s">
        <v>4901</v>
      </c>
      <c r="E4036" t="str">
        <f t="shared" si="63"/>
        <v>DNS3100515108</v>
      </c>
    </row>
    <row r="4037" spans="1:5" x14ac:dyDescent="0.3">
      <c r="A4037" t="s">
        <v>4017</v>
      </c>
      <c r="B4037">
        <v>3100515615</v>
      </c>
      <c r="C4037">
        <v>515615</v>
      </c>
      <c r="D4037" t="s">
        <v>4902</v>
      </c>
      <c r="E4037" t="str">
        <f t="shared" si="63"/>
        <v>DNS3100515615</v>
      </c>
    </row>
    <row r="4038" spans="1:5" x14ac:dyDescent="0.3">
      <c r="A4038" t="s">
        <v>4017</v>
      </c>
      <c r="B4038">
        <v>3100515616</v>
      </c>
      <c r="C4038">
        <v>515616</v>
      </c>
      <c r="D4038" t="s">
        <v>4903</v>
      </c>
      <c r="E4038" t="str">
        <f t="shared" si="63"/>
        <v>DNS3100515616</v>
      </c>
    </row>
    <row r="4039" spans="1:5" x14ac:dyDescent="0.3">
      <c r="A4039" t="s">
        <v>4017</v>
      </c>
      <c r="B4039">
        <v>3100515617</v>
      </c>
      <c r="C4039">
        <v>515617</v>
      </c>
      <c r="D4039" t="s">
        <v>4904</v>
      </c>
      <c r="E4039" t="str">
        <f t="shared" si="63"/>
        <v>DNS3100515617</v>
      </c>
    </row>
    <row r="4040" spans="1:5" x14ac:dyDescent="0.3">
      <c r="A4040" t="s">
        <v>4017</v>
      </c>
      <c r="B4040">
        <v>3100515618</v>
      </c>
      <c r="C4040">
        <v>515618</v>
      </c>
      <c r="D4040" t="s">
        <v>4905</v>
      </c>
      <c r="E4040" t="str">
        <f t="shared" si="63"/>
        <v>DNS3100515618</v>
      </c>
    </row>
    <row r="4041" spans="1:5" x14ac:dyDescent="0.3">
      <c r="A4041" t="s">
        <v>4017</v>
      </c>
      <c r="B4041">
        <v>3100515682</v>
      </c>
      <c r="C4041">
        <v>515682</v>
      </c>
      <c r="D4041" t="s">
        <v>4906</v>
      </c>
      <c r="E4041" t="str">
        <f t="shared" si="63"/>
        <v>DNS3100515682</v>
      </c>
    </row>
    <row r="4042" spans="1:5" x14ac:dyDescent="0.3">
      <c r="A4042" t="s">
        <v>4017</v>
      </c>
      <c r="B4042">
        <v>1830008193</v>
      </c>
      <c r="C4042" t="s">
        <v>1361</v>
      </c>
      <c r="D4042" t="s">
        <v>4907</v>
      </c>
      <c r="E4042" t="str">
        <f t="shared" si="63"/>
        <v>DNS1830008193</v>
      </c>
    </row>
    <row r="4043" spans="1:5" x14ac:dyDescent="0.3">
      <c r="A4043" t="s">
        <v>4017</v>
      </c>
      <c r="B4043">
        <v>1510002136</v>
      </c>
      <c r="C4043" t="s">
        <v>1590</v>
      </c>
      <c r="D4043" t="s">
        <v>4908</v>
      </c>
      <c r="E4043" t="str">
        <f t="shared" si="63"/>
        <v>DNS1510002136</v>
      </c>
    </row>
    <row r="4044" spans="1:5" x14ac:dyDescent="0.3">
      <c r="A4044" t="s">
        <v>4858</v>
      </c>
      <c r="B4044">
        <v>1110030485</v>
      </c>
      <c r="C4044" t="s">
        <v>835</v>
      </c>
      <c r="D4044">
        <v>1110030485</v>
      </c>
      <c r="E4044" t="str">
        <f t="shared" si="63"/>
        <v>D2C1110030485</v>
      </c>
    </row>
    <row r="4045" spans="1:5" x14ac:dyDescent="0.3">
      <c r="A4045" t="s">
        <v>4858</v>
      </c>
      <c r="B4045">
        <v>1110030532</v>
      </c>
      <c r="C4045" t="s">
        <v>1617</v>
      </c>
      <c r="D4045">
        <v>1110030532</v>
      </c>
      <c r="E4045" t="str">
        <f t="shared" si="63"/>
        <v>D2C1110030532</v>
      </c>
    </row>
    <row r="4046" spans="1:5" x14ac:dyDescent="0.3">
      <c r="A4046" t="s">
        <v>4858</v>
      </c>
      <c r="B4046">
        <v>1110031221</v>
      </c>
      <c r="C4046" t="s">
        <v>929</v>
      </c>
      <c r="D4046">
        <v>1110031221</v>
      </c>
      <c r="E4046" t="str">
        <f t="shared" si="63"/>
        <v>D2C1110031221</v>
      </c>
    </row>
    <row r="4047" spans="1:5" x14ac:dyDescent="0.3">
      <c r="A4047" t="s">
        <v>4858</v>
      </c>
      <c r="B4047">
        <v>1500635821</v>
      </c>
      <c r="C4047" t="s">
        <v>1373</v>
      </c>
      <c r="D4047">
        <v>1500635821</v>
      </c>
      <c r="E4047" t="str">
        <f t="shared" si="63"/>
        <v>D2C1500635821</v>
      </c>
    </row>
    <row r="4048" spans="1:5" x14ac:dyDescent="0.3">
      <c r="A4048" t="s">
        <v>4858</v>
      </c>
      <c r="B4048">
        <v>1500636319</v>
      </c>
      <c r="C4048" t="s">
        <v>505</v>
      </c>
      <c r="D4048">
        <v>1500636319</v>
      </c>
      <c r="E4048" t="str">
        <f t="shared" si="63"/>
        <v>D2C1500636319</v>
      </c>
    </row>
    <row r="4049" spans="1:5" x14ac:dyDescent="0.3">
      <c r="A4049" t="s">
        <v>4858</v>
      </c>
      <c r="B4049">
        <v>1500868890</v>
      </c>
      <c r="C4049" t="s">
        <v>1343</v>
      </c>
      <c r="D4049">
        <v>1500868890</v>
      </c>
      <c r="E4049" t="str">
        <f t="shared" si="63"/>
        <v>D2C1500868890</v>
      </c>
    </row>
    <row r="4050" spans="1:5" x14ac:dyDescent="0.3">
      <c r="A4050" t="s">
        <v>4858</v>
      </c>
      <c r="B4050">
        <v>1510001153</v>
      </c>
      <c r="C4050" t="s">
        <v>68</v>
      </c>
      <c r="D4050">
        <v>1510001153</v>
      </c>
      <c r="E4050" t="str">
        <f t="shared" si="63"/>
        <v>D2C1510001153</v>
      </c>
    </row>
    <row r="4051" spans="1:5" x14ac:dyDescent="0.3">
      <c r="A4051" t="s">
        <v>4858</v>
      </c>
      <c r="B4051">
        <v>1510001318</v>
      </c>
      <c r="C4051" t="s">
        <v>67</v>
      </c>
      <c r="D4051">
        <v>1510001318</v>
      </c>
      <c r="E4051" t="str">
        <f t="shared" si="63"/>
        <v>D2C1510001318</v>
      </c>
    </row>
    <row r="4052" spans="1:5" x14ac:dyDescent="0.3">
      <c r="A4052" t="s">
        <v>4858</v>
      </c>
      <c r="B4052">
        <v>1510001319</v>
      </c>
      <c r="C4052" t="s">
        <v>69</v>
      </c>
      <c r="D4052">
        <v>1510001319</v>
      </c>
      <c r="E4052" t="str">
        <f t="shared" si="63"/>
        <v>D2C1510001319</v>
      </c>
    </row>
    <row r="4053" spans="1:5" x14ac:dyDescent="0.3">
      <c r="A4053" t="s">
        <v>4858</v>
      </c>
      <c r="B4053">
        <v>1510001655</v>
      </c>
      <c r="C4053" t="s">
        <v>412</v>
      </c>
      <c r="D4053">
        <v>1510001655</v>
      </c>
      <c r="E4053" t="str">
        <f t="shared" si="63"/>
        <v>D2C1510001655</v>
      </c>
    </row>
    <row r="4054" spans="1:5" x14ac:dyDescent="0.3">
      <c r="A4054" t="s">
        <v>4858</v>
      </c>
      <c r="B4054">
        <v>1510001848</v>
      </c>
      <c r="C4054" t="s">
        <v>1898</v>
      </c>
      <c r="D4054">
        <v>1510001848</v>
      </c>
      <c r="E4054" t="str">
        <f t="shared" si="63"/>
        <v>D2C1510001848</v>
      </c>
    </row>
    <row r="4055" spans="1:5" x14ac:dyDescent="0.3">
      <c r="A4055" t="s">
        <v>4858</v>
      </c>
      <c r="B4055">
        <v>1510001881</v>
      </c>
      <c r="C4055" t="s">
        <v>1330</v>
      </c>
      <c r="D4055">
        <v>1510001881</v>
      </c>
      <c r="E4055" t="str">
        <f t="shared" si="63"/>
        <v>D2C1510001881</v>
      </c>
    </row>
    <row r="4056" spans="1:5" x14ac:dyDescent="0.3">
      <c r="A4056" t="s">
        <v>4858</v>
      </c>
      <c r="B4056">
        <v>1510001898</v>
      </c>
      <c r="C4056" t="s">
        <v>1240</v>
      </c>
      <c r="D4056">
        <v>1510001898</v>
      </c>
      <c r="E4056" t="str">
        <f t="shared" si="63"/>
        <v>D2C1510001898</v>
      </c>
    </row>
    <row r="4057" spans="1:5" x14ac:dyDescent="0.3">
      <c r="A4057" t="s">
        <v>4858</v>
      </c>
      <c r="B4057">
        <v>1510001904</v>
      </c>
      <c r="C4057" t="s">
        <v>3409</v>
      </c>
      <c r="D4057">
        <v>1510001904</v>
      </c>
      <c r="E4057" t="str">
        <f t="shared" si="63"/>
        <v>D2C1510001904</v>
      </c>
    </row>
    <row r="4058" spans="1:5" x14ac:dyDescent="0.3">
      <c r="A4058" t="s">
        <v>4858</v>
      </c>
      <c r="B4058">
        <v>1510001937</v>
      </c>
      <c r="C4058" t="s">
        <v>1655</v>
      </c>
      <c r="D4058">
        <v>1510001937</v>
      </c>
      <c r="E4058" t="str">
        <f t="shared" si="63"/>
        <v>D2C1510001937</v>
      </c>
    </row>
    <row r="4059" spans="1:5" x14ac:dyDescent="0.3">
      <c r="A4059" t="s">
        <v>4858</v>
      </c>
      <c r="B4059">
        <v>1510002143</v>
      </c>
      <c r="C4059" t="s">
        <v>1600</v>
      </c>
      <c r="D4059">
        <v>1510002143</v>
      </c>
      <c r="E4059" t="str">
        <f t="shared" si="63"/>
        <v>D2C1510002143</v>
      </c>
    </row>
    <row r="4060" spans="1:5" x14ac:dyDescent="0.3">
      <c r="A4060" t="s">
        <v>4858</v>
      </c>
      <c r="B4060">
        <v>1510002155</v>
      </c>
      <c r="C4060" t="s">
        <v>417</v>
      </c>
      <c r="D4060">
        <v>1510002155</v>
      </c>
      <c r="E4060" t="str">
        <f t="shared" si="63"/>
        <v>D2C1510002155</v>
      </c>
    </row>
    <row r="4061" spans="1:5" x14ac:dyDescent="0.3">
      <c r="A4061" t="s">
        <v>4858</v>
      </c>
      <c r="B4061">
        <v>1600005409</v>
      </c>
      <c r="C4061" t="s">
        <v>2320</v>
      </c>
      <c r="D4061">
        <v>1600005409</v>
      </c>
      <c r="E4061" t="str">
        <f t="shared" si="63"/>
        <v>D2C1600005409</v>
      </c>
    </row>
    <row r="4062" spans="1:5" x14ac:dyDescent="0.3">
      <c r="A4062" t="s">
        <v>4858</v>
      </c>
      <c r="B4062">
        <v>1830003934</v>
      </c>
      <c r="C4062" t="s">
        <v>921</v>
      </c>
      <c r="D4062">
        <v>1830003934</v>
      </c>
      <c r="E4062" t="str">
        <f t="shared" si="63"/>
        <v>D2C1830003934</v>
      </c>
    </row>
    <row r="4063" spans="1:5" x14ac:dyDescent="0.3">
      <c r="A4063" t="s">
        <v>4858</v>
      </c>
      <c r="B4063">
        <v>1830005000</v>
      </c>
      <c r="C4063" t="s">
        <v>1268</v>
      </c>
      <c r="D4063">
        <v>1830005000</v>
      </c>
      <c r="E4063" t="str">
        <f t="shared" si="63"/>
        <v>D2C1830005000</v>
      </c>
    </row>
    <row r="4064" spans="1:5" x14ac:dyDescent="0.3">
      <c r="A4064" t="s">
        <v>4858</v>
      </c>
      <c r="B4064">
        <v>1830005220</v>
      </c>
      <c r="C4064" t="s">
        <v>511</v>
      </c>
      <c r="D4064">
        <v>1830005220</v>
      </c>
      <c r="E4064" t="str">
        <f t="shared" si="63"/>
        <v>D2C1830005220</v>
      </c>
    </row>
    <row r="4065" spans="1:5" x14ac:dyDescent="0.3">
      <c r="A4065" t="s">
        <v>4858</v>
      </c>
      <c r="B4065">
        <v>1830005290</v>
      </c>
      <c r="C4065" t="s">
        <v>509</v>
      </c>
      <c r="D4065">
        <v>1830005290</v>
      </c>
      <c r="E4065" t="str">
        <f t="shared" si="63"/>
        <v>D2C1830005290</v>
      </c>
    </row>
    <row r="4066" spans="1:5" x14ac:dyDescent="0.3">
      <c r="A4066" t="s">
        <v>4858</v>
      </c>
      <c r="B4066">
        <v>1830006274</v>
      </c>
      <c r="C4066" t="s">
        <v>923</v>
      </c>
      <c r="D4066">
        <v>1830006274</v>
      </c>
      <c r="E4066" t="str">
        <f t="shared" si="63"/>
        <v>D2C1830006274</v>
      </c>
    </row>
    <row r="4067" spans="1:5" x14ac:dyDescent="0.3">
      <c r="A4067" t="s">
        <v>4858</v>
      </c>
      <c r="B4067">
        <v>1830006595</v>
      </c>
      <c r="C4067" t="s">
        <v>1417</v>
      </c>
      <c r="D4067">
        <v>1830006595</v>
      </c>
      <c r="E4067" t="str">
        <f t="shared" si="63"/>
        <v>D2C1830006595</v>
      </c>
    </row>
    <row r="4068" spans="1:5" x14ac:dyDescent="0.3">
      <c r="A4068" t="s">
        <v>4858</v>
      </c>
      <c r="B4068">
        <v>1830006695</v>
      </c>
      <c r="C4068" t="s">
        <v>1896</v>
      </c>
      <c r="D4068">
        <v>1830006695</v>
      </c>
      <c r="E4068" t="str">
        <f t="shared" si="63"/>
        <v>D2C1830006695</v>
      </c>
    </row>
    <row r="4069" spans="1:5" x14ac:dyDescent="0.3">
      <c r="A4069" t="s">
        <v>4858</v>
      </c>
      <c r="B4069">
        <v>1830006775</v>
      </c>
      <c r="C4069" t="s">
        <v>2701</v>
      </c>
      <c r="D4069">
        <v>1830006775</v>
      </c>
      <c r="E4069" t="str">
        <f t="shared" si="63"/>
        <v>D2C1830006775</v>
      </c>
    </row>
    <row r="4070" spans="1:5" x14ac:dyDescent="0.3">
      <c r="A4070" t="s">
        <v>4858</v>
      </c>
      <c r="B4070">
        <v>1830006984</v>
      </c>
      <c r="C4070" t="s">
        <v>869</v>
      </c>
      <c r="D4070">
        <v>1830006984</v>
      </c>
      <c r="E4070" t="str">
        <f t="shared" si="63"/>
        <v>D2C1830006984</v>
      </c>
    </row>
    <row r="4071" spans="1:5" x14ac:dyDescent="0.3">
      <c r="A4071" t="s">
        <v>4858</v>
      </c>
      <c r="B4071">
        <v>1830007057</v>
      </c>
      <c r="C4071" t="s">
        <v>4340</v>
      </c>
      <c r="D4071">
        <v>1830007057</v>
      </c>
      <c r="E4071" t="str">
        <f t="shared" si="63"/>
        <v>D2C1830007057</v>
      </c>
    </row>
    <row r="4072" spans="1:5" x14ac:dyDescent="0.3">
      <c r="A4072" t="s">
        <v>4858</v>
      </c>
      <c r="B4072">
        <v>1830007105</v>
      </c>
      <c r="C4072" t="s">
        <v>355</v>
      </c>
      <c r="D4072">
        <v>1830007105</v>
      </c>
      <c r="E4072" t="str">
        <f t="shared" si="63"/>
        <v>D2C1830007105</v>
      </c>
    </row>
    <row r="4073" spans="1:5" x14ac:dyDescent="0.3">
      <c r="A4073" t="s">
        <v>4858</v>
      </c>
      <c r="B4073">
        <v>1830007142</v>
      </c>
      <c r="C4073" t="s">
        <v>2286</v>
      </c>
      <c r="D4073">
        <v>1830007142</v>
      </c>
      <c r="E4073" t="str">
        <f t="shared" si="63"/>
        <v>D2C1830007142</v>
      </c>
    </row>
    <row r="4074" spans="1:5" x14ac:dyDescent="0.3">
      <c r="A4074" t="s">
        <v>4858</v>
      </c>
      <c r="B4074">
        <v>1830007156</v>
      </c>
      <c r="C4074" t="s">
        <v>411</v>
      </c>
      <c r="D4074">
        <v>1830007156</v>
      </c>
      <c r="E4074" t="str">
        <f t="shared" si="63"/>
        <v>D2C1830007156</v>
      </c>
    </row>
    <row r="4075" spans="1:5" x14ac:dyDescent="0.3">
      <c r="A4075" t="s">
        <v>4858</v>
      </c>
      <c r="B4075">
        <v>1830007160</v>
      </c>
      <c r="C4075" t="s">
        <v>1096</v>
      </c>
      <c r="D4075">
        <v>1830007160</v>
      </c>
      <c r="E4075" t="str">
        <f t="shared" si="63"/>
        <v>D2C1830007160</v>
      </c>
    </row>
    <row r="4076" spans="1:5" x14ac:dyDescent="0.3">
      <c r="A4076" t="s">
        <v>4858</v>
      </c>
      <c r="B4076">
        <v>1830007269</v>
      </c>
      <c r="C4076" t="s">
        <v>1092</v>
      </c>
      <c r="D4076">
        <v>1830007269</v>
      </c>
      <c r="E4076" t="str">
        <f t="shared" si="63"/>
        <v>D2C1830007269</v>
      </c>
    </row>
    <row r="4077" spans="1:5" x14ac:dyDescent="0.3">
      <c r="A4077" t="s">
        <v>4858</v>
      </c>
      <c r="B4077">
        <v>1830007359</v>
      </c>
      <c r="C4077" t="s">
        <v>19</v>
      </c>
      <c r="D4077">
        <v>1830007359</v>
      </c>
      <c r="E4077" t="str">
        <f t="shared" si="63"/>
        <v>D2C1830007359</v>
      </c>
    </row>
    <row r="4078" spans="1:5" x14ac:dyDescent="0.3">
      <c r="A4078" t="s">
        <v>4858</v>
      </c>
      <c r="B4078">
        <v>1830007520</v>
      </c>
      <c r="C4078" t="s">
        <v>7</v>
      </c>
      <c r="D4078">
        <v>1830007520</v>
      </c>
      <c r="E4078" t="str">
        <f t="shared" si="63"/>
        <v>D2C1830007520</v>
      </c>
    </row>
    <row r="4079" spans="1:5" x14ac:dyDescent="0.3">
      <c r="A4079" t="s">
        <v>4858</v>
      </c>
      <c r="B4079">
        <v>1830007550</v>
      </c>
      <c r="C4079" t="s">
        <v>4773</v>
      </c>
      <c r="D4079">
        <v>1830007550</v>
      </c>
      <c r="E4079" t="str">
        <f t="shared" si="63"/>
        <v>D2C1830007550</v>
      </c>
    </row>
    <row r="4080" spans="1:5" x14ac:dyDescent="0.3">
      <c r="A4080" t="s">
        <v>4858</v>
      </c>
      <c r="B4080">
        <v>1830007565</v>
      </c>
      <c r="C4080" t="s">
        <v>1170</v>
      </c>
      <c r="D4080">
        <v>1830007565</v>
      </c>
      <c r="E4080" t="str">
        <f t="shared" si="63"/>
        <v>D2C1830007565</v>
      </c>
    </row>
    <row r="4081" spans="1:5" x14ac:dyDescent="0.3">
      <c r="A4081" t="s">
        <v>4858</v>
      </c>
      <c r="B4081">
        <v>1830007569</v>
      </c>
      <c r="C4081" t="s">
        <v>1612</v>
      </c>
      <c r="D4081">
        <v>1830007569</v>
      </c>
      <c r="E4081" t="str">
        <f t="shared" si="63"/>
        <v>D2C1830007569</v>
      </c>
    </row>
    <row r="4082" spans="1:5" x14ac:dyDescent="0.3">
      <c r="A4082" t="s">
        <v>4858</v>
      </c>
      <c r="B4082">
        <v>1830007584</v>
      </c>
      <c r="C4082" t="s">
        <v>1029</v>
      </c>
      <c r="D4082">
        <v>1830007584</v>
      </c>
      <c r="E4082" t="str">
        <f t="shared" si="63"/>
        <v>D2C1830007584</v>
      </c>
    </row>
    <row r="4083" spans="1:5" x14ac:dyDescent="0.3">
      <c r="A4083" t="s">
        <v>4858</v>
      </c>
      <c r="B4083">
        <v>1830007629</v>
      </c>
      <c r="C4083" t="s">
        <v>1073</v>
      </c>
      <c r="D4083">
        <v>1830007629</v>
      </c>
      <c r="E4083" t="str">
        <f t="shared" si="63"/>
        <v>D2C1830007629</v>
      </c>
    </row>
    <row r="4084" spans="1:5" x14ac:dyDescent="0.3">
      <c r="A4084" t="s">
        <v>4858</v>
      </c>
      <c r="B4084">
        <v>1830007634</v>
      </c>
      <c r="C4084" t="s">
        <v>2202</v>
      </c>
      <c r="D4084">
        <v>1830007634</v>
      </c>
      <c r="E4084" t="str">
        <f t="shared" si="63"/>
        <v>D2C1830007634</v>
      </c>
    </row>
    <row r="4085" spans="1:5" x14ac:dyDescent="0.3">
      <c r="A4085" t="s">
        <v>4858</v>
      </c>
      <c r="B4085">
        <v>1830007642</v>
      </c>
      <c r="C4085" t="s">
        <v>1155</v>
      </c>
      <c r="D4085">
        <v>1830007642</v>
      </c>
      <c r="E4085" t="str">
        <f t="shared" si="63"/>
        <v>D2C1830007642</v>
      </c>
    </row>
    <row r="4086" spans="1:5" x14ac:dyDescent="0.3">
      <c r="A4086" t="s">
        <v>4858</v>
      </c>
      <c r="B4086">
        <v>1830007679</v>
      </c>
      <c r="C4086" t="s">
        <v>1246</v>
      </c>
      <c r="D4086">
        <v>1830007679</v>
      </c>
      <c r="E4086" t="str">
        <f t="shared" si="63"/>
        <v>D2C1830007679</v>
      </c>
    </row>
    <row r="4087" spans="1:5" x14ac:dyDescent="0.3">
      <c r="A4087" t="s">
        <v>4858</v>
      </c>
      <c r="B4087">
        <v>1830007686</v>
      </c>
      <c r="C4087" t="s">
        <v>3918</v>
      </c>
      <c r="D4087">
        <v>1830007686</v>
      </c>
      <c r="E4087" t="str">
        <f t="shared" si="63"/>
        <v>D2C1830007686</v>
      </c>
    </row>
    <row r="4088" spans="1:5" x14ac:dyDescent="0.3">
      <c r="A4088" t="s">
        <v>4858</v>
      </c>
      <c r="B4088">
        <v>1830007715</v>
      </c>
      <c r="C4088" t="s">
        <v>409</v>
      </c>
      <c r="D4088">
        <v>1830007715</v>
      </c>
      <c r="E4088" t="str">
        <f t="shared" si="63"/>
        <v>D2C1830007715</v>
      </c>
    </row>
    <row r="4089" spans="1:5" x14ac:dyDescent="0.3">
      <c r="A4089" t="s">
        <v>4858</v>
      </c>
      <c r="B4089">
        <v>1830007725</v>
      </c>
      <c r="C4089" t="s">
        <v>21</v>
      </c>
      <c r="D4089">
        <v>1830007725</v>
      </c>
      <c r="E4089" t="str">
        <f t="shared" si="63"/>
        <v>D2C1830007725</v>
      </c>
    </row>
    <row r="4090" spans="1:5" x14ac:dyDescent="0.3">
      <c r="A4090" t="s">
        <v>4858</v>
      </c>
      <c r="B4090">
        <v>1830007750</v>
      </c>
      <c r="C4090" t="s">
        <v>1090</v>
      </c>
      <c r="D4090">
        <v>1830007750</v>
      </c>
      <c r="E4090" t="str">
        <f t="shared" si="63"/>
        <v>D2C1830007750</v>
      </c>
    </row>
    <row r="4091" spans="1:5" x14ac:dyDescent="0.3">
      <c r="A4091" t="s">
        <v>4858</v>
      </c>
      <c r="B4091">
        <v>1830007760</v>
      </c>
      <c r="C4091" t="s">
        <v>17</v>
      </c>
      <c r="D4091">
        <v>1830007760</v>
      </c>
      <c r="E4091" t="str">
        <f t="shared" si="63"/>
        <v>D2C1830007760</v>
      </c>
    </row>
    <row r="4092" spans="1:5" x14ac:dyDescent="0.3">
      <c r="A4092" t="s">
        <v>4858</v>
      </c>
      <c r="B4092">
        <v>1830007809</v>
      </c>
      <c r="C4092" t="s">
        <v>410</v>
      </c>
      <c r="D4092">
        <v>1830007809</v>
      </c>
      <c r="E4092" t="str">
        <f t="shared" si="63"/>
        <v>D2C1830007809</v>
      </c>
    </row>
    <row r="4093" spans="1:5" x14ac:dyDescent="0.3">
      <c r="A4093" t="s">
        <v>4858</v>
      </c>
      <c r="B4093">
        <v>1830007903</v>
      </c>
      <c r="C4093" t="s">
        <v>3693</v>
      </c>
      <c r="D4093">
        <v>1830007903</v>
      </c>
      <c r="E4093" t="str">
        <f t="shared" si="63"/>
        <v>D2C1830007903</v>
      </c>
    </row>
    <row r="4094" spans="1:5" x14ac:dyDescent="0.3">
      <c r="A4094" t="s">
        <v>4858</v>
      </c>
      <c r="B4094">
        <v>1830007905</v>
      </c>
      <c r="C4094" t="s">
        <v>1867</v>
      </c>
      <c r="D4094">
        <v>1830007905</v>
      </c>
      <c r="E4094" t="str">
        <f t="shared" si="63"/>
        <v>D2C1830007905</v>
      </c>
    </row>
    <row r="4095" spans="1:5" x14ac:dyDescent="0.3">
      <c r="A4095" t="s">
        <v>4858</v>
      </c>
      <c r="B4095">
        <v>1830007909</v>
      </c>
      <c r="C4095" t="s">
        <v>1383</v>
      </c>
      <c r="D4095">
        <v>1830007909</v>
      </c>
      <c r="E4095" t="str">
        <f t="shared" si="63"/>
        <v>D2C1830007909</v>
      </c>
    </row>
    <row r="4096" spans="1:5" x14ac:dyDescent="0.3">
      <c r="A4096" t="s">
        <v>4858</v>
      </c>
      <c r="B4096">
        <v>1830007933</v>
      </c>
      <c r="C4096" t="s">
        <v>98</v>
      </c>
      <c r="D4096">
        <v>1830007933</v>
      </c>
      <c r="E4096" t="str">
        <f t="shared" si="63"/>
        <v>D2C1830007933</v>
      </c>
    </row>
    <row r="4097" spans="1:5" x14ac:dyDescent="0.3">
      <c r="A4097" t="s">
        <v>4858</v>
      </c>
      <c r="B4097">
        <v>1830007964</v>
      </c>
      <c r="C4097" t="s">
        <v>4859</v>
      </c>
      <c r="D4097">
        <v>1830007964</v>
      </c>
      <c r="E4097" t="str">
        <f t="shared" si="63"/>
        <v>D2C1830007964</v>
      </c>
    </row>
    <row r="4098" spans="1:5" x14ac:dyDescent="0.3">
      <c r="A4098" t="s">
        <v>4858</v>
      </c>
      <c r="B4098">
        <v>1830007978</v>
      </c>
      <c r="C4098" t="s">
        <v>4490</v>
      </c>
      <c r="D4098">
        <v>1830007978</v>
      </c>
      <c r="E4098" t="str">
        <f t="shared" si="63"/>
        <v>D2C1830007978</v>
      </c>
    </row>
    <row r="4099" spans="1:5" x14ac:dyDescent="0.3">
      <c r="A4099" t="s">
        <v>4858</v>
      </c>
      <c r="B4099">
        <v>1830008022</v>
      </c>
      <c r="C4099" t="s">
        <v>100</v>
      </c>
      <c r="D4099">
        <v>1830008022</v>
      </c>
      <c r="E4099" t="str">
        <f t="shared" ref="E4099:E4162" si="64">A4099&amp;B4099</f>
        <v>D2C1830008022</v>
      </c>
    </row>
    <row r="4100" spans="1:5" x14ac:dyDescent="0.3">
      <c r="A4100" t="s">
        <v>4858</v>
      </c>
      <c r="B4100">
        <v>1830008164</v>
      </c>
      <c r="C4100" t="s">
        <v>1533</v>
      </c>
      <c r="D4100">
        <v>1830008164</v>
      </c>
      <c r="E4100" t="str">
        <f t="shared" si="64"/>
        <v>D2C1830008164</v>
      </c>
    </row>
    <row r="4101" spans="1:5" x14ac:dyDescent="0.3">
      <c r="A4101" t="s">
        <v>4858</v>
      </c>
      <c r="B4101">
        <v>1830008168</v>
      </c>
      <c r="C4101" t="s">
        <v>1571</v>
      </c>
      <c r="D4101">
        <v>1830008168</v>
      </c>
      <c r="E4101" t="str">
        <f t="shared" si="64"/>
        <v>D2C1830008168</v>
      </c>
    </row>
    <row r="4102" spans="1:5" x14ac:dyDescent="0.3">
      <c r="A4102" t="s">
        <v>4858</v>
      </c>
      <c r="B4102">
        <v>1830008169</v>
      </c>
      <c r="C4102" t="s">
        <v>1270</v>
      </c>
      <c r="D4102">
        <v>1830008169</v>
      </c>
      <c r="E4102" t="str">
        <f t="shared" si="64"/>
        <v>D2C1830008169</v>
      </c>
    </row>
    <row r="4103" spans="1:5" x14ac:dyDescent="0.3">
      <c r="A4103" t="s">
        <v>4858</v>
      </c>
      <c r="B4103">
        <v>1830008184</v>
      </c>
      <c r="C4103" t="s">
        <v>1427</v>
      </c>
      <c r="D4103">
        <v>1830008184</v>
      </c>
      <c r="E4103" t="str">
        <f t="shared" si="64"/>
        <v>D2C1830008184</v>
      </c>
    </row>
    <row r="4104" spans="1:5" x14ac:dyDescent="0.3">
      <c r="A4104" t="s">
        <v>4858</v>
      </c>
      <c r="B4104">
        <v>1830008187</v>
      </c>
      <c r="C4104" t="s">
        <v>1409</v>
      </c>
      <c r="D4104">
        <v>1830008187</v>
      </c>
      <c r="E4104" t="str">
        <f t="shared" si="64"/>
        <v>D2C1830008187</v>
      </c>
    </row>
    <row r="4105" spans="1:5" x14ac:dyDescent="0.3">
      <c r="A4105" t="s">
        <v>4858</v>
      </c>
      <c r="B4105">
        <v>1830008194</v>
      </c>
      <c r="C4105" t="s">
        <v>1355</v>
      </c>
      <c r="D4105">
        <v>1830008194</v>
      </c>
      <c r="E4105" t="str">
        <f t="shared" si="64"/>
        <v>D2C1830008194</v>
      </c>
    </row>
    <row r="4106" spans="1:5" x14ac:dyDescent="0.3">
      <c r="A4106" t="s">
        <v>4858</v>
      </c>
      <c r="B4106">
        <v>1830008199</v>
      </c>
      <c r="C4106" t="s">
        <v>1347</v>
      </c>
      <c r="D4106">
        <v>1830008199</v>
      </c>
      <c r="E4106" t="str">
        <f t="shared" si="64"/>
        <v>D2C1830008199</v>
      </c>
    </row>
    <row r="4107" spans="1:5" x14ac:dyDescent="0.3">
      <c r="A4107" t="s">
        <v>4858</v>
      </c>
      <c r="B4107">
        <v>1830008214</v>
      </c>
      <c r="C4107" t="s">
        <v>1557</v>
      </c>
      <c r="D4107">
        <v>1830008214</v>
      </c>
      <c r="E4107" t="str">
        <f t="shared" si="64"/>
        <v>D2C1830008214</v>
      </c>
    </row>
    <row r="4108" spans="1:5" x14ac:dyDescent="0.3">
      <c r="A4108" t="s">
        <v>4858</v>
      </c>
      <c r="B4108">
        <v>1830008216</v>
      </c>
      <c r="C4108" t="s">
        <v>1439</v>
      </c>
      <c r="D4108">
        <v>1830008216</v>
      </c>
      <c r="E4108" t="str">
        <f t="shared" si="64"/>
        <v>D2C1830008216</v>
      </c>
    </row>
    <row r="4109" spans="1:5" x14ac:dyDescent="0.3">
      <c r="A4109" t="s">
        <v>4858</v>
      </c>
      <c r="B4109">
        <v>1830008217</v>
      </c>
      <c r="C4109" t="s">
        <v>1969</v>
      </c>
      <c r="D4109">
        <v>1830008217</v>
      </c>
      <c r="E4109" t="str">
        <f t="shared" si="64"/>
        <v>D2C1830008217</v>
      </c>
    </row>
    <row r="4110" spans="1:5" x14ac:dyDescent="0.3">
      <c r="A4110" t="s">
        <v>4858</v>
      </c>
      <c r="B4110">
        <v>1830008218</v>
      </c>
      <c r="C4110" t="s">
        <v>3552</v>
      </c>
      <c r="D4110">
        <v>1830008218</v>
      </c>
      <c r="E4110" t="str">
        <f t="shared" si="64"/>
        <v>D2C1830008218</v>
      </c>
    </row>
    <row r="4111" spans="1:5" x14ac:dyDescent="0.3">
      <c r="A4111" t="s">
        <v>4858</v>
      </c>
      <c r="B4111">
        <v>1830008227</v>
      </c>
      <c r="C4111" t="s">
        <v>10</v>
      </c>
      <c r="D4111">
        <v>1830008227</v>
      </c>
      <c r="E4111" t="str">
        <f t="shared" si="64"/>
        <v>D2C1830008227</v>
      </c>
    </row>
    <row r="4112" spans="1:5" x14ac:dyDescent="0.3">
      <c r="A4112" t="s">
        <v>4858</v>
      </c>
      <c r="B4112">
        <v>1830008233</v>
      </c>
      <c r="C4112" t="s">
        <v>13</v>
      </c>
      <c r="D4112">
        <v>1830008233</v>
      </c>
      <c r="E4112" t="str">
        <f t="shared" si="64"/>
        <v>D2C1830008233</v>
      </c>
    </row>
    <row r="4113" spans="1:5" x14ac:dyDescent="0.3">
      <c r="A4113" t="s">
        <v>4858</v>
      </c>
      <c r="B4113">
        <v>1830008239</v>
      </c>
      <c r="C4113" t="s">
        <v>408</v>
      </c>
      <c r="D4113">
        <v>1830008239</v>
      </c>
      <c r="E4113" t="str">
        <f t="shared" si="64"/>
        <v>D2C1830008239</v>
      </c>
    </row>
    <row r="4114" spans="1:5" x14ac:dyDescent="0.3">
      <c r="A4114" t="s">
        <v>4858</v>
      </c>
      <c r="B4114">
        <v>1830008260</v>
      </c>
      <c r="C4114" t="s">
        <v>102</v>
      </c>
      <c r="D4114">
        <v>1830008260</v>
      </c>
      <c r="E4114" t="str">
        <f t="shared" si="64"/>
        <v>D2C1830008260</v>
      </c>
    </row>
    <row r="4115" spans="1:5" x14ac:dyDescent="0.3">
      <c r="A4115" t="s">
        <v>4858</v>
      </c>
      <c r="B4115">
        <v>1830008290</v>
      </c>
      <c r="C4115" t="s">
        <v>15</v>
      </c>
      <c r="D4115">
        <v>1830008290</v>
      </c>
      <c r="E4115" t="str">
        <f t="shared" si="64"/>
        <v>D2C1830008290</v>
      </c>
    </row>
    <row r="4116" spans="1:5" x14ac:dyDescent="0.3">
      <c r="A4116" t="s">
        <v>4858</v>
      </c>
      <c r="B4116">
        <v>1830008313</v>
      </c>
      <c r="C4116" t="s">
        <v>214</v>
      </c>
      <c r="D4116">
        <v>1830008313</v>
      </c>
      <c r="E4116" t="str">
        <f t="shared" si="64"/>
        <v>D2C1830008313</v>
      </c>
    </row>
    <row r="4117" spans="1:5" x14ac:dyDescent="0.3">
      <c r="A4117" t="s">
        <v>4858</v>
      </c>
      <c r="B4117">
        <v>1830008396</v>
      </c>
      <c r="C4117" t="s">
        <v>3753</v>
      </c>
      <c r="D4117">
        <v>1830008396</v>
      </c>
      <c r="E4117" t="str">
        <f t="shared" si="64"/>
        <v>D2C1830008396</v>
      </c>
    </row>
    <row r="4118" spans="1:5" x14ac:dyDescent="0.3">
      <c r="A4118" t="s">
        <v>4858</v>
      </c>
      <c r="B4118">
        <v>1830008461</v>
      </c>
      <c r="C4118" t="s">
        <v>424</v>
      </c>
      <c r="D4118">
        <v>1830008461</v>
      </c>
      <c r="E4118" t="str">
        <f t="shared" si="64"/>
        <v>D2C1830008461</v>
      </c>
    </row>
    <row r="4119" spans="1:5" x14ac:dyDescent="0.3">
      <c r="A4119" t="s">
        <v>4858</v>
      </c>
      <c r="B4119">
        <v>1830008468</v>
      </c>
      <c r="C4119" t="s">
        <v>1645</v>
      </c>
      <c r="D4119">
        <v>1830008468</v>
      </c>
      <c r="E4119" t="str">
        <f t="shared" si="64"/>
        <v>D2C1830008468</v>
      </c>
    </row>
    <row r="4120" spans="1:5" x14ac:dyDescent="0.3">
      <c r="A4120" t="s">
        <v>4858</v>
      </c>
      <c r="B4120">
        <v>1830008493</v>
      </c>
      <c r="C4120" t="s">
        <v>1621</v>
      </c>
      <c r="D4120">
        <v>1830008493</v>
      </c>
      <c r="E4120" t="str">
        <f t="shared" si="64"/>
        <v>D2C1830008493</v>
      </c>
    </row>
    <row r="4121" spans="1:5" x14ac:dyDescent="0.3">
      <c r="A4121" t="s">
        <v>4858</v>
      </c>
      <c r="B4121">
        <v>1830008506</v>
      </c>
      <c r="C4121" t="s">
        <v>1639</v>
      </c>
      <c r="D4121">
        <v>1830008506</v>
      </c>
      <c r="E4121" t="str">
        <f t="shared" si="64"/>
        <v>D2C1830008506</v>
      </c>
    </row>
    <row r="4122" spans="1:5" x14ac:dyDescent="0.3">
      <c r="A4122" t="s">
        <v>4858</v>
      </c>
      <c r="B4122">
        <v>1830008513</v>
      </c>
      <c r="C4122" t="s">
        <v>112</v>
      </c>
      <c r="D4122">
        <v>1830008513</v>
      </c>
      <c r="E4122" t="str">
        <f t="shared" si="64"/>
        <v>D2C1830008513</v>
      </c>
    </row>
    <row r="4123" spans="1:5" x14ac:dyDescent="0.3">
      <c r="A4123" t="s">
        <v>4858</v>
      </c>
      <c r="B4123">
        <v>1830008518</v>
      </c>
      <c r="C4123" t="s">
        <v>111</v>
      </c>
      <c r="D4123">
        <v>1830008518</v>
      </c>
      <c r="E4123" t="str">
        <f t="shared" si="64"/>
        <v>D2C1830008518</v>
      </c>
    </row>
    <row r="4124" spans="1:5" x14ac:dyDescent="0.3">
      <c r="A4124" t="s">
        <v>4858</v>
      </c>
      <c r="B4124">
        <v>1830008532</v>
      </c>
      <c r="C4124" t="s">
        <v>1694</v>
      </c>
      <c r="D4124">
        <v>1830008532</v>
      </c>
      <c r="E4124" t="str">
        <f t="shared" si="64"/>
        <v>D2C1830008532</v>
      </c>
    </row>
    <row r="4125" spans="1:5" x14ac:dyDescent="0.3">
      <c r="A4125" t="s">
        <v>4858</v>
      </c>
      <c r="B4125">
        <v>1830008554</v>
      </c>
      <c r="C4125" t="s">
        <v>1635</v>
      </c>
      <c r="D4125">
        <v>1830008554</v>
      </c>
      <c r="E4125" t="str">
        <f t="shared" si="64"/>
        <v>D2C1830008554</v>
      </c>
    </row>
    <row r="4126" spans="1:5" x14ac:dyDescent="0.3">
      <c r="A4126" t="s">
        <v>4858</v>
      </c>
      <c r="B4126">
        <v>1830008556</v>
      </c>
      <c r="C4126" t="s">
        <v>1633</v>
      </c>
      <c r="D4126">
        <v>1830008556</v>
      </c>
      <c r="E4126" t="str">
        <f t="shared" si="64"/>
        <v>D2C1830008556</v>
      </c>
    </row>
    <row r="4127" spans="1:5" x14ac:dyDescent="0.3">
      <c r="A4127" t="s">
        <v>4858</v>
      </c>
      <c r="B4127">
        <v>1830008557</v>
      </c>
      <c r="C4127" t="s">
        <v>1631</v>
      </c>
      <c r="D4127">
        <v>1830008557</v>
      </c>
      <c r="E4127" t="str">
        <f t="shared" si="64"/>
        <v>D2C1830008557</v>
      </c>
    </row>
    <row r="4128" spans="1:5" x14ac:dyDescent="0.3">
      <c r="A4128" t="s">
        <v>4858</v>
      </c>
      <c r="B4128">
        <v>1830008582</v>
      </c>
      <c r="C4128" t="s">
        <v>1700</v>
      </c>
      <c r="D4128">
        <v>1830008582</v>
      </c>
      <c r="E4128" t="str">
        <f t="shared" si="64"/>
        <v>D2C1830008582</v>
      </c>
    </row>
    <row r="4129" spans="1:5" x14ac:dyDescent="0.3">
      <c r="A4129" t="s">
        <v>4858</v>
      </c>
      <c r="B4129">
        <v>2100058891</v>
      </c>
      <c r="C4129" t="s">
        <v>586</v>
      </c>
      <c r="D4129">
        <v>2100058891</v>
      </c>
      <c r="E4129" t="str">
        <f t="shared" si="64"/>
        <v>D2C2100058891</v>
      </c>
    </row>
    <row r="4130" spans="1:5" x14ac:dyDescent="0.3">
      <c r="A4130" t="s">
        <v>4858</v>
      </c>
      <c r="B4130">
        <v>2100087317</v>
      </c>
      <c r="C4130" t="s">
        <v>3002</v>
      </c>
      <c r="D4130">
        <v>2100087317</v>
      </c>
      <c r="E4130" t="str">
        <f t="shared" si="64"/>
        <v>D2C2100087317</v>
      </c>
    </row>
    <row r="4131" spans="1:5" x14ac:dyDescent="0.3">
      <c r="A4131" t="s">
        <v>4858</v>
      </c>
      <c r="B4131">
        <v>2100087318</v>
      </c>
      <c r="C4131" t="s">
        <v>1295</v>
      </c>
      <c r="D4131">
        <v>2100087318</v>
      </c>
      <c r="E4131" t="str">
        <f t="shared" si="64"/>
        <v>D2C2100087318</v>
      </c>
    </row>
    <row r="4132" spans="1:5" x14ac:dyDescent="0.3">
      <c r="A4132" t="s">
        <v>4858</v>
      </c>
      <c r="B4132">
        <v>2100087319</v>
      </c>
      <c r="C4132" t="s">
        <v>3050</v>
      </c>
      <c r="D4132">
        <v>2100087319</v>
      </c>
      <c r="E4132" t="str">
        <f t="shared" si="64"/>
        <v>D2C2100087319</v>
      </c>
    </row>
    <row r="4133" spans="1:5" x14ac:dyDescent="0.3">
      <c r="A4133" t="s">
        <v>4858</v>
      </c>
      <c r="B4133">
        <v>2100087320</v>
      </c>
      <c r="C4133" t="s">
        <v>1299</v>
      </c>
      <c r="D4133">
        <v>2100087320</v>
      </c>
      <c r="E4133" t="str">
        <f t="shared" si="64"/>
        <v>D2C2100087320</v>
      </c>
    </row>
    <row r="4134" spans="1:5" x14ac:dyDescent="0.3">
      <c r="A4134" t="s">
        <v>4858</v>
      </c>
      <c r="B4134">
        <v>2100087321</v>
      </c>
      <c r="C4134" t="s">
        <v>1291</v>
      </c>
      <c r="D4134">
        <v>2100087321</v>
      </c>
      <c r="E4134" t="str">
        <f t="shared" si="64"/>
        <v>D2C2100087321</v>
      </c>
    </row>
    <row r="4135" spans="1:5" x14ac:dyDescent="0.3">
      <c r="A4135" t="s">
        <v>4858</v>
      </c>
      <c r="B4135">
        <v>2100087323</v>
      </c>
      <c r="C4135" t="s">
        <v>1293</v>
      </c>
      <c r="D4135">
        <v>2100087323</v>
      </c>
      <c r="E4135" t="str">
        <f t="shared" si="64"/>
        <v>D2C2100087323</v>
      </c>
    </row>
    <row r="4136" spans="1:5" x14ac:dyDescent="0.3">
      <c r="A4136" t="s">
        <v>4858</v>
      </c>
      <c r="B4136">
        <v>2100087325</v>
      </c>
      <c r="C4136" t="s">
        <v>4861</v>
      </c>
      <c r="D4136">
        <v>2100087325</v>
      </c>
      <c r="E4136" t="str">
        <f t="shared" si="64"/>
        <v>D2C2100087325</v>
      </c>
    </row>
    <row r="4137" spans="1:5" x14ac:dyDescent="0.3">
      <c r="A4137" t="s">
        <v>4858</v>
      </c>
      <c r="B4137">
        <v>2100087329</v>
      </c>
      <c r="C4137" t="s">
        <v>4862</v>
      </c>
      <c r="D4137">
        <v>2100087329</v>
      </c>
      <c r="E4137" t="str">
        <f t="shared" si="64"/>
        <v>D2C2100087329</v>
      </c>
    </row>
    <row r="4138" spans="1:5" x14ac:dyDescent="0.3">
      <c r="A4138" t="s">
        <v>4858</v>
      </c>
      <c r="B4138">
        <v>2100087330</v>
      </c>
      <c r="C4138" t="s">
        <v>1301</v>
      </c>
      <c r="D4138">
        <v>2100087330</v>
      </c>
      <c r="E4138" t="str">
        <f t="shared" si="64"/>
        <v>D2C2100087330</v>
      </c>
    </row>
    <row r="4139" spans="1:5" x14ac:dyDescent="0.3">
      <c r="A4139" t="s">
        <v>4858</v>
      </c>
      <c r="B4139">
        <v>2100087332</v>
      </c>
      <c r="C4139" t="s">
        <v>4863</v>
      </c>
      <c r="D4139">
        <v>2100087332</v>
      </c>
      <c r="E4139" t="str">
        <f t="shared" si="64"/>
        <v>D2C2100087332</v>
      </c>
    </row>
    <row r="4140" spans="1:5" x14ac:dyDescent="0.3">
      <c r="A4140" t="s">
        <v>4858</v>
      </c>
      <c r="B4140">
        <v>2100087333</v>
      </c>
      <c r="C4140" t="s">
        <v>4864</v>
      </c>
      <c r="D4140">
        <v>2100087333</v>
      </c>
      <c r="E4140" t="str">
        <f t="shared" si="64"/>
        <v>D2C2100087333</v>
      </c>
    </row>
    <row r="4141" spans="1:5" x14ac:dyDescent="0.3">
      <c r="A4141" t="s">
        <v>4858</v>
      </c>
      <c r="B4141">
        <v>2100087393</v>
      </c>
      <c r="C4141" t="s">
        <v>1297</v>
      </c>
      <c r="D4141">
        <v>2100087393</v>
      </c>
      <c r="E4141" t="str">
        <f t="shared" si="64"/>
        <v>D2C2100087393</v>
      </c>
    </row>
    <row r="4142" spans="1:5" x14ac:dyDescent="0.3">
      <c r="A4142" t="s">
        <v>4858</v>
      </c>
      <c r="B4142">
        <v>2100087400</v>
      </c>
      <c r="C4142" t="s">
        <v>4865</v>
      </c>
      <c r="D4142">
        <v>2100087400</v>
      </c>
      <c r="E4142" t="str">
        <f t="shared" si="64"/>
        <v>D2C2100087400</v>
      </c>
    </row>
    <row r="4143" spans="1:5" x14ac:dyDescent="0.3">
      <c r="A4143" t="s">
        <v>4858</v>
      </c>
      <c r="B4143">
        <v>2100088630</v>
      </c>
      <c r="C4143" t="s">
        <v>2440</v>
      </c>
      <c r="D4143">
        <v>2100088630</v>
      </c>
      <c r="E4143" t="str">
        <f t="shared" si="64"/>
        <v>D2C2100088630</v>
      </c>
    </row>
    <row r="4144" spans="1:5" x14ac:dyDescent="0.3">
      <c r="A4144" t="s">
        <v>4858</v>
      </c>
      <c r="B4144">
        <v>2100104356</v>
      </c>
      <c r="C4144" t="s">
        <v>1688</v>
      </c>
      <c r="D4144">
        <v>2100104356</v>
      </c>
      <c r="E4144" t="str">
        <f t="shared" si="64"/>
        <v>D2C2100104356</v>
      </c>
    </row>
    <row r="4145" spans="1:5" x14ac:dyDescent="0.3">
      <c r="A4145" t="s">
        <v>4858</v>
      </c>
      <c r="B4145">
        <v>2100108801</v>
      </c>
      <c r="C4145" t="s">
        <v>4866</v>
      </c>
      <c r="D4145">
        <v>2100108801</v>
      </c>
      <c r="E4145" t="str">
        <f t="shared" si="64"/>
        <v>D2C2100108801</v>
      </c>
    </row>
    <row r="4146" spans="1:5" x14ac:dyDescent="0.3">
      <c r="A4146" t="s">
        <v>4858</v>
      </c>
      <c r="B4146">
        <v>2100108802</v>
      </c>
      <c r="C4146" t="s">
        <v>4867</v>
      </c>
      <c r="D4146">
        <v>2100108802</v>
      </c>
      <c r="E4146" t="str">
        <f t="shared" si="64"/>
        <v>D2C2100108802</v>
      </c>
    </row>
    <row r="4147" spans="1:5" x14ac:dyDescent="0.3">
      <c r="A4147" t="s">
        <v>4858</v>
      </c>
      <c r="B4147">
        <v>2100108803</v>
      </c>
      <c r="C4147" t="s">
        <v>4868</v>
      </c>
      <c r="D4147">
        <v>2100108803</v>
      </c>
      <c r="E4147" t="str">
        <f t="shared" si="64"/>
        <v>D2C2100108803</v>
      </c>
    </row>
    <row r="4148" spans="1:5" x14ac:dyDescent="0.3">
      <c r="A4148" t="s">
        <v>4858</v>
      </c>
      <c r="B4148">
        <v>2100110589</v>
      </c>
      <c r="C4148" t="s">
        <v>1488</v>
      </c>
      <c r="D4148">
        <v>2100110589</v>
      </c>
      <c r="E4148" t="str">
        <f t="shared" si="64"/>
        <v>D2C2100110589</v>
      </c>
    </row>
    <row r="4149" spans="1:5" x14ac:dyDescent="0.3">
      <c r="A4149" t="s">
        <v>4858</v>
      </c>
      <c r="B4149">
        <v>2100114427</v>
      </c>
      <c r="C4149" t="s">
        <v>4276</v>
      </c>
      <c r="D4149">
        <v>2100114427</v>
      </c>
      <c r="E4149" t="str">
        <f t="shared" si="64"/>
        <v>D2C2100114427</v>
      </c>
    </row>
    <row r="4150" spans="1:5" x14ac:dyDescent="0.3">
      <c r="A4150" t="s">
        <v>4858</v>
      </c>
      <c r="B4150">
        <v>2100115982</v>
      </c>
      <c r="C4150" t="s">
        <v>85</v>
      </c>
      <c r="D4150">
        <v>2100115982</v>
      </c>
      <c r="E4150" t="str">
        <f t="shared" si="64"/>
        <v>D2C2100115982</v>
      </c>
    </row>
    <row r="4151" spans="1:5" x14ac:dyDescent="0.3">
      <c r="A4151" t="s">
        <v>4858</v>
      </c>
      <c r="B4151">
        <v>2100116195</v>
      </c>
      <c r="C4151" t="s">
        <v>84</v>
      </c>
      <c r="D4151">
        <v>2100116195</v>
      </c>
      <c r="E4151" t="str">
        <f t="shared" si="64"/>
        <v>D2C2100116195</v>
      </c>
    </row>
    <row r="4152" spans="1:5" x14ac:dyDescent="0.3">
      <c r="A4152" t="s">
        <v>4858</v>
      </c>
      <c r="B4152">
        <v>2100117440</v>
      </c>
      <c r="C4152" t="s">
        <v>1561</v>
      </c>
      <c r="D4152">
        <v>2100117440</v>
      </c>
      <c r="E4152" t="str">
        <f t="shared" si="64"/>
        <v>D2C2100117440</v>
      </c>
    </row>
    <row r="4153" spans="1:5" x14ac:dyDescent="0.3">
      <c r="A4153" t="s">
        <v>4858</v>
      </c>
      <c r="B4153">
        <v>2100117441</v>
      </c>
      <c r="C4153" t="s">
        <v>4429</v>
      </c>
      <c r="D4153">
        <v>2100117441</v>
      </c>
      <c r="E4153" t="str">
        <f t="shared" si="64"/>
        <v>D2C2100117441</v>
      </c>
    </row>
    <row r="4154" spans="1:5" x14ac:dyDescent="0.3">
      <c r="A4154" t="s">
        <v>4858</v>
      </c>
      <c r="B4154">
        <v>2100117531</v>
      </c>
      <c r="C4154" t="s">
        <v>1559</v>
      </c>
      <c r="D4154">
        <v>2100117531</v>
      </c>
      <c r="E4154" t="str">
        <f t="shared" si="64"/>
        <v>D2C2100117531</v>
      </c>
    </row>
    <row r="4155" spans="1:5" x14ac:dyDescent="0.3">
      <c r="A4155" t="s">
        <v>4858</v>
      </c>
      <c r="B4155">
        <v>2100117533</v>
      </c>
      <c r="C4155" t="s">
        <v>997</v>
      </c>
      <c r="D4155">
        <v>2100117533</v>
      </c>
      <c r="E4155" t="str">
        <f t="shared" si="64"/>
        <v>D2C2100117533</v>
      </c>
    </row>
    <row r="4156" spans="1:5" x14ac:dyDescent="0.3">
      <c r="A4156" t="s">
        <v>4858</v>
      </c>
      <c r="B4156">
        <v>2100117987</v>
      </c>
      <c r="C4156" t="s">
        <v>1287</v>
      </c>
      <c r="D4156">
        <v>2100117987</v>
      </c>
      <c r="E4156" t="str">
        <f t="shared" si="64"/>
        <v>D2C2100117987</v>
      </c>
    </row>
    <row r="4157" spans="1:5" x14ac:dyDescent="0.3">
      <c r="A4157" t="s">
        <v>4858</v>
      </c>
      <c r="B4157">
        <v>2100117988</v>
      </c>
      <c r="C4157" t="s">
        <v>999</v>
      </c>
      <c r="D4157">
        <v>2100117988</v>
      </c>
      <c r="E4157" t="str">
        <f t="shared" si="64"/>
        <v>D2C2100117988</v>
      </c>
    </row>
    <row r="4158" spans="1:5" x14ac:dyDescent="0.3">
      <c r="A4158" t="s">
        <v>4858</v>
      </c>
      <c r="B4158">
        <v>2100117990</v>
      </c>
      <c r="C4158" t="s">
        <v>1563</v>
      </c>
      <c r="D4158">
        <v>2100117990</v>
      </c>
      <c r="E4158" t="str">
        <f t="shared" si="64"/>
        <v>D2C2100117990</v>
      </c>
    </row>
    <row r="4159" spans="1:5" x14ac:dyDescent="0.3">
      <c r="A4159" t="s">
        <v>4858</v>
      </c>
      <c r="B4159">
        <v>2100117991</v>
      </c>
      <c r="C4159" t="s">
        <v>1565</v>
      </c>
      <c r="D4159">
        <v>2100117991</v>
      </c>
      <c r="E4159" t="str">
        <f t="shared" si="64"/>
        <v>D2C2100117991</v>
      </c>
    </row>
    <row r="4160" spans="1:5" x14ac:dyDescent="0.3">
      <c r="A4160" t="s">
        <v>4858</v>
      </c>
      <c r="B4160">
        <v>2100117992</v>
      </c>
      <c r="C4160" t="s">
        <v>4116</v>
      </c>
      <c r="D4160">
        <v>2100117992</v>
      </c>
      <c r="E4160" t="str">
        <f t="shared" si="64"/>
        <v>D2C2100117992</v>
      </c>
    </row>
    <row r="4161" spans="1:5" x14ac:dyDescent="0.3">
      <c r="A4161" t="s">
        <v>4858</v>
      </c>
      <c r="B4161">
        <v>2100118168</v>
      </c>
      <c r="C4161" t="s">
        <v>437</v>
      </c>
      <c r="D4161">
        <v>2100118168</v>
      </c>
      <c r="E4161" t="str">
        <f t="shared" si="64"/>
        <v>D2C2100118168</v>
      </c>
    </row>
    <row r="4162" spans="1:5" x14ac:dyDescent="0.3">
      <c r="A4162" t="s">
        <v>4858</v>
      </c>
      <c r="B4162">
        <v>2100118285</v>
      </c>
      <c r="C4162" t="s">
        <v>92</v>
      </c>
      <c r="D4162">
        <v>2100118285</v>
      </c>
      <c r="E4162" t="str">
        <f t="shared" si="64"/>
        <v>D2C2100118285</v>
      </c>
    </row>
    <row r="4163" spans="1:5" x14ac:dyDescent="0.3">
      <c r="A4163" t="s">
        <v>4858</v>
      </c>
      <c r="B4163">
        <v>2100118286</v>
      </c>
      <c r="C4163" t="s">
        <v>90</v>
      </c>
      <c r="D4163">
        <v>2100118286</v>
      </c>
      <c r="E4163" t="str">
        <f t="shared" ref="E4163:E4226" si="65">A4163&amp;B4163</f>
        <v>D2C2100118286</v>
      </c>
    </row>
    <row r="4164" spans="1:5" x14ac:dyDescent="0.3">
      <c r="A4164" t="s">
        <v>4858</v>
      </c>
      <c r="B4164">
        <v>2100118287</v>
      </c>
      <c r="C4164" t="s">
        <v>3336</v>
      </c>
      <c r="D4164">
        <v>2100118287</v>
      </c>
      <c r="E4164" t="str">
        <f t="shared" si="65"/>
        <v>D2C2100118287</v>
      </c>
    </row>
    <row r="4165" spans="1:5" x14ac:dyDescent="0.3">
      <c r="A4165" t="s">
        <v>4858</v>
      </c>
      <c r="B4165">
        <v>2100118288</v>
      </c>
      <c r="C4165" t="s">
        <v>87</v>
      </c>
      <c r="D4165">
        <v>2100118288</v>
      </c>
      <c r="E4165" t="str">
        <f t="shared" si="65"/>
        <v>D2C2100118288</v>
      </c>
    </row>
    <row r="4166" spans="1:5" x14ac:dyDescent="0.3">
      <c r="A4166" t="s">
        <v>4858</v>
      </c>
      <c r="B4166">
        <v>2100118289</v>
      </c>
      <c r="C4166" t="s">
        <v>88</v>
      </c>
      <c r="D4166">
        <v>2100118289</v>
      </c>
      <c r="E4166" t="str">
        <f t="shared" si="65"/>
        <v>D2C2100118289</v>
      </c>
    </row>
    <row r="4167" spans="1:5" x14ac:dyDescent="0.3">
      <c r="A4167" t="s">
        <v>4858</v>
      </c>
      <c r="B4167">
        <v>2100118290</v>
      </c>
      <c r="C4167" t="s">
        <v>89</v>
      </c>
      <c r="D4167">
        <v>2100118290</v>
      </c>
      <c r="E4167" t="str">
        <f t="shared" si="65"/>
        <v>D2C2100118290</v>
      </c>
    </row>
    <row r="4168" spans="1:5" x14ac:dyDescent="0.3">
      <c r="A4168" t="s">
        <v>4858</v>
      </c>
      <c r="B4168">
        <v>2100118291</v>
      </c>
      <c r="C4168" t="s">
        <v>3338</v>
      </c>
      <c r="D4168">
        <v>2100118291</v>
      </c>
      <c r="E4168" t="str">
        <f t="shared" si="65"/>
        <v>D2C2100118291</v>
      </c>
    </row>
    <row r="4169" spans="1:5" x14ac:dyDescent="0.3">
      <c r="A4169" t="s">
        <v>4858</v>
      </c>
      <c r="B4169">
        <v>2100118292</v>
      </c>
      <c r="C4169" t="s">
        <v>3334</v>
      </c>
      <c r="D4169">
        <v>2100118292</v>
      </c>
      <c r="E4169" t="str">
        <f t="shared" si="65"/>
        <v>D2C2100118292</v>
      </c>
    </row>
    <row r="4170" spans="1:5" x14ac:dyDescent="0.3">
      <c r="A4170" t="s">
        <v>4858</v>
      </c>
      <c r="B4170">
        <v>2100118307</v>
      </c>
      <c r="C4170" t="s">
        <v>1209</v>
      </c>
      <c r="D4170">
        <v>2100118307</v>
      </c>
      <c r="E4170" t="str">
        <f t="shared" si="65"/>
        <v>D2C2100118307</v>
      </c>
    </row>
    <row r="4171" spans="1:5" x14ac:dyDescent="0.3">
      <c r="A4171" t="s">
        <v>4858</v>
      </c>
      <c r="B4171">
        <v>2100118308</v>
      </c>
      <c r="C4171" t="s">
        <v>1211</v>
      </c>
      <c r="D4171">
        <v>2100118308</v>
      </c>
      <c r="E4171" t="str">
        <f t="shared" si="65"/>
        <v>D2C2100118308</v>
      </c>
    </row>
    <row r="4172" spans="1:5" x14ac:dyDescent="0.3">
      <c r="A4172" t="s">
        <v>4858</v>
      </c>
      <c r="B4172">
        <v>2100118309</v>
      </c>
      <c r="C4172" t="s">
        <v>2161</v>
      </c>
      <c r="D4172">
        <v>2100118309</v>
      </c>
      <c r="E4172" t="str">
        <f t="shared" si="65"/>
        <v>D2C2100118309</v>
      </c>
    </row>
    <row r="4173" spans="1:5" x14ac:dyDescent="0.3">
      <c r="A4173" t="s">
        <v>4858</v>
      </c>
      <c r="B4173">
        <v>2100118310</v>
      </c>
      <c r="C4173" t="s">
        <v>1201</v>
      </c>
      <c r="D4173">
        <v>2100118310</v>
      </c>
      <c r="E4173" t="str">
        <f t="shared" si="65"/>
        <v>D2C2100118310</v>
      </c>
    </row>
    <row r="4174" spans="1:5" x14ac:dyDescent="0.3">
      <c r="A4174" t="s">
        <v>4858</v>
      </c>
      <c r="B4174">
        <v>2100118311</v>
      </c>
      <c r="C4174" t="s">
        <v>1203</v>
      </c>
      <c r="D4174">
        <v>2100118311</v>
      </c>
      <c r="E4174" t="str">
        <f t="shared" si="65"/>
        <v>D2C2100118311</v>
      </c>
    </row>
    <row r="4175" spans="1:5" x14ac:dyDescent="0.3">
      <c r="A4175" t="s">
        <v>4858</v>
      </c>
      <c r="B4175">
        <v>2100118312</v>
      </c>
      <c r="C4175" t="s">
        <v>1205</v>
      </c>
      <c r="D4175">
        <v>2100118312</v>
      </c>
      <c r="E4175" t="str">
        <f t="shared" si="65"/>
        <v>D2C2100118312</v>
      </c>
    </row>
    <row r="4176" spans="1:5" x14ac:dyDescent="0.3">
      <c r="A4176" t="s">
        <v>4858</v>
      </c>
      <c r="B4176">
        <v>2100118313</v>
      </c>
      <c r="C4176" t="s">
        <v>4869</v>
      </c>
      <c r="D4176">
        <v>2100118313</v>
      </c>
      <c r="E4176" t="str">
        <f t="shared" si="65"/>
        <v>D2C2100118313</v>
      </c>
    </row>
    <row r="4177" spans="1:5" x14ac:dyDescent="0.3">
      <c r="A4177" t="s">
        <v>4858</v>
      </c>
      <c r="B4177">
        <v>2100118460</v>
      </c>
      <c r="C4177" t="s">
        <v>3318</v>
      </c>
      <c r="D4177">
        <v>2100118460</v>
      </c>
      <c r="E4177" t="str">
        <f t="shared" si="65"/>
        <v>D2C2100118460</v>
      </c>
    </row>
    <row r="4178" spans="1:5" x14ac:dyDescent="0.3">
      <c r="A4178" t="s">
        <v>4858</v>
      </c>
      <c r="B4178">
        <v>2100118826</v>
      </c>
      <c r="C4178" t="s">
        <v>4280</v>
      </c>
      <c r="D4178">
        <v>2100118826</v>
      </c>
      <c r="E4178" t="str">
        <f t="shared" si="65"/>
        <v>D2C2100118826</v>
      </c>
    </row>
    <row r="4179" spans="1:5" x14ac:dyDescent="0.3">
      <c r="A4179" t="s">
        <v>4858</v>
      </c>
      <c r="B4179">
        <v>2100118828</v>
      </c>
      <c r="C4179" t="s">
        <v>1567</v>
      </c>
      <c r="D4179">
        <v>2100118828</v>
      </c>
      <c r="E4179" t="str">
        <f t="shared" si="65"/>
        <v>D2C2100118828</v>
      </c>
    </row>
    <row r="4180" spans="1:5" x14ac:dyDescent="0.3">
      <c r="A4180" t="s">
        <v>4858</v>
      </c>
      <c r="B4180">
        <v>2100118933</v>
      </c>
      <c r="C4180" t="s">
        <v>1213</v>
      </c>
      <c r="D4180">
        <v>2100118933</v>
      </c>
      <c r="E4180" t="str">
        <f t="shared" si="65"/>
        <v>D2C2100118933</v>
      </c>
    </row>
    <row r="4181" spans="1:5" x14ac:dyDescent="0.3">
      <c r="A4181" t="s">
        <v>4858</v>
      </c>
      <c r="B4181">
        <v>2100119880</v>
      </c>
      <c r="C4181" t="s">
        <v>1490</v>
      </c>
      <c r="D4181">
        <v>2100119880</v>
      </c>
      <c r="E4181" t="str">
        <f t="shared" si="65"/>
        <v>D2C2100119880</v>
      </c>
    </row>
    <row r="4182" spans="1:5" x14ac:dyDescent="0.3">
      <c r="A4182" t="s">
        <v>4858</v>
      </c>
      <c r="B4182">
        <v>2100121256</v>
      </c>
      <c r="C4182" t="s">
        <v>4870</v>
      </c>
      <c r="D4182">
        <v>2100121256</v>
      </c>
      <c r="E4182" t="str">
        <f t="shared" si="65"/>
        <v>D2C2100121256</v>
      </c>
    </row>
    <row r="4183" spans="1:5" x14ac:dyDescent="0.3">
      <c r="A4183" t="s">
        <v>4858</v>
      </c>
      <c r="B4183">
        <v>2100121258</v>
      </c>
      <c r="C4183" t="s">
        <v>3429</v>
      </c>
      <c r="D4183">
        <v>2100121258</v>
      </c>
      <c r="E4183" t="str">
        <f t="shared" si="65"/>
        <v>D2C2100121258</v>
      </c>
    </row>
    <row r="4184" spans="1:5" x14ac:dyDescent="0.3">
      <c r="A4184" t="s">
        <v>4858</v>
      </c>
      <c r="B4184">
        <v>2100121261</v>
      </c>
      <c r="C4184" t="s">
        <v>3372</v>
      </c>
      <c r="D4184">
        <v>2100121261</v>
      </c>
      <c r="E4184" t="str">
        <f t="shared" si="65"/>
        <v>D2C2100121261</v>
      </c>
    </row>
    <row r="4185" spans="1:5" x14ac:dyDescent="0.3">
      <c r="A4185" t="s">
        <v>4858</v>
      </c>
      <c r="B4185">
        <v>2100121262</v>
      </c>
      <c r="C4185" t="s">
        <v>3417</v>
      </c>
      <c r="D4185">
        <v>2100121262</v>
      </c>
      <c r="E4185" t="str">
        <f t="shared" si="65"/>
        <v>D2C2100121262</v>
      </c>
    </row>
    <row r="4186" spans="1:5" x14ac:dyDescent="0.3">
      <c r="A4186" t="s">
        <v>4858</v>
      </c>
      <c r="B4186">
        <v>2100121263</v>
      </c>
      <c r="C4186" t="s">
        <v>3419</v>
      </c>
      <c r="D4186">
        <v>2100121263</v>
      </c>
      <c r="E4186" t="str">
        <f t="shared" si="65"/>
        <v>D2C2100121263</v>
      </c>
    </row>
    <row r="4187" spans="1:5" x14ac:dyDescent="0.3">
      <c r="A4187" t="s">
        <v>4858</v>
      </c>
      <c r="B4187">
        <v>2100121266</v>
      </c>
      <c r="C4187" t="s">
        <v>3374</v>
      </c>
      <c r="D4187">
        <v>2100121266</v>
      </c>
      <c r="E4187" t="str">
        <f t="shared" si="65"/>
        <v>D2C2100121266</v>
      </c>
    </row>
    <row r="4188" spans="1:5" x14ac:dyDescent="0.3">
      <c r="A4188" t="s">
        <v>4858</v>
      </c>
      <c r="B4188">
        <v>2100121267</v>
      </c>
      <c r="C4188" t="s">
        <v>3412</v>
      </c>
      <c r="D4188">
        <v>2100121267</v>
      </c>
      <c r="E4188" t="str">
        <f t="shared" si="65"/>
        <v>D2C2100121267</v>
      </c>
    </row>
    <row r="4189" spans="1:5" x14ac:dyDescent="0.3">
      <c r="A4189" t="s">
        <v>4858</v>
      </c>
      <c r="B4189">
        <v>2100121270</v>
      </c>
      <c r="C4189" t="s">
        <v>4871</v>
      </c>
      <c r="D4189">
        <v>2100121270</v>
      </c>
      <c r="E4189" t="str">
        <f t="shared" si="65"/>
        <v>D2C2100121270</v>
      </c>
    </row>
    <row r="4190" spans="1:5" x14ac:dyDescent="0.3">
      <c r="A4190" t="s">
        <v>4858</v>
      </c>
      <c r="B4190">
        <v>2100121273</v>
      </c>
      <c r="C4190" t="s">
        <v>3370</v>
      </c>
      <c r="D4190">
        <v>2100121273</v>
      </c>
      <c r="E4190" t="str">
        <f t="shared" si="65"/>
        <v>D2C2100121273</v>
      </c>
    </row>
    <row r="4191" spans="1:5" x14ac:dyDescent="0.3">
      <c r="A4191" t="s">
        <v>4858</v>
      </c>
      <c r="B4191">
        <v>2100121373</v>
      </c>
      <c r="C4191" t="s">
        <v>400</v>
      </c>
      <c r="D4191">
        <v>2100121373</v>
      </c>
      <c r="E4191" t="str">
        <f t="shared" si="65"/>
        <v>D2C2100121373</v>
      </c>
    </row>
    <row r="4192" spans="1:5" x14ac:dyDescent="0.3">
      <c r="A4192" t="s">
        <v>4858</v>
      </c>
      <c r="B4192">
        <v>2100121730</v>
      </c>
      <c r="C4192" t="s">
        <v>1494</v>
      </c>
      <c r="D4192">
        <v>2100121730</v>
      </c>
      <c r="E4192" t="str">
        <f t="shared" si="65"/>
        <v>D2C2100121730</v>
      </c>
    </row>
    <row r="4193" spans="1:5" x14ac:dyDescent="0.3">
      <c r="A4193" t="s">
        <v>4858</v>
      </c>
      <c r="B4193">
        <v>2100121731</v>
      </c>
      <c r="C4193" t="s">
        <v>3365</v>
      </c>
      <c r="D4193">
        <v>2100121731</v>
      </c>
      <c r="E4193" t="str">
        <f t="shared" si="65"/>
        <v>D2C2100121731</v>
      </c>
    </row>
    <row r="4194" spans="1:5" x14ac:dyDescent="0.3">
      <c r="A4194" t="s">
        <v>4858</v>
      </c>
      <c r="B4194">
        <v>2100121732</v>
      </c>
      <c r="C4194" t="s">
        <v>434</v>
      </c>
      <c r="D4194">
        <v>2100121732</v>
      </c>
      <c r="E4194" t="str">
        <f t="shared" si="65"/>
        <v>D2C2100121732</v>
      </c>
    </row>
    <row r="4195" spans="1:5" x14ac:dyDescent="0.3">
      <c r="A4195" t="s">
        <v>4858</v>
      </c>
      <c r="B4195">
        <v>2100121737</v>
      </c>
      <c r="C4195" t="s">
        <v>3361</v>
      </c>
      <c r="D4195">
        <v>2100121737</v>
      </c>
      <c r="E4195" t="str">
        <f t="shared" si="65"/>
        <v>D2C2100121737</v>
      </c>
    </row>
    <row r="4196" spans="1:5" x14ac:dyDescent="0.3">
      <c r="A4196" t="s">
        <v>4858</v>
      </c>
      <c r="B4196">
        <v>2100121739</v>
      </c>
      <c r="C4196" t="s">
        <v>433</v>
      </c>
      <c r="D4196">
        <v>2100121739</v>
      </c>
      <c r="E4196" t="str">
        <f t="shared" si="65"/>
        <v>D2C2100121739</v>
      </c>
    </row>
    <row r="4197" spans="1:5" x14ac:dyDescent="0.3">
      <c r="A4197" t="s">
        <v>4858</v>
      </c>
      <c r="B4197">
        <v>2100121761</v>
      </c>
      <c r="C4197" t="s">
        <v>1498</v>
      </c>
      <c r="D4197">
        <v>2100121761</v>
      </c>
      <c r="E4197" t="str">
        <f t="shared" si="65"/>
        <v>D2C2100121761</v>
      </c>
    </row>
    <row r="4198" spans="1:5" x14ac:dyDescent="0.3">
      <c r="A4198" t="s">
        <v>4858</v>
      </c>
      <c r="B4198">
        <v>2100122930</v>
      </c>
      <c r="C4198" t="s">
        <v>401</v>
      </c>
      <c r="D4198">
        <v>2100122930</v>
      </c>
      <c r="E4198" t="str">
        <f t="shared" si="65"/>
        <v>D2C2100122930</v>
      </c>
    </row>
    <row r="4199" spans="1:5" x14ac:dyDescent="0.3">
      <c r="A4199" t="s">
        <v>4858</v>
      </c>
      <c r="B4199">
        <v>2211400344</v>
      </c>
      <c r="C4199" t="s">
        <v>1511</v>
      </c>
      <c r="D4199">
        <v>2211400344</v>
      </c>
      <c r="E4199" t="str">
        <f t="shared" si="65"/>
        <v>D2C2211400344</v>
      </c>
    </row>
    <row r="4200" spans="1:5" x14ac:dyDescent="0.3">
      <c r="A4200" t="s">
        <v>4858</v>
      </c>
      <c r="B4200">
        <v>2211400482</v>
      </c>
      <c r="C4200" t="s">
        <v>1507</v>
      </c>
      <c r="D4200">
        <v>2211400482</v>
      </c>
      <c r="E4200" t="str">
        <f t="shared" si="65"/>
        <v>D2C2211400482</v>
      </c>
    </row>
    <row r="4201" spans="1:5" x14ac:dyDescent="0.3">
      <c r="A4201" t="s">
        <v>4858</v>
      </c>
      <c r="B4201">
        <v>2211400762</v>
      </c>
      <c r="C4201" t="s">
        <v>2171</v>
      </c>
      <c r="D4201">
        <v>2211400762</v>
      </c>
      <c r="E4201" t="str">
        <f t="shared" si="65"/>
        <v>D2C2211400762</v>
      </c>
    </row>
    <row r="4202" spans="1:5" x14ac:dyDescent="0.3">
      <c r="A4202" t="s">
        <v>4858</v>
      </c>
      <c r="B4202">
        <v>2211400764</v>
      </c>
      <c r="C4202" t="s">
        <v>1505</v>
      </c>
      <c r="D4202">
        <v>2211400764</v>
      </c>
      <c r="E4202" t="str">
        <f t="shared" si="65"/>
        <v>D2C2211400764</v>
      </c>
    </row>
    <row r="4203" spans="1:5" x14ac:dyDescent="0.3">
      <c r="A4203" t="s">
        <v>4858</v>
      </c>
      <c r="B4203">
        <v>2211400794</v>
      </c>
      <c r="C4203" t="s">
        <v>416</v>
      </c>
      <c r="D4203">
        <v>2211400794</v>
      </c>
      <c r="E4203" t="str">
        <f t="shared" si="65"/>
        <v>D2C2211400794</v>
      </c>
    </row>
    <row r="4204" spans="1:5" x14ac:dyDescent="0.3">
      <c r="A4204" t="s">
        <v>4858</v>
      </c>
      <c r="B4204">
        <v>2211400796</v>
      </c>
      <c r="C4204" t="s">
        <v>1118</v>
      </c>
      <c r="D4204">
        <v>2211400796</v>
      </c>
      <c r="E4204" t="str">
        <f t="shared" si="65"/>
        <v>D2C2211400796</v>
      </c>
    </row>
    <row r="4205" spans="1:5" x14ac:dyDescent="0.3">
      <c r="A4205" t="s">
        <v>4858</v>
      </c>
      <c r="B4205">
        <v>2211400810</v>
      </c>
      <c r="C4205" t="s">
        <v>25</v>
      </c>
      <c r="D4205">
        <v>2211400810</v>
      </c>
      <c r="E4205" t="str">
        <f t="shared" si="65"/>
        <v>D2C2211400810</v>
      </c>
    </row>
    <row r="4206" spans="1:5" x14ac:dyDescent="0.3">
      <c r="A4206" t="s">
        <v>4858</v>
      </c>
      <c r="B4206">
        <v>2211400811</v>
      </c>
      <c r="C4206" t="s">
        <v>28</v>
      </c>
      <c r="D4206">
        <v>2211400811</v>
      </c>
      <c r="E4206" t="str">
        <f t="shared" si="65"/>
        <v>D2C2211400811</v>
      </c>
    </row>
    <row r="4207" spans="1:5" x14ac:dyDescent="0.3">
      <c r="A4207" t="s">
        <v>4858</v>
      </c>
      <c r="B4207">
        <v>2211400813</v>
      </c>
      <c r="C4207" t="s">
        <v>1779</v>
      </c>
      <c r="D4207">
        <v>2211400813</v>
      </c>
      <c r="E4207" t="str">
        <f t="shared" si="65"/>
        <v>D2C2211400813</v>
      </c>
    </row>
    <row r="4208" spans="1:5" x14ac:dyDescent="0.3">
      <c r="A4208" t="s">
        <v>4858</v>
      </c>
      <c r="B4208">
        <v>2211400844</v>
      </c>
      <c r="C4208" t="s">
        <v>27</v>
      </c>
      <c r="D4208">
        <v>2211400844</v>
      </c>
      <c r="E4208" t="str">
        <f t="shared" si="65"/>
        <v>D2C2211400844</v>
      </c>
    </row>
    <row r="4209" spans="1:5" x14ac:dyDescent="0.3">
      <c r="A4209" t="s">
        <v>4858</v>
      </c>
      <c r="B4209">
        <v>2211400854</v>
      </c>
      <c r="C4209" t="s">
        <v>29</v>
      </c>
      <c r="D4209">
        <v>2211400854</v>
      </c>
      <c r="E4209" t="str">
        <f t="shared" si="65"/>
        <v>D2C2211400854</v>
      </c>
    </row>
    <row r="4210" spans="1:5" x14ac:dyDescent="0.3">
      <c r="A4210" t="s">
        <v>4858</v>
      </c>
      <c r="B4210">
        <v>2211400888</v>
      </c>
      <c r="C4210" t="s">
        <v>38</v>
      </c>
      <c r="D4210">
        <v>2211400888</v>
      </c>
      <c r="E4210" t="str">
        <f t="shared" si="65"/>
        <v>D2C2211400888</v>
      </c>
    </row>
    <row r="4211" spans="1:5" x14ac:dyDescent="0.3">
      <c r="A4211" t="s">
        <v>4858</v>
      </c>
      <c r="B4211">
        <v>2211400905</v>
      </c>
      <c r="C4211" t="s">
        <v>4385</v>
      </c>
      <c r="D4211">
        <v>2211400905</v>
      </c>
      <c r="E4211" t="str">
        <f t="shared" si="65"/>
        <v>D2C2211400905</v>
      </c>
    </row>
    <row r="4212" spans="1:5" x14ac:dyDescent="0.3">
      <c r="A4212" t="s">
        <v>4858</v>
      </c>
      <c r="B4212">
        <v>2211400921</v>
      </c>
      <c r="C4212" t="s">
        <v>33</v>
      </c>
      <c r="D4212">
        <v>2211400921</v>
      </c>
      <c r="E4212" t="str">
        <f t="shared" si="65"/>
        <v>D2C2211400921</v>
      </c>
    </row>
    <row r="4213" spans="1:5" x14ac:dyDescent="0.3">
      <c r="A4213" t="s">
        <v>4858</v>
      </c>
      <c r="B4213">
        <v>2211400925</v>
      </c>
      <c r="C4213" t="s">
        <v>3311</v>
      </c>
      <c r="D4213">
        <v>2211400925</v>
      </c>
      <c r="E4213" t="str">
        <f t="shared" si="65"/>
        <v>D2C2211400925</v>
      </c>
    </row>
    <row r="4214" spans="1:5" x14ac:dyDescent="0.3">
      <c r="A4214" t="s">
        <v>4858</v>
      </c>
      <c r="B4214">
        <v>2211400928</v>
      </c>
      <c r="C4214" t="s">
        <v>1781</v>
      </c>
      <c r="D4214">
        <v>2211400928</v>
      </c>
      <c r="E4214" t="str">
        <f t="shared" si="65"/>
        <v>D2C2211400928</v>
      </c>
    </row>
    <row r="4215" spans="1:5" x14ac:dyDescent="0.3">
      <c r="A4215" t="s">
        <v>4858</v>
      </c>
      <c r="B4215">
        <v>2211400971</v>
      </c>
      <c r="C4215" t="s">
        <v>4873</v>
      </c>
      <c r="D4215">
        <v>2211400971</v>
      </c>
      <c r="E4215" t="str">
        <f t="shared" si="65"/>
        <v>D2C2211400971</v>
      </c>
    </row>
    <row r="4216" spans="1:5" x14ac:dyDescent="0.3">
      <c r="A4216" t="s">
        <v>4858</v>
      </c>
      <c r="B4216">
        <v>2211400973</v>
      </c>
      <c r="C4216" t="s">
        <v>3807</v>
      </c>
      <c r="D4216">
        <v>2211400973</v>
      </c>
      <c r="E4216" t="str">
        <f t="shared" si="65"/>
        <v>D2C2211400973</v>
      </c>
    </row>
    <row r="4217" spans="1:5" x14ac:dyDescent="0.3">
      <c r="A4217" t="s">
        <v>4858</v>
      </c>
      <c r="B4217">
        <v>2211400979</v>
      </c>
      <c r="C4217" t="s">
        <v>37</v>
      </c>
      <c r="D4217">
        <v>2211400979</v>
      </c>
      <c r="E4217" t="str">
        <f t="shared" si="65"/>
        <v>D2C2211400979</v>
      </c>
    </row>
    <row r="4218" spans="1:5" x14ac:dyDescent="0.3">
      <c r="A4218" t="s">
        <v>4858</v>
      </c>
      <c r="B4218">
        <v>2211400987</v>
      </c>
      <c r="C4218" t="s">
        <v>4874</v>
      </c>
      <c r="D4218">
        <v>2211400987</v>
      </c>
      <c r="E4218" t="str">
        <f t="shared" si="65"/>
        <v>D2C2211400987</v>
      </c>
    </row>
    <row r="4219" spans="1:5" x14ac:dyDescent="0.3">
      <c r="A4219" t="s">
        <v>4858</v>
      </c>
      <c r="B4219">
        <v>2211401014</v>
      </c>
      <c r="C4219" t="s">
        <v>371</v>
      </c>
      <c r="D4219">
        <v>2211401014</v>
      </c>
      <c r="E4219" t="str">
        <f t="shared" si="65"/>
        <v>D2C2211401014</v>
      </c>
    </row>
    <row r="4220" spans="1:5" x14ac:dyDescent="0.3">
      <c r="A4220" t="s">
        <v>4858</v>
      </c>
      <c r="B4220">
        <v>2211401034</v>
      </c>
      <c r="C4220" t="s">
        <v>396</v>
      </c>
      <c r="D4220">
        <v>2211401034</v>
      </c>
      <c r="E4220" t="str">
        <f t="shared" si="65"/>
        <v>D2C2211401034</v>
      </c>
    </row>
    <row r="4221" spans="1:5" x14ac:dyDescent="0.3">
      <c r="A4221" t="s">
        <v>4858</v>
      </c>
      <c r="B4221">
        <v>2211401035</v>
      </c>
      <c r="C4221" t="s">
        <v>395</v>
      </c>
      <c r="D4221">
        <v>2211401035</v>
      </c>
      <c r="E4221" t="str">
        <f t="shared" si="65"/>
        <v>D2C2211401035</v>
      </c>
    </row>
    <row r="4222" spans="1:5" x14ac:dyDescent="0.3">
      <c r="A4222" t="s">
        <v>4858</v>
      </c>
      <c r="B4222">
        <v>2211401038</v>
      </c>
      <c r="C4222" t="s">
        <v>32</v>
      </c>
      <c r="D4222">
        <v>2211401038</v>
      </c>
      <c r="E4222" t="str">
        <f t="shared" si="65"/>
        <v>D2C2211401038</v>
      </c>
    </row>
    <row r="4223" spans="1:5" x14ac:dyDescent="0.3">
      <c r="A4223" t="s">
        <v>4858</v>
      </c>
      <c r="B4223">
        <v>7211000396</v>
      </c>
      <c r="C4223" t="s">
        <v>2392</v>
      </c>
      <c r="D4223">
        <v>7211000396</v>
      </c>
      <c r="E4223" t="str">
        <f t="shared" si="65"/>
        <v>D2C7211000396</v>
      </c>
    </row>
    <row r="4224" spans="1:5" x14ac:dyDescent="0.3">
      <c r="A4224" t="s">
        <v>4858</v>
      </c>
      <c r="B4224">
        <v>7211001078</v>
      </c>
      <c r="C4224" t="s">
        <v>566</v>
      </c>
      <c r="D4224">
        <v>7211001078</v>
      </c>
      <c r="E4224" t="str">
        <f t="shared" si="65"/>
        <v>D2C7211001078</v>
      </c>
    </row>
    <row r="4225" spans="1:5" x14ac:dyDescent="0.3">
      <c r="A4225" t="s">
        <v>4858</v>
      </c>
      <c r="B4225">
        <v>7211001544</v>
      </c>
      <c r="C4225" t="s">
        <v>2379</v>
      </c>
      <c r="D4225">
        <v>7211001544</v>
      </c>
      <c r="E4225" t="str">
        <f t="shared" si="65"/>
        <v>D2C7211001544</v>
      </c>
    </row>
    <row r="4226" spans="1:5" x14ac:dyDescent="0.3">
      <c r="A4226" t="s">
        <v>4858</v>
      </c>
      <c r="B4226">
        <v>7211001595</v>
      </c>
      <c r="C4226" t="s">
        <v>4875</v>
      </c>
      <c r="D4226">
        <v>7211001595</v>
      </c>
      <c r="E4226" t="str">
        <f t="shared" si="65"/>
        <v>D2C7211001595</v>
      </c>
    </row>
    <row r="4227" spans="1:5" x14ac:dyDescent="0.3">
      <c r="A4227" t="s">
        <v>4858</v>
      </c>
      <c r="B4227">
        <v>7211001804</v>
      </c>
      <c r="C4227" t="s">
        <v>2549</v>
      </c>
      <c r="D4227">
        <v>7211001804</v>
      </c>
      <c r="E4227" t="str">
        <f t="shared" ref="E4227:E4290" si="66">A4227&amp;B4227</f>
        <v>D2C7211001804</v>
      </c>
    </row>
    <row r="4228" spans="1:5" x14ac:dyDescent="0.3">
      <c r="A4228" t="s">
        <v>4858</v>
      </c>
      <c r="B4228">
        <v>7211002180</v>
      </c>
      <c r="C4228" t="s">
        <v>568</v>
      </c>
      <c r="D4228">
        <v>7211002180</v>
      </c>
      <c r="E4228" t="str">
        <f t="shared" si="66"/>
        <v>D2C7211002180</v>
      </c>
    </row>
    <row r="4229" spans="1:5" x14ac:dyDescent="0.3">
      <c r="A4229" t="s">
        <v>4858</v>
      </c>
      <c r="B4229">
        <v>7211002271</v>
      </c>
      <c r="C4229" t="s">
        <v>556</v>
      </c>
      <c r="D4229">
        <v>7211002271</v>
      </c>
      <c r="E4229" t="str">
        <f t="shared" si="66"/>
        <v>D2C7211002271</v>
      </c>
    </row>
    <row r="4230" spans="1:5" x14ac:dyDescent="0.3">
      <c r="A4230" t="s">
        <v>4858</v>
      </c>
      <c r="B4230">
        <v>7211002287</v>
      </c>
      <c r="C4230" t="s">
        <v>2578</v>
      </c>
      <c r="D4230">
        <v>7211002287</v>
      </c>
      <c r="E4230" t="str">
        <f t="shared" si="66"/>
        <v>D2C7211002287</v>
      </c>
    </row>
    <row r="4231" spans="1:5" x14ac:dyDescent="0.3">
      <c r="A4231" t="s">
        <v>4858</v>
      </c>
      <c r="B4231">
        <v>7211002289</v>
      </c>
      <c r="C4231" t="s">
        <v>1081</v>
      </c>
      <c r="D4231">
        <v>7211002289</v>
      </c>
      <c r="E4231" t="str">
        <f t="shared" si="66"/>
        <v>D2C7211002289</v>
      </c>
    </row>
    <row r="4232" spans="1:5" x14ac:dyDescent="0.3">
      <c r="A4232" t="s">
        <v>4858</v>
      </c>
      <c r="B4232">
        <v>7211002374</v>
      </c>
      <c r="C4232" t="s">
        <v>813</v>
      </c>
      <c r="D4232">
        <v>7211002374</v>
      </c>
      <c r="E4232" t="str">
        <f t="shared" si="66"/>
        <v>D2C7211002374</v>
      </c>
    </row>
    <row r="4233" spans="1:5" x14ac:dyDescent="0.3">
      <c r="A4233" t="s">
        <v>4858</v>
      </c>
      <c r="B4233">
        <v>7211002441</v>
      </c>
      <c r="C4233" t="s">
        <v>40</v>
      </c>
      <c r="D4233">
        <v>7211002441</v>
      </c>
      <c r="E4233" t="str">
        <f t="shared" si="66"/>
        <v>D2C7211002441</v>
      </c>
    </row>
    <row r="4234" spans="1:5" x14ac:dyDescent="0.3">
      <c r="A4234" t="s">
        <v>4858</v>
      </c>
      <c r="B4234">
        <v>7211002459</v>
      </c>
      <c r="C4234" t="s">
        <v>41</v>
      </c>
      <c r="D4234">
        <v>7211002459</v>
      </c>
      <c r="E4234" t="str">
        <f t="shared" si="66"/>
        <v>D2C7211002459</v>
      </c>
    </row>
    <row r="4235" spans="1:5" x14ac:dyDescent="0.3">
      <c r="A4235" t="s">
        <v>4858</v>
      </c>
      <c r="B4235">
        <v>7211002465</v>
      </c>
      <c r="C4235" t="s">
        <v>564</v>
      </c>
      <c r="D4235">
        <v>7211002465</v>
      </c>
      <c r="E4235" t="str">
        <f t="shared" si="66"/>
        <v>D2C7211002465</v>
      </c>
    </row>
    <row r="4236" spans="1:5" x14ac:dyDescent="0.3">
      <c r="A4236" t="s">
        <v>4858</v>
      </c>
      <c r="B4236">
        <v>7211002491</v>
      </c>
      <c r="C4236" t="s">
        <v>600</v>
      </c>
      <c r="D4236">
        <v>7211002491</v>
      </c>
      <c r="E4236" t="str">
        <f t="shared" si="66"/>
        <v>D2C7211002491</v>
      </c>
    </row>
    <row r="4237" spans="1:5" x14ac:dyDescent="0.3">
      <c r="A4237" t="s">
        <v>4858</v>
      </c>
      <c r="B4237">
        <v>7211002511</v>
      </c>
      <c r="C4237" t="s">
        <v>3167</v>
      </c>
      <c r="D4237">
        <v>7211002511</v>
      </c>
      <c r="E4237" t="str">
        <f t="shared" si="66"/>
        <v>D2C7211002511</v>
      </c>
    </row>
    <row r="4238" spans="1:5" x14ac:dyDescent="0.3">
      <c r="A4238" t="s">
        <v>4858</v>
      </c>
      <c r="B4238">
        <v>7211002749</v>
      </c>
      <c r="C4238" t="s">
        <v>397</v>
      </c>
      <c r="D4238">
        <v>7211002749</v>
      </c>
      <c r="E4238" t="str">
        <f t="shared" si="66"/>
        <v>D2C7211002749</v>
      </c>
    </row>
    <row r="4239" spans="1:5" x14ac:dyDescent="0.3">
      <c r="A4239" t="s">
        <v>4858</v>
      </c>
      <c r="B4239">
        <v>7211002804</v>
      </c>
      <c r="C4239" t="s">
        <v>1790</v>
      </c>
      <c r="D4239">
        <v>7211002804</v>
      </c>
      <c r="E4239" t="str">
        <f t="shared" si="66"/>
        <v>D2C7211002804</v>
      </c>
    </row>
    <row r="4240" spans="1:5" x14ac:dyDescent="0.3">
      <c r="A4240" t="s">
        <v>4858</v>
      </c>
      <c r="B4240">
        <v>7211002851</v>
      </c>
      <c r="C4240" t="s">
        <v>954</v>
      </c>
      <c r="D4240">
        <v>7211002851</v>
      </c>
      <c r="E4240" t="str">
        <f t="shared" si="66"/>
        <v>D2C7211002851</v>
      </c>
    </row>
    <row r="4241" spans="1:5" x14ac:dyDescent="0.3">
      <c r="A4241" t="s">
        <v>4858</v>
      </c>
      <c r="B4241">
        <v>7211002932</v>
      </c>
      <c r="C4241" t="s">
        <v>44</v>
      </c>
      <c r="D4241">
        <v>7211002932</v>
      </c>
      <c r="E4241" t="str">
        <f t="shared" si="66"/>
        <v>D2C7211002932</v>
      </c>
    </row>
    <row r="4242" spans="1:5" x14ac:dyDescent="0.3">
      <c r="A4242" t="s">
        <v>4858</v>
      </c>
      <c r="B4242">
        <v>7211002980</v>
      </c>
      <c r="C4242" t="s">
        <v>2777</v>
      </c>
      <c r="D4242">
        <v>7211002980</v>
      </c>
      <c r="E4242" t="str">
        <f t="shared" si="66"/>
        <v>D2C7211002980</v>
      </c>
    </row>
    <row r="4243" spans="1:5" x14ac:dyDescent="0.3">
      <c r="A4243" t="s">
        <v>4858</v>
      </c>
      <c r="B4243">
        <v>7211003234</v>
      </c>
      <c r="C4243" t="s">
        <v>925</v>
      </c>
      <c r="D4243">
        <v>7211003234</v>
      </c>
      <c r="E4243" t="str">
        <f t="shared" si="66"/>
        <v>D2C7211003234</v>
      </c>
    </row>
    <row r="4244" spans="1:5" x14ac:dyDescent="0.3">
      <c r="A4244" t="s">
        <v>4858</v>
      </c>
      <c r="B4244">
        <v>7211003245</v>
      </c>
      <c r="C4244" t="s">
        <v>72</v>
      </c>
      <c r="D4244">
        <v>7211003245</v>
      </c>
      <c r="E4244" t="str">
        <f t="shared" si="66"/>
        <v>D2C7211003245</v>
      </c>
    </row>
    <row r="4245" spans="1:5" x14ac:dyDescent="0.3">
      <c r="A4245" t="s">
        <v>4858</v>
      </c>
      <c r="B4245">
        <v>7211003267</v>
      </c>
      <c r="C4245" t="s">
        <v>1102</v>
      </c>
      <c r="D4245">
        <v>7211003267</v>
      </c>
      <c r="E4245" t="str">
        <f t="shared" si="66"/>
        <v>D2C7211003267</v>
      </c>
    </row>
    <row r="4246" spans="1:5" x14ac:dyDescent="0.3">
      <c r="A4246" t="s">
        <v>4858</v>
      </c>
      <c r="B4246">
        <v>7211003308</v>
      </c>
      <c r="C4246" t="s">
        <v>871</v>
      </c>
      <c r="D4246">
        <v>7211003308</v>
      </c>
      <c r="E4246" t="str">
        <f t="shared" si="66"/>
        <v>D2C7211003308</v>
      </c>
    </row>
    <row r="4247" spans="1:5" x14ac:dyDescent="0.3">
      <c r="A4247" t="s">
        <v>4858</v>
      </c>
      <c r="B4247">
        <v>7211003316</v>
      </c>
      <c r="C4247" t="s">
        <v>60</v>
      </c>
      <c r="D4247">
        <v>7211003316</v>
      </c>
      <c r="E4247" t="str">
        <f t="shared" si="66"/>
        <v>D2C7211003316</v>
      </c>
    </row>
    <row r="4248" spans="1:5" x14ac:dyDescent="0.3">
      <c r="A4248" t="s">
        <v>4858</v>
      </c>
      <c r="B4248">
        <v>7211003740</v>
      </c>
      <c r="C4248" t="s">
        <v>42</v>
      </c>
      <c r="D4248">
        <v>7211003740</v>
      </c>
      <c r="E4248" t="str">
        <f t="shared" si="66"/>
        <v>D2C7211003740</v>
      </c>
    </row>
    <row r="4249" spans="1:5" x14ac:dyDescent="0.3">
      <c r="A4249" t="s">
        <v>4858</v>
      </c>
      <c r="B4249">
        <v>7211003820</v>
      </c>
      <c r="C4249" t="s">
        <v>121</v>
      </c>
      <c r="D4249">
        <v>7211003820</v>
      </c>
      <c r="E4249" t="str">
        <f t="shared" si="66"/>
        <v>D2C7211003820</v>
      </c>
    </row>
    <row r="4250" spans="1:5" x14ac:dyDescent="0.3">
      <c r="A4250" t="s">
        <v>4858</v>
      </c>
      <c r="B4250">
        <v>7211003938</v>
      </c>
      <c r="C4250" t="s">
        <v>73</v>
      </c>
      <c r="D4250">
        <v>7211003938</v>
      </c>
      <c r="E4250" t="str">
        <f t="shared" si="66"/>
        <v>D2C7211003938</v>
      </c>
    </row>
    <row r="4251" spans="1:5" x14ac:dyDescent="0.3">
      <c r="A4251" t="s">
        <v>4858</v>
      </c>
      <c r="B4251">
        <v>7211003955</v>
      </c>
      <c r="C4251" t="s">
        <v>1244</v>
      </c>
      <c r="D4251">
        <v>7211003955</v>
      </c>
      <c r="E4251" t="str">
        <f t="shared" si="66"/>
        <v>D2C7211003955</v>
      </c>
    </row>
    <row r="4252" spans="1:5" x14ac:dyDescent="0.3">
      <c r="A4252" t="s">
        <v>4858</v>
      </c>
      <c r="B4252">
        <v>7211003968</v>
      </c>
      <c r="C4252" t="s">
        <v>47</v>
      </c>
      <c r="D4252">
        <v>7211003968</v>
      </c>
      <c r="E4252" t="str">
        <f t="shared" si="66"/>
        <v>D2C7211003968</v>
      </c>
    </row>
    <row r="4253" spans="1:5" x14ac:dyDescent="0.3">
      <c r="A4253" t="s">
        <v>4858</v>
      </c>
      <c r="B4253">
        <v>7211003983</v>
      </c>
      <c r="C4253" t="s">
        <v>1436</v>
      </c>
      <c r="D4253">
        <v>7211003983</v>
      </c>
      <c r="E4253" t="str">
        <f t="shared" si="66"/>
        <v>D2C7211003983</v>
      </c>
    </row>
    <row r="4254" spans="1:5" x14ac:dyDescent="0.3">
      <c r="A4254" t="s">
        <v>4858</v>
      </c>
      <c r="B4254">
        <v>7211004054</v>
      </c>
      <c r="C4254" t="s">
        <v>58</v>
      </c>
      <c r="D4254">
        <v>7211004054</v>
      </c>
      <c r="E4254" t="str">
        <f t="shared" si="66"/>
        <v>D2C7211004054</v>
      </c>
    </row>
    <row r="4255" spans="1:5" x14ac:dyDescent="0.3">
      <c r="A4255" t="s">
        <v>4858</v>
      </c>
      <c r="B4255">
        <v>7211004078</v>
      </c>
      <c r="C4255" t="s">
        <v>43</v>
      </c>
      <c r="D4255">
        <v>7211004078</v>
      </c>
      <c r="E4255" t="str">
        <f t="shared" si="66"/>
        <v>D2C7211004078</v>
      </c>
    </row>
    <row r="4256" spans="1:5" x14ac:dyDescent="0.3">
      <c r="A4256" t="s">
        <v>4858</v>
      </c>
      <c r="B4256">
        <v>7211004244</v>
      </c>
      <c r="C4256" t="s">
        <v>61</v>
      </c>
      <c r="D4256">
        <v>7211004244</v>
      </c>
      <c r="E4256" t="str">
        <f t="shared" si="66"/>
        <v>D2C7211004244</v>
      </c>
    </row>
    <row r="4257" spans="1:5" x14ac:dyDescent="0.3">
      <c r="A4257" t="s">
        <v>4858</v>
      </c>
      <c r="B4257">
        <v>7211004399</v>
      </c>
      <c r="C4257" t="s">
        <v>1711</v>
      </c>
      <c r="D4257">
        <v>7211004399</v>
      </c>
      <c r="E4257" t="str">
        <f t="shared" si="66"/>
        <v>D2C7211004399</v>
      </c>
    </row>
    <row r="4258" spans="1:5" x14ac:dyDescent="0.3">
      <c r="A4258" t="s">
        <v>4858</v>
      </c>
      <c r="B4258">
        <v>7211004463</v>
      </c>
      <c r="C4258" t="s">
        <v>110</v>
      </c>
      <c r="D4258">
        <v>7211004463</v>
      </c>
      <c r="E4258" t="str">
        <f t="shared" si="66"/>
        <v>D2C7211004463</v>
      </c>
    </row>
    <row r="4259" spans="1:5" x14ac:dyDescent="0.3">
      <c r="A4259" t="s">
        <v>4858</v>
      </c>
      <c r="B4259">
        <v>7211004672</v>
      </c>
      <c r="C4259" t="s">
        <v>363</v>
      </c>
      <c r="D4259">
        <v>7211004672</v>
      </c>
      <c r="E4259" t="str">
        <f t="shared" si="66"/>
        <v>D2C7211004672</v>
      </c>
    </row>
    <row r="4260" spans="1:5" x14ac:dyDescent="0.3">
      <c r="A4260" t="s">
        <v>4858</v>
      </c>
      <c r="B4260">
        <v>7211004699</v>
      </c>
      <c r="C4260" t="s">
        <v>120</v>
      </c>
      <c r="D4260">
        <v>7211004699</v>
      </c>
      <c r="E4260" t="str">
        <f t="shared" si="66"/>
        <v>D2C7211004699</v>
      </c>
    </row>
    <row r="4261" spans="1:5" x14ac:dyDescent="0.3">
      <c r="A4261" t="s">
        <v>4858</v>
      </c>
      <c r="B4261">
        <v>8000001814</v>
      </c>
      <c r="C4261" t="s">
        <v>515</v>
      </c>
      <c r="D4261">
        <v>8000001814</v>
      </c>
      <c r="E4261" t="str">
        <f t="shared" si="66"/>
        <v>D2C8000001814</v>
      </c>
    </row>
    <row r="4262" spans="1:5" x14ac:dyDescent="0.3">
      <c r="A4262" t="s">
        <v>4858</v>
      </c>
      <c r="B4262">
        <v>8000035379</v>
      </c>
      <c r="C4262" t="s">
        <v>2210</v>
      </c>
      <c r="D4262">
        <v>8000035379</v>
      </c>
      <c r="E4262" t="str">
        <f t="shared" si="66"/>
        <v>D2C8000035379</v>
      </c>
    </row>
    <row r="4263" spans="1:5" x14ac:dyDescent="0.3">
      <c r="A4263" t="s">
        <v>4858</v>
      </c>
      <c r="B4263">
        <v>8000035621</v>
      </c>
      <c r="C4263" t="s">
        <v>1365</v>
      </c>
      <c r="D4263">
        <v>8000035621</v>
      </c>
      <c r="E4263" t="str">
        <f t="shared" si="66"/>
        <v>D2C8000035621</v>
      </c>
    </row>
    <row r="4264" spans="1:5" x14ac:dyDescent="0.3">
      <c r="A4264" t="s">
        <v>4858</v>
      </c>
      <c r="B4264">
        <v>8000036018</v>
      </c>
      <c r="C4264" t="s">
        <v>716</v>
      </c>
      <c r="D4264">
        <v>8000036018</v>
      </c>
      <c r="E4264" t="str">
        <f t="shared" si="66"/>
        <v>D2C8000036018</v>
      </c>
    </row>
    <row r="4265" spans="1:5" x14ac:dyDescent="0.3">
      <c r="A4265" t="s">
        <v>4858</v>
      </c>
      <c r="B4265">
        <v>8000036062</v>
      </c>
      <c r="C4265" t="s">
        <v>1252</v>
      </c>
      <c r="D4265">
        <v>8000036062</v>
      </c>
      <c r="E4265" t="str">
        <f t="shared" si="66"/>
        <v>D2C8000036062</v>
      </c>
    </row>
    <row r="4266" spans="1:5" x14ac:dyDescent="0.3">
      <c r="A4266" t="s">
        <v>4858</v>
      </c>
      <c r="B4266">
        <v>8000036182</v>
      </c>
      <c r="C4266" t="s">
        <v>80</v>
      </c>
      <c r="D4266">
        <v>8000036182</v>
      </c>
      <c r="E4266" t="str">
        <f t="shared" si="66"/>
        <v>D2C8000036182</v>
      </c>
    </row>
    <row r="4267" spans="1:5" x14ac:dyDescent="0.3">
      <c r="A4267" t="s">
        <v>4858</v>
      </c>
      <c r="B4267">
        <v>8010000095</v>
      </c>
      <c r="C4267" t="s">
        <v>819</v>
      </c>
      <c r="D4267">
        <v>8010000095</v>
      </c>
      <c r="E4267" t="str">
        <f t="shared" si="66"/>
        <v>D2C8010000095</v>
      </c>
    </row>
    <row r="4268" spans="1:5" x14ac:dyDescent="0.3">
      <c r="A4268" t="s">
        <v>4858</v>
      </c>
      <c r="B4268">
        <v>8010000152</v>
      </c>
      <c r="C4268" t="s">
        <v>1260</v>
      </c>
      <c r="D4268">
        <v>8010000152</v>
      </c>
      <c r="E4268" t="str">
        <f t="shared" si="66"/>
        <v>D2C8010000152</v>
      </c>
    </row>
    <row r="4269" spans="1:5" x14ac:dyDescent="0.3">
      <c r="A4269" t="s">
        <v>4858</v>
      </c>
      <c r="B4269">
        <v>8010000431</v>
      </c>
      <c r="C4269" t="s">
        <v>79</v>
      </c>
      <c r="D4269">
        <v>8010000431</v>
      </c>
      <c r="E4269" t="str">
        <f t="shared" si="66"/>
        <v>D2C8010000431</v>
      </c>
    </row>
    <row r="4270" spans="1:5" x14ac:dyDescent="0.3">
      <c r="A4270" t="s">
        <v>4858</v>
      </c>
      <c r="B4270">
        <v>8010000465</v>
      </c>
      <c r="C4270" t="s">
        <v>894</v>
      </c>
      <c r="D4270">
        <v>8010000465</v>
      </c>
      <c r="E4270" t="str">
        <f t="shared" si="66"/>
        <v>D2C8010000465</v>
      </c>
    </row>
    <row r="4271" spans="1:5" x14ac:dyDescent="0.3">
      <c r="A4271" t="s">
        <v>4858</v>
      </c>
      <c r="B4271">
        <v>8010000985</v>
      </c>
      <c r="C4271" t="s">
        <v>76</v>
      </c>
      <c r="D4271">
        <v>8010000985</v>
      </c>
      <c r="E4271" t="str">
        <f t="shared" si="66"/>
        <v>D2C8010000985</v>
      </c>
    </row>
    <row r="4272" spans="1:5" x14ac:dyDescent="0.3">
      <c r="A4272" t="s">
        <v>4858</v>
      </c>
      <c r="B4272">
        <v>8010000986</v>
      </c>
      <c r="C4272" t="s">
        <v>75</v>
      </c>
      <c r="D4272">
        <v>8010000986</v>
      </c>
      <c r="E4272" t="str">
        <f t="shared" si="66"/>
        <v>D2C8010000986</v>
      </c>
    </row>
    <row r="4273" spans="1:5" x14ac:dyDescent="0.3">
      <c r="A4273" t="s">
        <v>4858</v>
      </c>
      <c r="B4273">
        <v>8010001045</v>
      </c>
      <c r="C4273" t="s">
        <v>1502</v>
      </c>
      <c r="D4273">
        <v>8010001045</v>
      </c>
      <c r="E4273" t="str">
        <f t="shared" si="66"/>
        <v>D2C8010001045</v>
      </c>
    </row>
    <row r="4274" spans="1:5" x14ac:dyDescent="0.3">
      <c r="A4274" t="s">
        <v>4858</v>
      </c>
      <c r="B4274">
        <v>8010001069</v>
      </c>
      <c r="C4274" t="s">
        <v>3</v>
      </c>
      <c r="D4274">
        <v>8010001069</v>
      </c>
      <c r="E4274" t="str">
        <f t="shared" si="66"/>
        <v>D2C8010001069</v>
      </c>
    </row>
    <row r="4275" spans="1:5" x14ac:dyDescent="0.3">
      <c r="A4275" t="s">
        <v>4858</v>
      </c>
      <c r="B4275">
        <v>9100004140</v>
      </c>
      <c r="C4275">
        <v>4090120</v>
      </c>
      <c r="D4275">
        <v>9100004140</v>
      </c>
      <c r="E4275" t="str">
        <f t="shared" si="66"/>
        <v>D2C9100004140</v>
      </c>
    </row>
    <row r="4276" spans="1:5" x14ac:dyDescent="0.3">
      <c r="A4276" t="s">
        <v>4858</v>
      </c>
      <c r="B4276">
        <v>9100004179</v>
      </c>
      <c r="C4276">
        <v>4090122</v>
      </c>
      <c r="D4276">
        <v>9100004179</v>
      </c>
      <c r="E4276" t="str">
        <f t="shared" si="66"/>
        <v>D2C9100004179</v>
      </c>
    </row>
    <row r="4277" spans="1:5" x14ac:dyDescent="0.3">
      <c r="A4277" t="s">
        <v>4858</v>
      </c>
      <c r="B4277">
        <v>9100004192</v>
      </c>
      <c r="C4277">
        <v>4090124</v>
      </c>
      <c r="D4277">
        <v>9100004192</v>
      </c>
      <c r="E4277" t="str">
        <f t="shared" si="66"/>
        <v>D2C9100004192</v>
      </c>
    </row>
    <row r="4278" spans="1:5" x14ac:dyDescent="0.3">
      <c r="A4278" t="s">
        <v>4858</v>
      </c>
      <c r="B4278">
        <v>9100004193</v>
      </c>
      <c r="C4278">
        <v>4090126</v>
      </c>
      <c r="D4278">
        <v>9100004193</v>
      </c>
      <c r="E4278" t="str">
        <f t="shared" si="66"/>
        <v>D2C9100004193</v>
      </c>
    </row>
    <row r="4279" spans="1:5" x14ac:dyDescent="0.3">
      <c r="A4279" t="s">
        <v>4858</v>
      </c>
      <c r="B4279">
        <v>9100004194</v>
      </c>
      <c r="C4279">
        <v>4090128</v>
      </c>
      <c r="D4279">
        <v>9100004194</v>
      </c>
      <c r="E4279" t="str">
        <f t="shared" si="66"/>
        <v>D2C9100004194</v>
      </c>
    </row>
    <row r="4280" spans="1:5" x14ac:dyDescent="0.3">
      <c r="A4280" t="s">
        <v>4858</v>
      </c>
      <c r="B4280">
        <v>9100004195</v>
      </c>
      <c r="C4280">
        <v>4090130</v>
      </c>
      <c r="D4280">
        <v>9100004195</v>
      </c>
      <c r="E4280" t="str">
        <f t="shared" si="66"/>
        <v>D2C9100004195</v>
      </c>
    </row>
    <row r="4281" spans="1:5" x14ac:dyDescent="0.3">
      <c r="A4281" t="s">
        <v>4858</v>
      </c>
      <c r="B4281">
        <v>9100036465</v>
      </c>
      <c r="C4281">
        <v>4192124</v>
      </c>
      <c r="D4281">
        <v>9100036465</v>
      </c>
      <c r="E4281" t="str">
        <f t="shared" si="66"/>
        <v>D2C9100036465</v>
      </c>
    </row>
    <row r="4282" spans="1:5" x14ac:dyDescent="0.3">
      <c r="A4282" t="s">
        <v>4858</v>
      </c>
      <c r="B4282">
        <v>9100036466</v>
      </c>
      <c r="C4282">
        <v>4192126</v>
      </c>
      <c r="D4282">
        <v>9100036466</v>
      </c>
      <c r="E4282" t="str">
        <f t="shared" si="66"/>
        <v>D2C9100036466</v>
      </c>
    </row>
    <row r="4283" spans="1:5" x14ac:dyDescent="0.3">
      <c r="A4283" t="s">
        <v>4858</v>
      </c>
      <c r="B4283">
        <v>9100036467</v>
      </c>
      <c r="C4283">
        <v>4192128</v>
      </c>
      <c r="D4283">
        <v>9100036467</v>
      </c>
      <c r="E4283" t="str">
        <f t="shared" si="66"/>
        <v>D2C9100036467</v>
      </c>
    </row>
    <row r="4284" spans="1:5" x14ac:dyDescent="0.3">
      <c r="A4284" t="s">
        <v>4858</v>
      </c>
      <c r="B4284">
        <v>9100036468</v>
      </c>
      <c r="C4284">
        <v>4192525</v>
      </c>
      <c r="D4284">
        <v>9100036468</v>
      </c>
      <c r="E4284" t="str">
        <f t="shared" si="66"/>
        <v>D2C9100036468</v>
      </c>
    </row>
    <row r="4285" spans="1:5" x14ac:dyDescent="0.3">
      <c r="A4285" t="s">
        <v>4858</v>
      </c>
      <c r="B4285">
        <v>9100036469</v>
      </c>
      <c r="C4285">
        <v>4192628</v>
      </c>
      <c r="D4285">
        <v>9100036469</v>
      </c>
      <c r="E4285" t="str">
        <f t="shared" si="66"/>
        <v>D2C9100036469</v>
      </c>
    </row>
    <row r="4286" spans="1:5" x14ac:dyDescent="0.3">
      <c r="A4286" t="s">
        <v>4858</v>
      </c>
      <c r="B4286">
        <v>9100036470</v>
      </c>
      <c r="C4286">
        <v>4192224</v>
      </c>
      <c r="D4286">
        <v>9100036470</v>
      </c>
      <c r="E4286" t="str">
        <f t="shared" si="66"/>
        <v>D2C9100036470</v>
      </c>
    </row>
    <row r="4287" spans="1:5" x14ac:dyDescent="0.3">
      <c r="A4287" t="s">
        <v>4858</v>
      </c>
      <c r="B4287">
        <v>9100046093</v>
      </c>
      <c r="C4287">
        <v>4211122</v>
      </c>
      <c r="D4287">
        <v>9100046093</v>
      </c>
      <c r="E4287" t="str">
        <f t="shared" si="66"/>
        <v>D2C9100046093</v>
      </c>
    </row>
    <row r="4288" spans="1:5" x14ac:dyDescent="0.3">
      <c r="A4288" t="s">
        <v>4858</v>
      </c>
      <c r="B4288">
        <v>9100046095</v>
      </c>
      <c r="C4288">
        <v>4211126</v>
      </c>
      <c r="D4288">
        <v>9100046095</v>
      </c>
      <c r="E4288" t="str">
        <f t="shared" si="66"/>
        <v>D2C9100046095</v>
      </c>
    </row>
    <row r="4289" spans="1:5" x14ac:dyDescent="0.3">
      <c r="A4289" t="s">
        <v>4858</v>
      </c>
      <c r="B4289">
        <v>9100046096</v>
      </c>
      <c r="C4289">
        <v>4211128</v>
      </c>
      <c r="D4289">
        <v>9100046096</v>
      </c>
      <c r="E4289" t="str">
        <f t="shared" si="66"/>
        <v>D2C9100046096</v>
      </c>
    </row>
    <row r="4290" spans="1:5" x14ac:dyDescent="0.3">
      <c r="A4290" t="s">
        <v>4858</v>
      </c>
      <c r="B4290">
        <v>9100046097</v>
      </c>
      <c r="C4290">
        <v>4211522</v>
      </c>
      <c r="D4290">
        <v>9100046097</v>
      </c>
      <c r="E4290" t="str">
        <f t="shared" si="66"/>
        <v>D2C9100046097</v>
      </c>
    </row>
    <row r="4291" spans="1:5" x14ac:dyDescent="0.3">
      <c r="A4291" t="s">
        <v>4858</v>
      </c>
      <c r="B4291">
        <v>9100046098</v>
      </c>
      <c r="C4291">
        <v>4211628</v>
      </c>
      <c r="D4291">
        <v>9100046098</v>
      </c>
      <c r="E4291" t="str">
        <f t="shared" ref="E4291:E4354" si="67">A4291&amp;B4291</f>
        <v>D2C9100046098</v>
      </c>
    </row>
    <row r="4292" spans="1:5" x14ac:dyDescent="0.3">
      <c r="A4292" t="s">
        <v>4858</v>
      </c>
      <c r="B4292">
        <v>9100046100</v>
      </c>
      <c r="C4292">
        <v>4211924</v>
      </c>
      <c r="D4292">
        <v>9100046100</v>
      </c>
      <c r="E4292" t="str">
        <f t="shared" si="67"/>
        <v>D2C9100046100</v>
      </c>
    </row>
    <row r="4293" spans="1:5" x14ac:dyDescent="0.3">
      <c r="A4293" t="s">
        <v>4858</v>
      </c>
      <c r="B4293">
        <v>9100046102</v>
      </c>
      <c r="C4293">
        <v>4211928</v>
      </c>
      <c r="D4293">
        <v>9100046102</v>
      </c>
      <c r="E4293" t="str">
        <f t="shared" si="67"/>
        <v>D2C9100046102</v>
      </c>
    </row>
    <row r="4294" spans="1:5" x14ac:dyDescent="0.3">
      <c r="A4294" t="s">
        <v>4858</v>
      </c>
      <c r="B4294">
        <v>2211401062</v>
      </c>
      <c r="C4294" t="s">
        <v>1596</v>
      </c>
      <c r="D4294">
        <v>2211401062</v>
      </c>
      <c r="E4294" t="str">
        <f t="shared" si="67"/>
        <v>D2C2211401062</v>
      </c>
    </row>
    <row r="4295" spans="1:5" x14ac:dyDescent="0.3">
      <c r="A4295" t="s">
        <v>4858</v>
      </c>
      <c r="B4295">
        <v>2211400649</v>
      </c>
      <c r="C4295" t="s">
        <v>432</v>
      </c>
      <c r="D4295">
        <v>2211400649</v>
      </c>
      <c r="E4295" t="str">
        <f t="shared" si="67"/>
        <v>D2C2211400649</v>
      </c>
    </row>
    <row r="4296" spans="1:5" x14ac:dyDescent="0.3">
      <c r="A4296" t="s">
        <v>4858</v>
      </c>
      <c r="B4296">
        <v>7211003356</v>
      </c>
      <c r="C4296" t="s">
        <v>975</v>
      </c>
      <c r="D4296">
        <v>7211003356</v>
      </c>
      <c r="E4296" t="str">
        <f t="shared" si="67"/>
        <v>D2C7211003356</v>
      </c>
    </row>
    <row r="4297" spans="1:5" x14ac:dyDescent="0.3">
      <c r="A4297" t="s">
        <v>4858</v>
      </c>
      <c r="B4297">
        <v>1600005144</v>
      </c>
      <c r="C4297" t="s">
        <v>1603</v>
      </c>
      <c r="D4297">
        <v>1600005144</v>
      </c>
      <c r="E4297" t="str">
        <f t="shared" si="67"/>
        <v>D2C1600005144</v>
      </c>
    </row>
    <row r="4298" spans="1:5" x14ac:dyDescent="0.3">
      <c r="A4298" t="s">
        <v>4858</v>
      </c>
      <c r="B4298">
        <v>1830008496</v>
      </c>
      <c r="C4298" t="s">
        <v>1619</v>
      </c>
      <c r="D4298">
        <v>1830008496</v>
      </c>
      <c r="E4298" t="str">
        <f t="shared" si="67"/>
        <v>D2C1830008496</v>
      </c>
    </row>
    <row r="4299" spans="1:5" x14ac:dyDescent="0.3">
      <c r="A4299" t="s">
        <v>4858</v>
      </c>
      <c r="B4299">
        <v>1830008192</v>
      </c>
      <c r="C4299" t="s">
        <v>1359</v>
      </c>
      <c r="D4299">
        <v>1830008192</v>
      </c>
      <c r="E4299" t="str">
        <f t="shared" si="67"/>
        <v>D2C1830008192</v>
      </c>
    </row>
    <row r="4300" spans="1:5" x14ac:dyDescent="0.3">
      <c r="A4300" t="s">
        <v>4858</v>
      </c>
      <c r="B4300">
        <v>1830008254</v>
      </c>
      <c r="C4300" t="s">
        <v>9</v>
      </c>
      <c r="D4300">
        <v>1830008254</v>
      </c>
      <c r="E4300" t="str">
        <f t="shared" si="67"/>
        <v>D2C1830008254</v>
      </c>
    </row>
    <row r="4301" spans="1:5" x14ac:dyDescent="0.3">
      <c r="A4301" t="s">
        <v>4858</v>
      </c>
      <c r="B4301">
        <v>7211004366</v>
      </c>
      <c r="C4301" t="s">
        <v>1381</v>
      </c>
      <c r="D4301">
        <v>7211004366</v>
      </c>
      <c r="E4301" t="str">
        <f t="shared" si="67"/>
        <v>D2C7211004366</v>
      </c>
    </row>
    <row r="4302" spans="1:5" x14ac:dyDescent="0.3">
      <c r="A4302" t="s">
        <v>4858</v>
      </c>
      <c r="B4302">
        <v>7211004682</v>
      </c>
      <c r="C4302" t="s">
        <v>119</v>
      </c>
      <c r="D4302">
        <v>7211004682</v>
      </c>
      <c r="E4302" t="str">
        <f t="shared" si="67"/>
        <v>D2C7211004682</v>
      </c>
    </row>
    <row r="4303" spans="1:5" x14ac:dyDescent="0.3">
      <c r="A4303" t="s">
        <v>4858</v>
      </c>
      <c r="B4303">
        <v>2211400233</v>
      </c>
      <c r="C4303" t="s">
        <v>849</v>
      </c>
      <c r="D4303">
        <v>2211400233</v>
      </c>
      <c r="E4303" t="str">
        <f t="shared" si="67"/>
        <v>D2C2211400233</v>
      </c>
    </row>
    <row r="4304" spans="1:5" x14ac:dyDescent="0.3">
      <c r="A4304" t="s">
        <v>4858</v>
      </c>
      <c r="B4304">
        <v>7211004729</v>
      </c>
      <c r="C4304" t="s">
        <v>430</v>
      </c>
      <c r="D4304">
        <v>7211004729</v>
      </c>
      <c r="E4304" t="str">
        <f t="shared" si="67"/>
        <v>D2C7211004729</v>
      </c>
    </row>
    <row r="4305" spans="1:5" x14ac:dyDescent="0.3">
      <c r="A4305" t="s">
        <v>4858</v>
      </c>
      <c r="B4305">
        <v>1500859369</v>
      </c>
      <c r="C4305" t="s">
        <v>554</v>
      </c>
      <c r="D4305">
        <v>1500859369</v>
      </c>
      <c r="E4305" t="str">
        <f t="shared" si="67"/>
        <v>D2C1500859369</v>
      </c>
    </row>
    <row r="4306" spans="1:5" x14ac:dyDescent="0.3">
      <c r="A4306" t="s">
        <v>446</v>
      </c>
      <c r="B4306">
        <v>1830007113</v>
      </c>
      <c r="C4306" t="s">
        <v>3987</v>
      </c>
      <c r="D4306" t="s">
        <v>4909</v>
      </c>
      <c r="E4306" t="str">
        <f t="shared" si="67"/>
        <v>Sulpak1830007113</v>
      </c>
    </row>
    <row r="4307" spans="1:5" x14ac:dyDescent="0.3">
      <c r="A4307" t="s">
        <v>446</v>
      </c>
      <c r="B4307">
        <v>7211004474</v>
      </c>
      <c r="C4307" t="s">
        <v>415</v>
      </c>
      <c r="D4307" t="s">
        <v>4910</v>
      </c>
      <c r="E4307" t="str">
        <f t="shared" si="67"/>
        <v>Sulpak7211004474</v>
      </c>
    </row>
    <row r="4308" spans="1:5" x14ac:dyDescent="0.3">
      <c r="A4308" t="s">
        <v>4858</v>
      </c>
      <c r="B4308">
        <v>1110030485</v>
      </c>
      <c r="C4308">
        <v>0</v>
      </c>
      <c r="D4308" t="s">
        <v>4911</v>
      </c>
      <c r="E4308" t="str">
        <f t="shared" si="67"/>
        <v>D2C1110030485</v>
      </c>
    </row>
    <row r="4309" spans="1:5" x14ac:dyDescent="0.3">
      <c r="A4309" t="s">
        <v>4858</v>
      </c>
      <c r="B4309">
        <v>1110030532</v>
      </c>
      <c r="C4309" t="s">
        <v>1617</v>
      </c>
      <c r="D4309">
        <v>0</v>
      </c>
      <c r="E4309" t="str">
        <f t="shared" si="67"/>
        <v>D2C1110030532</v>
      </c>
    </row>
    <row r="4310" spans="1:5" x14ac:dyDescent="0.3">
      <c r="A4310" t="s">
        <v>4858</v>
      </c>
      <c r="B4310">
        <v>1110031221</v>
      </c>
      <c r="C4310" t="s">
        <v>929</v>
      </c>
      <c r="D4310" t="s">
        <v>4912</v>
      </c>
      <c r="E4310" t="str">
        <f t="shared" si="67"/>
        <v>D2C1110031221</v>
      </c>
    </row>
    <row r="4311" spans="1:5" x14ac:dyDescent="0.3">
      <c r="A4311" t="s">
        <v>4858</v>
      </c>
      <c r="B4311">
        <v>1500635821</v>
      </c>
      <c r="C4311" t="s">
        <v>1373</v>
      </c>
      <c r="D4311" t="s">
        <v>4913</v>
      </c>
      <c r="E4311" t="str">
        <f t="shared" si="67"/>
        <v>D2C1500635821</v>
      </c>
    </row>
    <row r="4312" spans="1:5" x14ac:dyDescent="0.3">
      <c r="A4312" t="s">
        <v>4858</v>
      </c>
      <c r="B4312">
        <v>1500636319</v>
      </c>
      <c r="C4312" t="s">
        <v>505</v>
      </c>
      <c r="D4312" t="s">
        <v>4914</v>
      </c>
      <c r="E4312" t="str">
        <f t="shared" si="67"/>
        <v>D2C1500636319</v>
      </c>
    </row>
    <row r="4313" spans="1:5" x14ac:dyDescent="0.3">
      <c r="A4313" t="s">
        <v>4858</v>
      </c>
      <c r="B4313">
        <v>1500868890</v>
      </c>
      <c r="C4313" t="s">
        <v>1343</v>
      </c>
      <c r="D4313" t="s">
        <v>4915</v>
      </c>
      <c r="E4313" t="str">
        <f t="shared" si="67"/>
        <v>D2C1500868890</v>
      </c>
    </row>
    <row r="4314" spans="1:5" x14ac:dyDescent="0.3">
      <c r="A4314" t="s">
        <v>4858</v>
      </c>
      <c r="B4314">
        <v>1510001153</v>
      </c>
      <c r="C4314" t="s">
        <v>68</v>
      </c>
      <c r="D4314" t="s">
        <v>4916</v>
      </c>
      <c r="E4314" t="str">
        <f t="shared" si="67"/>
        <v>D2C1510001153</v>
      </c>
    </row>
    <row r="4315" spans="1:5" x14ac:dyDescent="0.3">
      <c r="A4315" t="s">
        <v>4858</v>
      </c>
      <c r="B4315">
        <v>1510001318</v>
      </c>
      <c r="C4315" t="s">
        <v>67</v>
      </c>
      <c r="D4315" t="s">
        <v>4917</v>
      </c>
      <c r="E4315" t="str">
        <f t="shared" si="67"/>
        <v>D2C1510001318</v>
      </c>
    </row>
    <row r="4316" spans="1:5" x14ac:dyDescent="0.3">
      <c r="A4316" t="s">
        <v>4858</v>
      </c>
      <c r="B4316">
        <v>1510001319</v>
      </c>
      <c r="C4316" t="s">
        <v>69</v>
      </c>
      <c r="D4316" t="s">
        <v>4918</v>
      </c>
      <c r="E4316" t="str">
        <f t="shared" si="67"/>
        <v>D2C1510001319</v>
      </c>
    </row>
    <row r="4317" spans="1:5" x14ac:dyDescent="0.3">
      <c r="A4317" t="s">
        <v>4858</v>
      </c>
      <c r="B4317">
        <v>1510001848</v>
      </c>
      <c r="C4317" t="s">
        <v>1898</v>
      </c>
      <c r="D4317" t="s">
        <v>4919</v>
      </c>
      <c r="E4317" t="str">
        <f t="shared" si="67"/>
        <v>D2C1510001848</v>
      </c>
    </row>
    <row r="4318" spans="1:5" x14ac:dyDescent="0.3">
      <c r="A4318" t="s">
        <v>4858</v>
      </c>
      <c r="B4318">
        <v>1510001881</v>
      </c>
      <c r="C4318" t="s">
        <v>1330</v>
      </c>
      <c r="D4318" t="s">
        <v>4920</v>
      </c>
      <c r="E4318" t="str">
        <f t="shared" si="67"/>
        <v>D2C1510001881</v>
      </c>
    </row>
    <row r="4319" spans="1:5" x14ac:dyDescent="0.3">
      <c r="A4319" t="s">
        <v>4858</v>
      </c>
      <c r="B4319">
        <v>1510001898</v>
      </c>
      <c r="C4319" t="s">
        <v>1240</v>
      </c>
      <c r="D4319" t="s">
        <v>4921</v>
      </c>
      <c r="E4319" t="str">
        <f t="shared" si="67"/>
        <v>D2C1510001898</v>
      </c>
    </row>
    <row r="4320" spans="1:5" x14ac:dyDescent="0.3">
      <c r="A4320" t="s">
        <v>4858</v>
      </c>
      <c r="B4320">
        <v>1510001904</v>
      </c>
      <c r="C4320" t="s">
        <v>3409</v>
      </c>
      <c r="D4320" t="s">
        <v>4922</v>
      </c>
      <c r="E4320" t="str">
        <f t="shared" si="67"/>
        <v>D2C1510001904</v>
      </c>
    </row>
    <row r="4321" spans="1:5" x14ac:dyDescent="0.3">
      <c r="A4321" t="s">
        <v>4858</v>
      </c>
      <c r="B4321">
        <v>1510001937</v>
      </c>
      <c r="C4321" t="s">
        <v>1655</v>
      </c>
      <c r="D4321" t="s">
        <v>4923</v>
      </c>
      <c r="E4321" t="str">
        <f t="shared" si="67"/>
        <v>D2C1510001937</v>
      </c>
    </row>
    <row r="4322" spans="1:5" x14ac:dyDescent="0.3">
      <c r="A4322" t="s">
        <v>4858</v>
      </c>
      <c r="B4322">
        <v>1510002155</v>
      </c>
      <c r="C4322" t="s">
        <v>417</v>
      </c>
      <c r="D4322" t="s">
        <v>4924</v>
      </c>
      <c r="E4322" t="str">
        <f t="shared" si="67"/>
        <v>D2C1510002155</v>
      </c>
    </row>
    <row r="4323" spans="1:5" x14ac:dyDescent="0.3">
      <c r="A4323" t="s">
        <v>4858</v>
      </c>
      <c r="B4323">
        <v>1600005409</v>
      </c>
      <c r="C4323" t="s">
        <v>2320</v>
      </c>
      <c r="D4323" t="s">
        <v>4925</v>
      </c>
      <c r="E4323" t="str">
        <f t="shared" si="67"/>
        <v>D2C1600005409</v>
      </c>
    </row>
    <row r="4324" spans="1:5" x14ac:dyDescent="0.3">
      <c r="A4324" t="s">
        <v>4858</v>
      </c>
      <c r="B4324">
        <v>1830003934</v>
      </c>
      <c r="C4324" t="s">
        <v>921</v>
      </c>
      <c r="D4324" t="s">
        <v>4926</v>
      </c>
      <c r="E4324" t="str">
        <f t="shared" si="67"/>
        <v>D2C1830003934</v>
      </c>
    </row>
    <row r="4325" spans="1:5" x14ac:dyDescent="0.3">
      <c r="A4325" t="s">
        <v>4858</v>
      </c>
      <c r="B4325">
        <v>1830005000</v>
      </c>
      <c r="C4325" t="s">
        <v>1268</v>
      </c>
      <c r="D4325" t="s">
        <v>4927</v>
      </c>
      <c r="E4325" t="str">
        <f t="shared" si="67"/>
        <v>D2C1830005000</v>
      </c>
    </row>
    <row r="4326" spans="1:5" x14ac:dyDescent="0.3">
      <c r="A4326" t="s">
        <v>4858</v>
      </c>
      <c r="B4326">
        <v>1830005220</v>
      </c>
      <c r="C4326" t="s">
        <v>511</v>
      </c>
      <c r="D4326" t="s">
        <v>4928</v>
      </c>
      <c r="E4326" t="str">
        <f t="shared" si="67"/>
        <v>D2C1830005220</v>
      </c>
    </row>
    <row r="4327" spans="1:5" x14ac:dyDescent="0.3">
      <c r="A4327" t="s">
        <v>4858</v>
      </c>
      <c r="B4327">
        <v>1830005290</v>
      </c>
      <c r="C4327" t="s">
        <v>509</v>
      </c>
      <c r="D4327" t="s">
        <v>4929</v>
      </c>
      <c r="E4327" t="str">
        <f t="shared" si="67"/>
        <v>D2C1830005290</v>
      </c>
    </row>
    <row r="4328" spans="1:5" x14ac:dyDescent="0.3">
      <c r="A4328" t="s">
        <v>4858</v>
      </c>
      <c r="B4328">
        <v>1830006595</v>
      </c>
      <c r="C4328" t="s">
        <v>1417</v>
      </c>
      <c r="D4328" t="s">
        <v>4930</v>
      </c>
      <c r="E4328" t="str">
        <f t="shared" si="67"/>
        <v>D2C1830006595</v>
      </c>
    </row>
    <row r="4329" spans="1:5" x14ac:dyDescent="0.3">
      <c r="A4329" t="s">
        <v>4858</v>
      </c>
      <c r="B4329">
        <v>1830006695</v>
      </c>
      <c r="C4329" t="s">
        <v>1896</v>
      </c>
      <c r="D4329" t="s">
        <v>4931</v>
      </c>
      <c r="E4329" t="str">
        <f t="shared" si="67"/>
        <v>D2C1830006695</v>
      </c>
    </row>
    <row r="4330" spans="1:5" x14ac:dyDescent="0.3">
      <c r="A4330" t="s">
        <v>4858</v>
      </c>
      <c r="B4330">
        <v>1830006775</v>
      </c>
      <c r="C4330" t="s">
        <v>2701</v>
      </c>
      <c r="D4330" t="s">
        <v>4932</v>
      </c>
      <c r="E4330" t="str">
        <f t="shared" si="67"/>
        <v>D2C1830006775</v>
      </c>
    </row>
    <row r="4331" spans="1:5" x14ac:dyDescent="0.3">
      <c r="A4331" t="s">
        <v>4858</v>
      </c>
      <c r="B4331">
        <v>1830006984</v>
      </c>
      <c r="C4331" t="s">
        <v>869</v>
      </c>
      <c r="D4331" t="s">
        <v>4933</v>
      </c>
      <c r="E4331" t="str">
        <f t="shared" si="67"/>
        <v>D2C1830006984</v>
      </c>
    </row>
    <row r="4332" spans="1:5" x14ac:dyDescent="0.3">
      <c r="A4332" t="s">
        <v>4858</v>
      </c>
      <c r="B4332">
        <v>1830007057</v>
      </c>
      <c r="C4332" t="s">
        <v>4340</v>
      </c>
      <c r="D4332" t="s">
        <v>4934</v>
      </c>
      <c r="E4332" t="str">
        <f t="shared" si="67"/>
        <v>D2C1830007057</v>
      </c>
    </row>
    <row r="4333" spans="1:5" x14ac:dyDescent="0.3">
      <c r="A4333" t="s">
        <v>4858</v>
      </c>
      <c r="B4333">
        <v>1830007105</v>
      </c>
      <c r="C4333" t="s">
        <v>355</v>
      </c>
      <c r="D4333" t="s">
        <v>4935</v>
      </c>
      <c r="E4333" t="str">
        <f t="shared" si="67"/>
        <v>D2C1830007105</v>
      </c>
    </row>
    <row r="4334" spans="1:5" x14ac:dyDescent="0.3">
      <c r="A4334" t="s">
        <v>4858</v>
      </c>
      <c r="B4334">
        <v>1830007142</v>
      </c>
      <c r="C4334" t="s">
        <v>2286</v>
      </c>
      <c r="D4334" t="s">
        <v>4936</v>
      </c>
      <c r="E4334" t="str">
        <f t="shared" si="67"/>
        <v>D2C1830007142</v>
      </c>
    </row>
    <row r="4335" spans="1:5" x14ac:dyDescent="0.3">
      <c r="A4335" t="s">
        <v>4858</v>
      </c>
      <c r="B4335">
        <v>1830007156</v>
      </c>
      <c r="C4335" t="s">
        <v>411</v>
      </c>
      <c r="D4335" t="s">
        <v>4937</v>
      </c>
      <c r="E4335" t="str">
        <f t="shared" si="67"/>
        <v>D2C1830007156</v>
      </c>
    </row>
    <row r="4336" spans="1:5" x14ac:dyDescent="0.3">
      <c r="A4336" t="s">
        <v>4858</v>
      </c>
      <c r="B4336">
        <v>1830007269</v>
      </c>
      <c r="C4336" t="s">
        <v>1092</v>
      </c>
      <c r="D4336" t="s">
        <v>4938</v>
      </c>
      <c r="E4336" t="str">
        <f t="shared" si="67"/>
        <v>D2C1830007269</v>
      </c>
    </row>
    <row r="4337" spans="1:5" x14ac:dyDescent="0.3">
      <c r="A4337" t="s">
        <v>4858</v>
      </c>
      <c r="B4337">
        <v>1830007359</v>
      </c>
      <c r="C4337" t="s">
        <v>19</v>
      </c>
      <c r="D4337" t="s">
        <v>4939</v>
      </c>
      <c r="E4337" t="str">
        <f t="shared" si="67"/>
        <v>D2C1830007359</v>
      </c>
    </row>
    <row r="4338" spans="1:5" x14ac:dyDescent="0.3">
      <c r="A4338" t="s">
        <v>4858</v>
      </c>
      <c r="B4338">
        <v>1830007520</v>
      </c>
      <c r="C4338" t="s">
        <v>7</v>
      </c>
      <c r="D4338" t="s">
        <v>4940</v>
      </c>
      <c r="E4338" t="str">
        <f t="shared" si="67"/>
        <v>D2C1830007520</v>
      </c>
    </row>
    <row r="4339" spans="1:5" x14ac:dyDescent="0.3">
      <c r="A4339" t="s">
        <v>4858</v>
      </c>
      <c r="B4339">
        <v>1830007550</v>
      </c>
      <c r="C4339" t="s">
        <v>4773</v>
      </c>
      <c r="D4339" t="s">
        <v>4941</v>
      </c>
      <c r="E4339" t="str">
        <f t="shared" si="67"/>
        <v>D2C1830007550</v>
      </c>
    </row>
    <row r="4340" spans="1:5" x14ac:dyDescent="0.3">
      <c r="A4340" t="s">
        <v>4858</v>
      </c>
      <c r="B4340">
        <v>1830007565</v>
      </c>
      <c r="C4340" t="s">
        <v>1170</v>
      </c>
      <c r="D4340" t="s">
        <v>4942</v>
      </c>
      <c r="E4340" t="str">
        <f t="shared" si="67"/>
        <v>D2C1830007565</v>
      </c>
    </row>
    <row r="4341" spans="1:5" x14ac:dyDescent="0.3">
      <c r="A4341" t="s">
        <v>4858</v>
      </c>
      <c r="B4341">
        <v>1830007569</v>
      </c>
      <c r="C4341" t="s">
        <v>1612</v>
      </c>
      <c r="D4341" t="s">
        <v>4943</v>
      </c>
      <c r="E4341" t="str">
        <f t="shared" si="67"/>
        <v>D2C1830007569</v>
      </c>
    </row>
    <row r="4342" spans="1:5" x14ac:dyDescent="0.3">
      <c r="A4342" t="s">
        <v>4858</v>
      </c>
      <c r="B4342">
        <v>1830007584</v>
      </c>
      <c r="C4342" t="s">
        <v>1029</v>
      </c>
      <c r="D4342" t="s">
        <v>4944</v>
      </c>
      <c r="E4342" t="str">
        <f t="shared" si="67"/>
        <v>D2C1830007584</v>
      </c>
    </row>
    <row r="4343" spans="1:5" x14ac:dyDescent="0.3">
      <c r="A4343" t="s">
        <v>4858</v>
      </c>
      <c r="B4343">
        <v>1830007629</v>
      </c>
      <c r="C4343" t="s">
        <v>1073</v>
      </c>
      <c r="D4343" t="s">
        <v>4945</v>
      </c>
      <c r="E4343" t="str">
        <f t="shared" si="67"/>
        <v>D2C1830007629</v>
      </c>
    </row>
    <row r="4344" spans="1:5" x14ac:dyDescent="0.3">
      <c r="A4344" t="s">
        <v>4858</v>
      </c>
      <c r="B4344">
        <v>1830007634</v>
      </c>
      <c r="C4344" t="s">
        <v>2202</v>
      </c>
      <c r="D4344" t="s">
        <v>4946</v>
      </c>
      <c r="E4344" t="str">
        <f t="shared" si="67"/>
        <v>D2C1830007634</v>
      </c>
    </row>
    <row r="4345" spans="1:5" x14ac:dyDescent="0.3">
      <c r="A4345" t="s">
        <v>4858</v>
      </c>
      <c r="B4345">
        <v>1830007642</v>
      </c>
      <c r="C4345" t="s">
        <v>1155</v>
      </c>
      <c r="D4345" t="s">
        <v>4947</v>
      </c>
      <c r="E4345" t="str">
        <f t="shared" si="67"/>
        <v>D2C1830007642</v>
      </c>
    </row>
    <row r="4346" spans="1:5" x14ac:dyDescent="0.3">
      <c r="A4346" t="s">
        <v>4858</v>
      </c>
      <c r="B4346">
        <v>1830007679</v>
      </c>
      <c r="C4346" t="s">
        <v>1246</v>
      </c>
      <c r="D4346" t="s">
        <v>4948</v>
      </c>
      <c r="E4346" t="str">
        <f t="shared" si="67"/>
        <v>D2C1830007679</v>
      </c>
    </row>
    <row r="4347" spans="1:5" x14ac:dyDescent="0.3">
      <c r="A4347" t="s">
        <v>4858</v>
      </c>
      <c r="B4347">
        <v>1830007715</v>
      </c>
      <c r="C4347" t="s">
        <v>409</v>
      </c>
      <c r="D4347" t="s">
        <v>4949</v>
      </c>
      <c r="E4347" t="str">
        <f t="shared" si="67"/>
        <v>D2C1830007715</v>
      </c>
    </row>
    <row r="4348" spans="1:5" x14ac:dyDescent="0.3">
      <c r="A4348" t="s">
        <v>4858</v>
      </c>
      <c r="B4348">
        <v>1830007725</v>
      </c>
      <c r="C4348" t="s">
        <v>21</v>
      </c>
      <c r="D4348" t="s">
        <v>4950</v>
      </c>
      <c r="E4348" t="str">
        <f t="shared" si="67"/>
        <v>D2C1830007725</v>
      </c>
    </row>
    <row r="4349" spans="1:5" x14ac:dyDescent="0.3">
      <c r="A4349" t="s">
        <v>4858</v>
      </c>
      <c r="B4349">
        <v>1830007750</v>
      </c>
      <c r="C4349" t="s">
        <v>1090</v>
      </c>
      <c r="D4349" t="s">
        <v>4951</v>
      </c>
      <c r="E4349" t="str">
        <f t="shared" si="67"/>
        <v>D2C1830007750</v>
      </c>
    </row>
    <row r="4350" spans="1:5" x14ac:dyDescent="0.3">
      <c r="A4350" t="s">
        <v>4858</v>
      </c>
      <c r="B4350">
        <v>1830007760</v>
      </c>
      <c r="C4350" t="s">
        <v>17</v>
      </c>
      <c r="D4350" t="s">
        <v>4952</v>
      </c>
      <c r="E4350" t="str">
        <f t="shared" si="67"/>
        <v>D2C1830007760</v>
      </c>
    </row>
    <row r="4351" spans="1:5" x14ac:dyDescent="0.3">
      <c r="A4351" t="s">
        <v>4858</v>
      </c>
      <c r="B4351">
        <v>1830007809</v>
      </c>
      <c r="C4351" t="s">
        <v>410</v>
      </c>
      <c r="D4351" t="s">
        <v>4953</v>
      </c>
      <c r="E4351" t="str">
        <f t="shared" si="67"/>
        <v>D2C1830007809</v>
      </c>
    </row>
    <row r="4352" spans="1:5" x14ac:dyDescent="0.3">
      <c r="A4352" t="s">
        <v>4858</v>
      </c>
      <c r="B4352">
        <v>1830007903</v>
      </c>
      <c r="C4352" t="s">
        <v>3693</v>
      </c>
      <c r="D4352" t="s">
        <v>4954</v>
      </c>
      <c r="E4352" t="str">
        <f t="shared" si="67"/>
        <v>D2C1830007903</v>
      </c>
    </row>
    <row r="4353" spans="1:5" x14ac:dyDescent="0.3">
      <c r="A4353" t="s">
        <v>4858</v>
      </c>
      <c r="B4353">
        <v>1830007905</v>
      </c>
      <c r="C4353" t="s">
        <v>1867</v>
      </c>
      <c r="D4353" t="s">
        <v>4955</v>
      </c>
      <c r="E4353" t="str">
        <f t="shared" si="67"/>
        <v>D2C1830007905</v>
      </c>
    </row>
    <row r="4354" spans="1:5" x14ac:dyDescent="0.3">
      <c r="A4354" t="s">
        <v>4858</v>
      </c>
      <c r="B4354">
        <v>1830007909</v>
      </c>
      <c r="C4354" t="s">
        <v>1383</v>
      </c>
      <c r="D4354" t="s">
        <v>4956</v>
      </c>
      <c r="E4354" t="str">
        <f t="shared" si="67"/>
        <v>D2C1830007909</v>
      </c>
    </row>
    <row r="4355" spans="1:5" x14ac:dyDescent="0.3">
      <c r="A4355" t="s">
        <v>4858</v>
      </c>
      <c r="B4355">
        <v>1830007933</v>
      </c>
      <c r="C4355" t="s">
        <v>98</v>
      </c>
      <c r="D4355" t="s">
        <v>4957</v>
      </c>
      <c r="E4355" t="str">
        <f t="shared" ref="E4355:E4418" si="68">A4355&amp;B4355</f>
        <v>D2C1830007933</v>
      </c>
    </row>
    <row r="4356" spans="1:5" x14ac:dyDescent="0.3">
      <c r="A4356" t="s">
        <v>4858</v>
      </c>
      <c r="B4356">
        <v>1830007964</v>
      </c>
      <c r="C4356" t="s">
        <v>4859</v>
      </c>
      <c r="D4356" t="s">
        <v>4958</v>
      </c>
      <c r="E4356" t="str">
        <f t="shared" si="68"/>
        <v>D2C1830007964</v>
      </c>
    </row>
    <row r="4357" spans="1:5" x14ac:dyDescent="0.3">
      <c r="A4357" t="s">
        <v>4858</v>
      </c>
      <c r="B4357">
        <v>1830007978</v>
      </c>
      <c r="C4357" t="s">
        <v>4490</v>
      </c>
      <c r="D4357" t="s">
        <v>4959</v>
      </c>
      <c r="E4357" t="str">
        <f t="shared" si="68"/>
        <v>D2C1830007978</v>
      </c>
    </row>
    <row r="4358" spans="1:5" x14ac:dyDescent="0.3">
      <c r="A4358" t="s">
        <v>4858</v>
      </c>
      <c r="B4358">
        <v>1830008022</v>
      </c>
      <c r="C4358" t="s">
        <v>100</v>
      </c>
      <c r="D4358" t="s">
        <v>4960</v>
      </c>
      <c r="E4358" t="str">
        <f t="shared" si="68"/>
        <v>D2C1830008022</v>
      </c>
    </row>
    <row r="4359" spans="1:5" x14ac:dyDescent="0.3">
      <c r="A4359" t="s">
        <v>4858</v>
      </c>
      <c r="B4359">
        <v>1830008164</v>
      </c>
      <c r="C4359" t="s">
        <v>1533</v>
      </c>
      <c r="D4359" t="s">
        <v>4961</v>
      </c>
      <c r="E4359" t="str">
        <f t="shared" si="68"/>
        <v>D2C1830008164</v>
      </c>
    </row>
    <row r="4360" spans="1:5" x14ac:dyDescent="0.3">
      <c r="A4360" t="s">
        <v>4858</v>
      </c>
      <c r="B4360">
        <v>1830008168</v>
      </c>
      <c r="C4360" t="s">
        <v>1571</v>
      </c>
      <c r="D4360" t="s">
        <v>4962</v>
      </c>
      <c r="E4360" t="str">
        <f t="shared" si="68"/>
        <v>D2C1830008168</v>
      </c>
    </row>
    <row r="4361" spans="1:5" x14ac:dyDescent="0.3">
      <c r="A4361" t="s">
        <v>4858</v>
      </c>
      <c r="B4361">
        <v>1830008169</v>
      </c>
      <c r="C4361" t="s">
        <v>1270</v>
      </c>
      <c r="D4361" t="s">
        <v>4963</v>
      </c>
      <c r="E4361" t="str">
        <f t="shared" si="68"/>
        <v>D2C1830008169</v>
      </c>
    </row>
    <row r="4362" spans="1:5" x14ac:dyDescent="0.3">
      <c r="A4362" t="s">
        <v>4858</v>
      </c>
      <c r="B4362">
        <v>1830008184</v>
      </c>
      <c r="C4362" t="s">
        <v>1427</v>
      </c>
      <c r="D4362" t="s">
        <v>4964</v>
      </c>
      <c r="E4362" t="str">
        <f t="shared" si="68"/>
        <v>D2C1830008184</v>
      </c>
    </row>
    <row r="4363" spans="1:5" x14ac:dyDescent="0.3">
      <c r="A4363" t="s">
        <v>4858</v>
      </c>
      <c r="B4363">
        <v>1830008187</v>
      </c>
      <c r="C4363" t="s">
        <v>1409</v>
      </c>
      <c r="D4363" t="s">
        <v>4965</v>
      </c>
      <c r="E4363" t="str">
        <f t="shared" si="68"/>
        <v>D2C1830008187</v>
      </c>
    </row>
    <row r="4364" spans="1:5" x14ac:dyDescent="0.3">
      <c r="A4364" t="s">
        <v>4858</v>
      </c>
      <c r="B4364">
        <v>1830008194</v>
      </c>
      <c r="C4364" t="s">
        <v>1355</v>
      </c>
      <c r="D4364" t="s">
        <v>4966</v>
      </c>
      <c r="E4364" t="str">
        <f t="shared" si="68"/>
        <v>D2C1830008194</v>
      </c>
    </row>
    <row r="4365" spans="1:5" x14ac:dyDescent="0.3">
      <c r="A4365" t="s">
        <v>4858</v>
      </c>
      <c r="B4365">
        <v>1830008199</v>
      </c>
      <c r="C4365" t="s">
        <v>1347</v>
      </c>
      <c r="D4365" t="s">
        <v>4967</v>
      </c>
      <c r="E4365" t="str">
        <f t="shared" si="68"/>
        <v>D2C1830008199</v>
      </c>
    </row>
    <row r="4366" spans="1:5" x14ac:dyDescent="0.3">
      <c r="A4366" t="s">
        <v>4858</v>
      </c>
      <c r="B4366">
        <v>1830008214</v>
      </c>
      <c r="C4366" t="s">
        <v>1557</v>
      </c>
      <c r="D4366" t="s">
        <v>4968</v>
      </c>
      <c r="E4366" t="str">
        <f t="shared" si="68"/>
        <v>D2C1830008214</v>
      </c>
    </row>
    <row r="4367" spans="1:5" x14ac:dyDescent="0.3">
      <c r="A4367" t="s">
        <v>4858</v>
      </c>
      <c r="B4367">
        <v>1830008216</v>
      </c>
      <c r="C4367" t="s">
        <v>1439</v>
      </c>
      <c r="D4367" t="s">
        <v>4969</v>
      </c>
      <c r="E4367" t="str">
        <f t="shared" si="68"/>
        <v>D2C1830008216</v>
      </c>
    </row>
    <row r="4368" spans="1:5" x14ac:dyDescent="0.3">
      <c r="A4368" t="s">
        <v>4858</v>
      </c>
      <c r="B4368">
        <v>1830008217</v>
      </c>
      <c r="C4368" t="s">
        <v>1969</v>
      </c>
      <c r="D4368" t="s">
        <v>4970</v>
      </c>
      <c r="E4368" t="str">
        <f t="shared" si="68"/>
        <v>D2C1830008217</v>
      </c>
    </row>
    <row r="4369" spans="1:5" x14ac:dyDescent="0.3">
      <c r="A4369" t="s">
        <v>4858</v>
      </c>
      <c r="B4369">
        <v>1830008218</v>
      </c>
      <c r="C4369" t="s">
        <v>3552</v>
      </c>
      <c r="D4369" t="s">
        <v>4971</v>
      </c>
      <c r="E4369" t="str">
        <f t="shared" si="68"/>
        <v>D2C1830008218</v>
      </c>
    </row>
    <row r="4370" spans="1:5" x14ac:dyDescent="0.3">
      <c r="A4370" t="s">
        <v>4858</v>
      </c>
      <c r="B4370">
        <v>1830008227</v>
      </c>
      <c r="C4370" t="s">
        <v>10</v>
      </c>
      <c r="D4370" t="s">
        <v>4972</v>
      </c>
      <c r="E4370" t="str">
        <f t="shared" si="68"/>
        <v>D2C1830008227</v>
      </c>
    </row>
    <row r="4371" spans="1:5" x14ac:dyDescent="0.3">
      <c r="A4371" t="s">
        <v>4858</v>
      </c>
      <c r="B4371">
        <v>1830008233</v>
      </c>
      <c r="C4371" t="s">
        <v>13</v>
      </c>
      <c r="D4371" t="s">
        <v>4973</v>
      </c>
      <c r="E4371" t="str">
        <f t="shared" si="68"/>
        <v>D2C1830008233</v>
      </c>
    </row>
    <row r="4372" spans="1:5" x14ac:dyDescent="0.3">
      <c r="A4372" t="s">
        <v>4858</v>
      </c>
      <c r="B4372">
        <v>1830008239</v>
      </c>
      <c r="C4372" t="s">
        <v>408</v>
      </c>
      <c r="D4372" t="s">
        <v>4974</v>
      </c>
      <c r="E4372" t="str">
        <f t="shared" si="68"/>
        <v>D2C1830008239</v>
      </c>
    </row>
    <row r="4373" spans="1:5" x14ac:dyDescent="0.3">
      <c r="A4373" t="s">
        <v>4858</v>
      </c>
      <c r="B4373">
        <v>1830008260</v>
      </c>
      <c r="C4373" t="s">
        <v>102</v>
      </c>
      <c r="D4373" t="s">
        <v>4975</v>
      </c>
      <c r="E4373" t="str">
        <f t="shared" si="68"/>
        <v>D2C1830008260</v>
      </c>
    </row>
    <row r="4374" spans="1:5" x14ac:dyDescent="0.3">
      <c r="A4374" t="s">
        <v>4858</v>
      </c>
      <c r="B4374">
        <v>1830008290</v>
      </c>
      <c r="C4374" t="s">
        <v>15</v>
      </c>
      <c r="D4374" t="s">
        <v>4976</v>
      </c>
      <c r="E4374" t="str">
        <f t="shared" si="68"/>
        <v>D2C1830008290</v>
      </c>
    </row>
    <row r="4375" spans="1:5" x14ac:dyDescent="0.3">
      <c r="A4375" t="s">
        <v>4858</v>
      </c>
      <c r="B4375">
        <v>1830008313</v>
      </c>
      <c r="C4375" t="s">
        <v>214</v>
      </c>
      <c r="D4375" t="s">
        <v>4977</v>
      </c>
      <c r="E4375" t="str">
        <f t="shared" si="68"/>
        <v>D2C1830008313</v>
      </c>
    </row>
    <row r="4376" spans="1:5" x14ac:dyDescent="0.3">
      <c r="A4376" t="s">
        <v>4858</v>
      </c>
      <c r="B4376">
        <v>1830008396</v>
      </c>
      <c r="C4376" t="s">
        <v>3753</v>
      </c>
      <c r="D4376" t="s">
        <v>4978</v>
      </c>
      <c r="E4376" t="str">
        <f t="shared" si="68"/>
        <v>D2C1830008396</v>
      </c>
    </row>
    <row r="4377" spans="1:5" x14ac:dyDescent="0.3">
      <c r="A4377" t="s">
        <v>4858</v>
      </c>
      <c r="B4377">
        <v>1830008461</v>
      </c>
      <c r="C4377" t="s">
        <v>424</v>
      </c>
      <c r="D4377" t="s">
        <v>4979</v>
      </c>
      <c r="E4377" t="str">
        <f t="shared" si="68"/>
        <v>D2C1830008461</v>
      </c>
    </row>
    <row r="4378" spans="1:5" x14ac:dyDescent="0.3">
      <c r="A4378" t="s">
        <v>4858</v>
      </c>
      <c r="B4378">
        <v>1830008468</v>
      </c>
      <c r="C4378" t="s">
        <v>1645</v>
      </c>
      <c r="D4378" t="s">
        <v>4980</v>
      </c>
      <c r="E4378" t="str">
        <f t="shared" si="68"/>
        <v>D2C1830008468</v>
      </c>
    </row>
    <row r="4379" spans="1:5" x14ac:dyDescent="0.3">
      <c r="A4379" t="s">
        <v>4858</v>
      </c>
      <c r="B4379">
        <v>1830008493</v>
      </c>
      <c r="C4379" t="s">
        <v>1621</v>
      </c>
      <c r="D4379" t="s">
        <v>4981</v>
      </c>
      <c r="E4379" t="str">
        <f t="shared" si="68"/>
        <v>D2C1830008493</v>
      </c>
    </row>
    <row r="4380" spans="1:5" x14ac:dyDescent="0.3">
      <c r="A4380" t="s">
        <v>4858</v>
      </c>
      <c r="B4380">
        <v>1830008506</v>
      </c>
      <c r="C4380" t="s">
        <v>1639</v>
      </c>
      <c r="D4380" t="s">
        <v>4982</v>
      </c>
      <c r="E4380" t="str">
        <f t="shared" si="68"/>
        <v>D2C1830008506</v>
      </c>
    </row>
    <row r="4381" spans="1:5" x14ac:dyDescent="0.3">
      <c r="A4381" t="s">
        <v>4858</v>
      </c>
      <c r="B4381">
        <v>1830008513</v>
      </c>
      <c r="C4381" t="s">
        <v>112</v>
      </c>
      <c r="D4381" t="s">
        <v>4983</v>
      </c>
      <c r="E4381" t="str">
        <f t="shared" si="68"/>
        <v>D2C1830008513</v>
      </c>
    </row>
    <row r="4382" spans="1:5" x14ac:dyDescent="0.3">
      <c r="A4382" t="s">
        <v>4858</v>
      </c>
      <c r="B4382">
        <v>1830008518</v>
      </c>
      <c r="C4382" t="s">
        <v>111</v>
      </c>
      <c r="D4382" t="s">
        <v>4984</v>
      </c>
      <c r="E4382" t="str">
        <f t="shared" si="68"/>
        <v>D2C1830008518</v>
      </c>
    </row>
    <row r="4383" spans="1:5" x14ac:dyDescent="0.3">
      <c r="A4383" t="s">
        <v>4858</v>
      </c>
      <c r="B4383">
        <v>1830008532</v>
      </c>
      <c r="C4383" t="s">
        <v>1694</v>
      </c>
      <c r="D4383" t="s">
        <v>4985</v>
      </c>
      <c r="E4383" t="str">
        <f t="shared" si="68"/>
        <v>D2C1830008532</v>
      </c>
    </row>
    <row r="4384" spans="1:5" x14ac:dyDescent="0.3">
      <c r="A4384" t="s">
        <v>4858</v>
      </c>
      <c r="B4384">
        <v>1830008554</v>
      </c>
      <c r="C4384" t="s">
        <v>1635</v>
      </c>
      <c r="D4384" t="s">
        <v>4986</v>
      </c>
      <c r="E4384" t="str">
        <f t="shared" si="68"/>
        <v>D2C1830008554</v>
      </c>
    </row>
    <row r="4385" spans="1:5" x14ac:dyDescent="0.3">
      <c r="A4385" t="s">
        <v>4858</v>
      </c>
      <c r="B4385">
        <v>1830008556</v>
      </c>
      <c r="C4385" t="s">
        <v>1633</v>
      </c>
      <c r="D4385" t="s">
        <v>4987</v>
      </c>
      <c r="E4385" t="str">
        <f t="shared" si="68"/>
        <v>D2C1830008556</v>
      </c>
    </row>
    <row r="4386" spans="1:5" x14ac:dyDescent="0.3">
      <c r="A4386" t="s">
        <v>4858</v>
      </c>
      <c r="B4386">
        <v>1830008557</v>
      </c>
      <c r="C4386" t="s">
        <v>1631</v>
      </c>
      <c r="D4386" t="s">
        <v>4988</v>
      </c>
      <c r="E4386" t="str">
        <f t="shared" si="68"/>
        <v>D2C1830008557</v>
      </c>
    </row>
    <row r="4387" spans="1:5" x14ac:dyDescent="0.3">
      <c r="A4387" t="s">
        <v>4858</v>
      </c>
      <c r="B4387">
        <v>1830008582</v>
      </c>
      <c r="C4387" t="s">
        <v>1700</v>
      </c>
      <c r="D4387" t="s">
        <v>4989</v>
      </c>
      <c r="E4387" t="str">
        <f t="shared" si="68"/>
        <v>D2C1830008582</v>
      </c>
    </row>
    <row r="4388" spans="1:5" x14ac:dyDescent="0.3">
      <c r="A4388" t="s">
        <v>4858</v>
      </c>
      <c r="B4388">
        <v>2100058891</v>
      </c>
      <c r="C4388" t="s">
        <v>586</v>
      </c>
      <c r="D4388" t="s">
        <v>4990</v>
      </c>
      <c r="E4388" t="str">
        <f t="shared" si="68"/>
        <v>D2C2100058891</v>
      </c>
    </row>
    <row r="4389" spans="1:5" x14ac:dyDescent="0.3">
      <c r="A4389" t="s">
        <v>4858</v>
      </c>
      <c r="B4389">
        <v>2100087317</v>
      </c>
      <c r="C4389" t="s">
        <v>3002</v>
      </c>
      <c r="D4389" t="s">
        <v>4991</v>
      </c>
      <c r="E4389" t="str">
        <f t="shared" si="68"/>
        <v>D2C2100087317</v>
      </c>
    </row>
    <row r="4390" spans="1:5" x14ac:dyDescent="0.3">
      <c r="A4390" t="s">
        <v>4858</v>
      </c>
      <c r="B4390">
        <v>2100087318</v>
      </c>
      <c r="C4390" t="s">
        <v>1295</v>
      </c>
      <c r="D4390" t="s">
        <v>4992</v>
      </c>
      <c r="E4390" t="str">
        <f t="shared" si="68"/>
        <v>D2C2100087318</v>
      </c>
    </row>
    <row r="4391" spans="1:5" x14ac:dyDescent="0.3">
      <c r="A4391" t="s">
        <v>4858</v>
      </c>
      <c r="B4391">
        <v>2100087319</v>
      </c>
      <c r="C4391" t="s">
        <v>3050</v>
      </c>
      <c r="D4391">
        <v>0</v>
      </c>
      <c r="E4391" t="str">
        <f t="shared" si="68"/>
        <v>D2C2100087319</v>
      </c>
    </row>
    <row r="4392" spans="1:5" x14ac:dyDescent="0.3">
      <c r="A4392" t="s">
        <v>4858</v>
      </c>
      <c r="B4392">
        <v>2100087320</v>
      </c>
      <c r="C4392" t="s">
        <v>1299</v>
      </c>
      <c r="D4392" t="s">
        <v>4993</v>
      </c>
      <c r="E4392" t="str">
        <f t="shared" si="68"/>
        <v>D2C2100087320</v>
      </c>
    </row>
    <row r="4393" spans="1:5" x14ac:dyDescent="0.3">
      <c r="A4393" t="s">
        <v>4858</v>
      </c>
      <c r="B4393">
        <v>2100087321</v>
      </c>
      <c r="C4393" t="s">
        <v>1291</v>
      </c>
      <c r="D4393" t="s">
        <v>4994</v>
      </c>
      <c r="E4393" t="str">
        <f t="shared" si="68"/>
        <v>D2C2100087321</v>
      </c>
    </row>
    <row r="4394" spans="1:5" x14ac:dyDescent="0.3">
      <c r="A4394" t="s">
        <v>4858</v>
      </c>
      <c r="B4394">
        <v>2100087323</v>
      </c>
      <c r="C4394" t="s">
        <v>1293</v>
      </c>
      <c r="D4394" t="s">
        <v>4995</v>
      </c>
      <c r="E4394" t="str">
        <f t="shared" si="68"/>
        <v>D2C2100087323</v>
      </c>
    </row>
    <row r="4395" spans="1:5" x14ac:dyDescent="0.3">
      <c r="A4395" t="s">
        <v>4858</v>
      </c>
      <c r="B4395">
        <v>2100087325</v>
      </c>
      <c r="C4395" t="s">
        <v>4861</v>
      </c>
      <c r="D4395" t="s">
        <v>4996</v>
      </c>
      <c r="E4395" t="str">
        <f t="shared" si="68"/>
        <v>D2C2100087325</v>
      </c>
    </row>
    <row r="4396" spans="1:5" x14ac:dyDescent="0.3">
      <c r="A4396" t="s">
        <v>4858</v>
      </c>
      <c r="B4396">
        <v>2100087329</v>
      </c>
      <c r="C4396" t="s">
        <v>4862</v>
      </c>
      <c r="D4396" t="s">
        <v>4997</v>
      </c>
      <c r="E4396" t="str">
        <f t="shared" si="68"/>
        <v>D2C2100087329</v>
      </c>
    </row>
    <row r="4397" spans="1:5" x14ac:dyDescent="0.3">
      <c r="A4397" t="s">
        <v>4858</v>
      </c>
      <c r="B4397">
        <v>2100087330</v>
      </c>
      <c r="C4397" t="s">
        <v>1301</v>
      </c>
      <c r="D4397" t="s">
        <v>4998</v>
      </c>
      <c r="E4397" t="str">
        <f t="shared" si="68"/>
        <v>D2C2100087330</v>
      </c>
    </row>
    <row r="4398" spans="1:5" x14ac:dyDescent="0.3">
      <c r="A4398" t="s">
        <v>4858</v>
      </c>
      <c r="B4398">
        <v>2100087332</v>
      </c>
      <c r="C4398" t="s">
        <v>4863</v>
      </c>
      <c r="D4398" t="s">
        <v>4999</v>
      </c>
      <c r="E4398" t="str">
        <f t="shared" si="68"/>
        <v>D2C2100087332</v>
      </c>
    </row>
    <row r="4399" spans="1:5" x14ac:dyDescent="0.3">
      <c r="A4399" t="s">
        <v>4858</v>
      </c>
      <c r="B4399">
        <v>2100087333</v>
      </c>
      <c r="C4399" t="s">
        <v>4864</v>
      </c>
      <c r="D4399" t="s">
        <v>5000</v>
      </c>
      <c r="E4399" t="str">
        <f t="shared" si="68"/>
        <v>D2C2100087333</v>
      </c>
    </row>
    <row r="4400" spans="1:5" x14ac:dyDescent="0.3">
      <c r="A4400" t="s">
        <v>4858</v>
      </c>
      <c r="B4400">
        <v>2100087393</v>
      </c>
      <c r="C4400" t="s">
        <v>1297</v>
      </c>
      <c r="D4400" t="s">
        <v>5001</v>
      </c>
      <c r="E4400" t="str">
        <f t="shared" si="68"/>
        <v>D2C2100087393</v>
      </c>
    </row>
    <row r="4401" spans="1:5" x14ac:dyDescent="0.3">
      <c r="A4401" t="s">
        <v>4858</v>
      </c>
      <c r="B4401">
        <v>2100087400</v>
      </c>
      <c r="C4401" t="s">
        <v>4865</v>
      </c>
      <c r="D4401" t="s">
        <v>5002</v>
      </c>
      <c r="E4401" t="str">
        <f t="shared" si="68"/>
        <v>D2C2100087400</v>
      </c>
    </row>
    <row r="4402" spans="1:5" x14ac:dyDescent="0.3">
      <c r="A4402" t="s">
        <v>4858</v>
      </c>
      <c r="B4402">
        <v>2100088630</v>
      </c>
      <c r="C4402" t="s">
        <v>2440</v>
      </c>
      <c r="D4402" t="s">
        <v>5003</v>
      </c>
      <c r="E4402" t="str">
        <f t="shared" si="68"/>
        <v>D2C2100088630</v>
      </c>
    </row>
    <row r="4403" spans="1:5" x14ac:dyDescent="0.3">
      <c r="A4403" t="s">
        <v>4858</v>
      </c>
      <c r="B4403">
        <v>2100104356</v>
      </c>
      <c r="C4403" t="s">
        <v>1688</v>
      </c>
      <c r="D4403" t="s">
        <v>5004</v>
      </c>
      <c r="E4403" t="str">
        <f t="shared" si="68"/>
        <v>D2C2100104356</v>
      </c>
    </row>
    <row r="4404" spans="1:5" x14ac:dyDescent="0.3">
      <c r="A4404" t="s">
        <v>4858</v>
      </c>
      <c r="B4404">
        <v>2100108801</v>
      </c>
      <c r="C4404" t="s">
        <v>4866</v>
      </c>
      <c r="D4404" t="s">
        <v>5005</v>
      </c>
      <c r="E4404" t="str">
        <f t="shared" si="68"/>
        <v>D2C2100108801</v>
      </c>
    </row>
    <row r="4405" spans="1:5" x14ac:dyDescent="0.3">
      <c r="A4405" t="s">
        <v>4858</v>
      </c>
      <c r="B4405">
        <v>2100108802</v>
      </c>
      <c r="C4405" t="s">
        <v>4867</v>
      </c>
      <c r="D4405" t="s">
        <v>5006</v>
      </c>
      <c r="E4405" t="str">
        <f t="shared" si="68"/>
        <v>D2C2100108802</v>
      </c>
    </row>
    <row r="4406" spans="1:5" x14ac:dyDescent="0.3">
      <c r="A4406" t="s">
        <v>4858</v>
      </c>
      <c r="B4406">
        <v>2100108803</v>
      </c>
      <c r="C4406" t="s">
        <v>4868</v>
      </c>
      <c r="D4406" t="s">
        <v>5007</v>
      </c>
      <c r="E4406" t="str">
        <f t="shared" si="68"/>
        <v>D2C2100108803</v>
      </c>
    </row>
    <row r="4407" spans="1:5" x14ac:dyDescent="0.3">
      <c r="A4407" t="s">
        <v>4858</v>
      </c>
      <c r="B4407">
        <v>2100110589</v>
      </c>
      <c r="C4407" t="s">
        <v>1488</v>
      </c>
      <c r="D4407" t="s">
        <v>5008</v>
      </c>
      <c r="E4407" t="str">
        <f t="shared" si="68"/>
        <v>D2C2100110589</v>
      </c>
    </row>
    <row r="4408" spans="1:5" x14ac:dyDescent="0.3">
      <c r="A4408" t="s">
        <v>4858</v>
      </c>
      <c r="B4408">
        <v>2100114427</v>
      </c>
      <c r="C4408" t="s">
        <v>4276</v>
      </c>
      <c r="D4408" t="s">
        <v>5009</v>
      </c>
      <c r="E4408" t="str">
        <f t="shared" si="68"/>
        <v>D2C2100114427</v>
      </c>
    </row>
    <row r="4409" spans="1:5" x14ac:dyDescent="0.3">
      <c r="A4409" t="s">
        <v>4858</v>
      </c>
      <c r="B4409">
        <v>2100115982</v>
      </c>
      <c r="C4409" t="s">
        <v>85</v>
      </c>
      <c r="D4409" t="s">
        <v>5010</v>
      </c>
      <c r="E4409" t="str">
        <f t="shared" si="68"/>
        <v>D2C2100115982</v>
      </c>
    </row>
    <row r="4410" spans="1:5" x14ac:dyDescent="0.3">
      <c r="A4410" t="s">
        <v>4858</v>
      </c>
      <c r="B4410">
        <v>2100116195</v>
      </c>
      <c r="C4410" t="s">
        <v>84</v>
      </c>
      <c r="D4410" t="s">
        <v>5011</v>
      </c>
      <c r="E4410" t="str">
        <f t="shared" si="68"/>
        <v>D2C2100116195</v>
      </c>
    </row>
    <row r="4411" spans="1:5" x14ac:dyDescent="0.3">
      <c r="A4411" t="s">
        <v>4858</v>
      </c>
      <c r="B4411">
        <v>2100117440</v>
      </c>
      <c r="C4411" t="s">
        <v>1561</v>
      </c>
      <c r="D4411" t="s">
        <v>5012</v>
      </c>
      <c r="E4411" t="str">
        <f t="shared" si="68"/>
        <v>D2C2100117440</v>
      </c>
    </row>
    <row r="4412" spans="1:5" x14ac:dyDescent="0.3">
      <c r="A4412" t="s">
        <v>4858</v>
      </c>
      <c r="B4412">
        <v>2100117441</v>
      </c>
      <c r="C4412" t="s">
        <v>4429</v>
      </c>
      <c r="D4412" t="s">
        <v>5013</v>
      </c>
      <c r="E4412" t="str">
        <f t="shared" si="68"/>
        <v>D2C2100117441</v>
      </c>
    </row>
    <row r="4413" spans="1:5" x14ac:dyDescent="0.3">
      <c r="A4413" t="s">
        <v>4858</v>
      </c>
      <c r="B4413">
        <v>2100117531</v>
      </c>
      <c r="C4413" t="s">
        <v>1559</v>
      </c>
      <c r="D4413" t="s">
        <v>5014</v>
      </c>
      <c r="E4413" t="str">
        <f t="shared" si="68"/>
        <v>D2C2100117531</v>
      </c>
    </row>
    <row r="4414" spans="1:5" x14ac:dyDescent="0.3">
      <c r="A4414" t="s">
        <v>4858</v>
      </c>
      <c r="B4414">
        <v>2100117990</v>
      </c>
      <c r="C4414" t="s">
        <v>1563</v>
      </c>
      <c r="D4414" t="s">
        <v>5015</v>
      </c>
      <c r="E4414" t="str">
        <f t="shared" si="68"/>
        <v>D2C2100117990</v>
      </c>
    </row>
    <row r="4415" spans="1:5" x14ac:dyDescent="0.3">
      <c r="A4415" t="s">
        <v>4858</v>
      </c>
      <c r="B4415">
        <v>2100117991</v>
      </c>
      <c r="C4415" t="s">
        <v>1565</v>
      </c>
      <c r="D4415" t="s">
        <v>5016</v>
      </c>
      <c r="E4415" t="str">
        <f t="shared" si="68"/>
        <v>D2C2100117991</v>
      </c>
    </row>
    <row r="4416" spans="1:5" x14ac:dyDescent="0.3">
      <c r="A4416" t="s">
        <v>4858</v>
      </c>
      <c r="B4416">
        <v>2100117992</v>
      </c>
      <c r="C4416" t="s">
        <v>4116</v>
      </c>
      <c r="D4416" t="s">
        <v>5017</v>
      </c>
      <c r="E4416" t="str">
        <f t="shared" si="68"/>
        <v>D2C2100117992</v>
      </c>
    </row>
    <row r="4417" spans="1:5" x14ac:dyDescent="0.3">
      <c r="A4417" t="s">
        <v>4858</v>
      </c>
      <c r="B4417">
        <v>2100118168</v>
      </c>
      <c r="C4417" t="s">
        <v>437</v>
      </c>
      <c r="D4417" t="s">
        <v>5018</v>
      </c>
      <c r="E4417" t="str">
        <f t="shared" si="68"/>
        <v>D2C2100118168</v>
      </c>
    </row>
    <row r="4418" spans="1:5" x14ac:dyDescent="0.3">
      <c r="A4418" t="s">
        <v>4858</v>
      </c>
      <c r="B4418">
        <v>2100118285</v>
      </c>
      <c r="C4418" t="s">
        <v>92</v>
      </c>
      <c r="D4418" t="s">
        <v>5019</v>
      </c>
      <c r="E4418" t="str">
        <f t="shared" si="68"/>
        <v>D2C2100118285</v>
      </c>
    </row>
    <row r="4419" spans="1:5" x14ac:dyDescent="0.3">
      <c r="A4419" t="s">
        <v>4858</v>
      </c>
      <c r="B4419">
        <v>2100118286</v>
      </c>
      <c r="C4419" t="s">
        <v>90</v>
      </c>
      <c r="D4419" t="s">
        <v>5020</v>
      </c>
      <c r="E4419" t="str">
        <f t="shared" ref="E4419:E4482" si="69">A4419&amp;B4419</f>
        <v>D2C2100118286</v>
      </c>
    </row>
    <row r="4420" spans="1:5" x14ac:dyDescent="0.3">
      <c r="A4420" t="s">
        <v>4858</v>
      </c>
      <c r="B4420">
        <v>2100118287</v>
      </c>
      <c r="C4420" t="s">
        <v>3336</v>
      </c>
      <c r="D4420" t="s">
        <v>5021</v>
      </c>
      <c r="E4420" t="str">
        <f t="shared" si="69"/>
        <v>D2C2100118287</v>
      </c>
    </row>
    <row r="4421" spans="1:5" x14ac:dyDescent="0.3">
      <c r="A4421" t="s">
        <v>4858</v>
      </c>
      <c r="B4421">
        <v>2100118288</v>
      </c>
      <c r="C4421" t="s">
        <v>87</v>
      </c>
      <c r="D4421" t="s">
        <v>5022</v>
      </c>
      <c r="E4421" t="str">
        <f t="shared" si="69"/>
        <v>D2C2100118288</v>
      </c>
    </row>
    <row r="4422" spans="1:5" x14ac:dyDescent="0.3">
      <c r="A4422" t="s">
        <v>4858</v>
      </c>
      <c r="B4422">
        <v>2100118289</v>
      </c>
      <c r="C4422" t="s">
        <v>88</v>
      </c>
      <c r="D4422" t="s">
        <v>5023</v>
      </c>
      <c r="E4422" t="str">
        <f t="shared" si="69"/>
        <v>D2C2100118289</v>
      </c>
    </row>
    <row r="4423" spans="1:5" x14ac:dyDescent="0.3">
      <c r="A4423" t="s">
        <v>4858</v>
      </c>
      <c r="B4423">
        <v>2100118290</v>
      </c>
      <c r="C4423" t="s">
        <v>89</v>
      </c>
      <c r="D4423" t="s">
        <v>5024</v>
      </c>
      <c r="E4423" t="str">
        <f t="shared" si="69"/>
        <v>D2C2100118290</v>
      </c>
    </row>
    <row r="4424" spans="1:5" x14ac:dyDescent="0.3">
      <c r="A4424" t="s">
        <v>4858</v>
      </c>
      <c r="B4424">
        <v>2100118291</v>
      </c>
      <c r="C4424" t="s">
        <v>3338</v>
      </c>
      <c r="D4424" t="s">
        <v>5025</v>
      </c>
      <c r="E4424" t="str">
        <f t="shared" si="69"/>
        <v>D2C2100118291</v>
      </c>
    </row>
    <row r="4425" spans="1:5" x14ac:dyDescent="0.3">
      <c r="A4425" t="s">
        <v>4858</v>
      </c>
      <c r="B4425">
        <v>2100118292</v>
      </c>
      <c r="C4425" t="s">
        <v>3334</v>
      </c>
      <c r="D4425" t="s">
        <v>5026</v>
      </c>
      <c r="E4425" t="str">
        <f t="shared" si="69"/>
        <v>D2C2100118292</v>
      </c>
    </row>
    <row r="4426" spans="1:5" x14ac:dyDescent="0.3">
      <c r="A4426" t="s">
        <v>4858</v>
      </c>
      <c r="B4426">
        <v>2100118307</v>
      </c>
      <c r="C4426" t="s">
        <v>1209</v>
      </c>
      <c r="D4426" t="s">
        <v>5027</v>
      </c>
      <c r="E4426" t="str">
        <f t="shared" si="69"/>
        <v>D2C2100118307</v>
      </c>
    </row>
    <row r="4427" spans="1:5" x14ac:dyDescent="0.3">
      <c r="A4427" t="s">
        <v>4858</v>
      </c>
      <c r="B4427">
        <v>2100118308</v>
      </c>
      <c r="C4427" t="s">
        <v>1211</v>
      </c>
      <c r="D4427" t="s">
        <v>5028</v>
      </c>
      <c r="E4427" t="str">
        <f t="shared" si="69"/>
        <v>D2C2100118308</v>
      </c>
    </row>
    <row r="4428" spans="1:5" x14ac:dyDescent="0.3">
      <c r="A4428" t="s">
        <v>4858</v>
      </c>
      <c r="B4428">
        <v>2100118309</v>
      </c>
      <c r="C4428" t="s">
        <v>2161</v>
      </c>
      <c r="D4428" t="s">
        <v>5029</v>
      </c>
      <c r="E4428" t="str">
        <f t="shared" si="69"/>
        <v>D2C2100118309</v>
      </c>
    </row>
    <row r="4429" spans="1:5" x14ac:dyDescent="0.3">
      <c r="A4429" t="s">
        <v>4858</v>
      </c>
      <c r="B4429">
        <v>2100118310</v>
      </c>
      <c r="C4429" t="s">
        <v>1201</v>
      </c>
      <c r="D4429" t="s">
        <v>5030</v>
      </c>
      <c r="E4429" t="str">
        <f t="shared" si="69"/>
        <v>D2C2100118310</v>
      </c>
    </row>
    <row r="4430" spans="1:5" x14ac:dyDescent="0.3">
      <c r="A4430" t="s">
        <v>4858</v>
      </c>
      <c r="B4430">
        <v>2100118311</v>
      </c>
      <c r="C4430" t="s">
        <v>1203</v>
      </c>
      <c r="D4430" t="s">
        <v>5031</v>
      </c>
      <c r="E4430" t="str">
        <f t="shared" si="69"/>
        <v>D2C2100118311</v>
      </c>
    </row>
    <row r="4431" spans="1:5" x14ac:dyDescent="0.3">
      <c r="A4431" t="s">
        <v>4858</v>
      </c>
      <c r="B4431">
        <v>2100118312</v>
      </c>
      <c r="C4431" t="s">
        <v>1205</v>
      </c>
      <c r="D4431" t="s">
        <v>5032</v>
      </c>
      <c r="E4431" t="str">
        <f t="shared" si="69"/>
        <v>D2C2100118312</v>
      </c>
    </row>
    <row r="4432" spans="1:5" x14ac:dyDescent="0.3">
      <c r="A4432" t="s">
        <v>4858</v>
      </c>
      <c r="B4432">
        <v>2100118313</v>
      </c>
      <c r="C4432" t="s">
        <v>4869</v>
      </c>
      <c r="D4432" t="s">
        <v>5033</v>
      </c>
      <c r="E4432" t="str">
        <f t="shared" si="69"/>
        <v>D2C2100118313</v>
      </c>
    </row>
    <row r="4433" spans="1:5" x14ac:dyDescent="0.3">
      <c r="A4433" t="s">
        <v>4858</v>
      </c>
      <c r="B4433">
        <v>2100118460</v>
      </c>
      <c r="C4433" t="s">
        <v>3318</v>
      </c>
      <c r="D4433" t="s">
        <v>5034</v>
      </c>
      <c r="E4433" t="str">
        <f t="shared" si="69"/>
        <v>D2C2100118460</v>
      </c>
    </row>
    <row r="4434" spans="1:5" x14ac:dyDescent="0.3">
      <c r="A4434" t="s">
        <v>4858</v>
      </c>
      <c r="B4434">
        <v>2100118826</v>
      </c>
      <c r="C4434" t="s">
        <v>4280</v>
      </c>
      <c r="D4434" t="s">
        <v>5035</v>
      </c>
      <c r="E4434" t="str">
        <f t="shared" si="69"/>
        <v>D2C2100118826</v>
      </c>
    </row>
    <row r="4435" spans="1:5" x14ac:dyDescent="0.3">
      <c r="A4435" t="s">
        <v>4858</v>
      </c>
      <c r="B4435">
        <v>2100118828</v>
      </c>
      <c r="C4435" t="s">
        <v>1567</v>
      </c>
      <c r="D4435" t="s">
        <v>5036</v>
      </c>
      <c r="E4435" t="str">
        <f t="shared" si="69"/>
        <v>D2C2100118828</v>
      </c>
    </row>
    <row r="4436" spans="1:5" x14ac:dyDescent="0.3">
      <c r="A4436" t="s">
        <v>4858</v>
      </c>
      <c r="B4436">
        <v>2100118933</v>
      </c>
      <c r="C4436" t="s">
        <v>1213</v>
      </c>
      <c r="D4436" t="s">
        <v>5037</v>
      </c>
      <c r="E4436" t="str">
        <f t="shared" si="69"/>
        <v>D2C2100118933</v>
      </c>
    </row>
    <row r="4437" spans="1:5" x14ac:dyDescent="0.3">
      <c r="A4437" t="s">
        <v>4858</v>
      </c>
      <c r="B4437">
        <v>2100119880</v>
      </c>
      <c r="C4437" t="s">
        <v>1490</v>
      </c>
      <c r="D4437" t="s">
        <v>5038</v>
      </c>
      <c r="E4437" t="str">
        <f t="shared" si="69"/>
        <v>D2C2100119880</v>
      </c>
    </row>
    <row r="4438" spans="1:5" x14ac:dyDescent="0.3">
      <c r="A4438" t="s">
        <v>4858</v>
      </c>
      <c r="B4438">
        <v>2100121256</v>
      </c>
      <c r="C4438" t="s">
        <v>4870</v>
      </c>
      <c r="D4438" t="s">
        <v>5039</v>
      </c>
      <c r="E4438" t="str">
        <f t="shared" si="69"/>
        <v>D2C2100121256</v>
      </c>
    </row>
    <row r="4439" spans="1:5" x14ac:dyDescent="0.3">
      <c r="A4439" t="s">
        <v>4858</v>
      </c>
      <c r="B4439">
        <v>2100121258</v>
      </c>
      <c r="C4439" t="s">
        <v>3429</v>
      </c>
      <c r="D4439" t="s">
        <v>5040</v>
      </c>
      <c r="E4439" t="str">
        <f t="shared" si="69"/>
        <v>D2C2100121258</v>
      </c>
    </row>
    <row r="4440" spans="1:5" x14ac:dyDescent="0.3">
      <c r="A4440" t="s">
        <v>4858</v>
      </c>
      <c r="B4440">
        <v>2100121261</v>
      </c>
      <c r="C4440" t="s">
        <v>3372</v>
      </c>
      <c r="D4440" t="s">
        <v>5041</v>
      </c>
      <c r="E4440" t="str">
        <f t="shared" si="69"/>
        <v>D2C2100121261</v>
      </c>
    </row>
    <row r="4441" spans="1:5" x14ac:dyDescent="0.3">
      <c r="A4441" t="s">
        <v>4858</v>
      </c>
      <c r="B4441">
        <v>2100121262</v>
      </c>
      <c r="C4441" t="s">
        <v>3417</v>
      </c>
      <c r="D4441" t="s">
        <v>5042</v>
      </c>
      <c r="E4441" t="str">
        <f t="shared" si="69"/>
        <v>D2C2100121262</v>
      </c>
    </row>
    <row r="4442" spans="1:5" x14ac:dyDescent="0.3">
      <c r="A4442" t="s">
        <v>4858</v>
      </c>
      <c r="B4442">
        <v>2100121266</v>
      </c>
      <c r="C4442" t="s">
        <v>3374</v>
      </c>
      <c r="D4442" t="s">
        <v>5043</v>
      </c>
      <c r="E4442" t="str">
        <f t="shared" si="69"/>
        <v>D2C2100121266</v>
      </c>
    </row>
    <row r="4443" spans="1:5" x14ac:dyDescent="0.3">
      <c r="A4443" t="s">
        <v>4858</v>
      </c>
      <c r="B4443">
        <v>2100121267</v>
      </c>
      <c r="C4443" t="s">
        <v>3412</v>
      </c>
      <c r="D4443" t="s">
        <v>5044</v>
      </c>
      <c r="E4443" t="str">
        <f t="shared" si="69"/>
        <v>D2C2100121267</v>
      </c>
    </row>
    <row r="4444" spans="1:5" x14ac:dyDescent="0.3">
      <c r="A4444" t="s">
        <v>4858</v>
      </c>
      <c r="B4444">
        <v>2100121270</v>
      </c>
      <c r="C4444" t="s">
        <v>4871</v>
      </c>
      <c r="D4444" t="s">
        <v>5045</v>
      </c>
      <c r="E4444" t="str">
        <f t="shared" si="69"/>
        <v>D2C2100121270</v>
      </c>
    </row>
    <row r="4445" spans="1:5" x14ac:dyDescent="0.3">
      <c r="A4445" t="s">
        <v>4858</v>
      </c>
      <c r="B4445">
        <v>2100121273</v>
      </c>
      <c r="C4445" t="s">
        <v>3370</v>
      </c>
      <c r="D4445" t="s">
        <v>5046</v>
      </c>
      <c r="E4445" t="str">
        <f t="shared" si="69"/>
        <v>D2C2100121273</v>
      </c>
    </row>
    <row r="4446" spans="1:5" x14ac:dyDescent="0.3">
      <c r="A4446" t="s">
        <v>4858</v>
      </c>
      <c r="B4446">
        <v>2100121373</v>
      </c>
      <c r="C4446" t="s">
        <v>400</v>
      </c>
      <c r="D4446" t="s">
        <v>5047</v>
      </c>
      <c r="E4446" t="str">
        <f t="shared" si="69"/>
        <v>D2C2100121373</v>
      </c>
    </row>
    <row r="4447" spans="1:5" x14ac:dyDescent="0.3">
      <c r="A4447" t="s">
        <v>4858</v>
      </c>
      <c r="B4447">
        <v>2100121730</v>
      </c>
      <c r="C4447" t="s">
        <v>1494</v>
      </c>
      <c r="D4447" t="s">
        <v>5048</v>
      </c>
      <c r="E4447" t="str">
        <f t="shared" si="69"/>
        <v>D2C2100121730</v>
      </c>
    </row>
    <row r="4448" spans="1:5" x14ac:dyDescent="0.3">
      <c r="A4448" t="s">
        <v>4858</v>
      </c>
      <c r="B4448">
        <v>2100121731</v>
      </c>
      <c r="C4448" t="s">
        <v>3365</v>
      </c>
      <c r="D4448" t="s">
        <v>5049</v>
      </c>
      <c r="E4448" t="str">
        <f t="shared" si="69"/>
        <v>D2C2100121731</v>
      </c>
    </row>
    <row r="4449" spans="1:5" x14ac:dyDescent="0.3">
      <c r="A4449" t="s">
        <v>4858</v>
      </c>
      <c r="B4449">
        <v>2100121732</v>
      </c>
      <c r="C4449" t="s">
        <v>434</v>
      </c>
      <c r="D4449" t="s">
        <v>5050</v>
      </c>
      <c r="E4449" t="str">
        <f t="shared" si="69"/>
        <v>D2C2100121732</v>
      </c>
    </row>
    <row r="4450" spans="1:5" x14ac:dyDescent="0.3">
      <c r="A4450" t="s">
        <v>4858</v>
      </c>
      <c r="B4450">
        <v>2100121737</v>
      </c>
      <c r="C4450" t="s">
        <v>3361</v>
      </c>
      <c r="D4450" t="s">
        <v>5051</v>
      </c>
      <c r="E4450" t="str">
        <f t="shared" si="69"/>
        <v>D2C2100121737</v>
      </c>
    </row>
    <row r="4451" spans="1:5" x14ac:dyDescent="0.3">
      <c r="A4451" t="s">
        <v>4858</v>
      </c>
      <c r="B4451">
        <v>2100121739</v>
      </c>
      <c r="C4451" t="s">
        <v>433</v>
      </c>
      <c r="D4451" t="s">
        <v>5052</v>
      </c>
      <c r="E4451" t="str">
        <f t="shared" si="69"/>
        <v>D2C2100121739</v>
      </c>
    </row>
    <row r="4452" spans="1:5" x14ac:dyDescent="0.3">
      <c r="A4452" t="s">
        <v>4858</v>
      </c>
      <c r="B4452">
        <v>2100121761</v>
      </c>
      <c r="C4452" t="s">
        <v>1498</v>
      </c>
      <c r="D4452" t="s">
        <v>5053</v>
      </c>
      <c r="E4452" t="str">
        <f t="shared" si="69"/>
        <v>D2C2100121761</v>
      </c>
    </row>
    <row r="4453" spans="1:5" x14ac:dyDescent="0.3">
      <c r="A4453" t="s">
        <v>4858</v>
      </c>
      <c r="B4453">
        <v>2100122930</v>
      </c>
      <c r="C4453" t="s">
        <v>401</v>
      </c>
      <c r="D4453" t="s">
        <v>5054</v>
      </c>
      <c r="E4453" t="str">
        <f t="shared" si="69"/>
        <v>D2C2100122930</v>
      </c>
    </row>
    <row r="4454" spans="1:5" x14ac:dyDescent="0.3">
      <c r="A4454" t="s">
        <v>4858</v>
      </c>
      <c r="B4454">
        <v>2211400344</v>
      </c>
      <c r="C4454" t="s">
        <v>1511</v>
      </c>
      <c r="D4454" t="s">
        <v>5055</v>
      </c>
      <c r="E4454" t="str">
        <f t="shared" si="69"/>
        <v>D2C2211400344</v>
      </c>
    </row>
    <row r="4455" spans="1:5" x14ac:dyDescent="0.3">
      <c r="A4455" t="s">
        <v>4858</v>
      </c>
      <c r="B4455">
        <v>2211400482</v>
      </c>
      <c r="C4455" t="s">
        <v>1507</v>
      </c>
      <c r="D4455" t="s">
        <v>5056</v>
      </c>
      <c r="E4455" t="str">
        <f t="shared" si="69"/>
        <v>D2C2211400482</v>
      </c>
    </row>
    <row r="4456" spans="1:5" x14ac:dyDescent="0.3">
      <c r="A4456" t="s">
        <v>4858</v>
      </c>
      <c r="B4456">
        <v>2211400762</v>
      </c>
      <c r="C4456" t="s">
        <v>2171</v>
      </c>
      <c r="D4456" t="s">
        <v>5057</v>
      </c>
      <c r="E4456" t="str">
        <f t="shared" si="69"/>
        <v>D2C2211400762</v>
      </c>
    </row>
    <row r="4457" spans="1:5" x14ac:dyDescent="0.3">
      <c r="A4457" t="s">
        <v>4858</v>
      </c>
      <c r="B4457">
        <v>2211400764</v>
      </c>
      <c r="C4457" t="s">
        <v>1505</v>
      </c>
      <c r="D4457" t="s">
        <v>5058</v>
      </c>
      <c r="E4457" t="str">
        <f t="shared" si="69"/>
        <v>D2C2211400764</v>
      </c>
    </row>
    <row r="4458" spans="1:5" x14ac:dyDescent="0.3">
      <c r="A4458" t="s">
        <v>4858</v>
      </c>
      <c r="B4458">
        <v>2211400796</v>
      </c>
      <c r="C4458" t="s">
        <v>1118</v>
      </c>
      <c r="D4458" t="s">
        <v>5059</v>
      </c>
      <c r="E4458" t="str">
        <f t="shared" si="69"/>
        <v>D2C2211400796</v>
      </c>
    </row>
    <row r="4459" spans="1:5" x14ac:dyDescent="0.3">
      <c r="A4459" t="s">
        <v>4858</v>
      </c>
      <c r="B4459">
        <v>2211400810</v>
      </c>
      <c r="C4459" t="s">
        <v>25</v>
      </c>
      <c r="D4459" t="s">
        <v>5060</v>
      </c>
      <c r="E4459" t="str">
        <f t="shared" si="69"/>
        <v>D2C2211400810</v>
      </c>
    </row>
    <row r="4460" spans="1:5" x14ac:dyDescent="0.3">
      <c r="A4460" t="s">
        <v>4858</v>
      </c>
      <c r="B4460">
        <v>2211400811</v>
      </c>
      <c r="C4460" t="s">
        <v>28</v>
      </c>
      <c r="D4460" t="s">
        <v>5061</v>
      </c>
      <c r="E4460" t="str">
        <f t="shared" si="69"/>
        <v>D2C2211400811</v>
      </c>
    </row>
    <row r="4461" spans="1:5" x14ac:dyDescent="0.3">
      <c r="A4461" t="s">
        <v>4858</v>
      </c>
      <c r="B4461">
        <v>2211400813</v>
      </c>
      <c r="C4461" t="s">
        <v>1779</v>
      </c>
      <c r="D4461" t="s">
        <v>5062</v>
      </c>
      <c r="E4461" t="str">
        <f t="shared" si="69"/>
        <v>D2C2211400813</v>
      </c>
    </row>
    <row r="4462" spans="1:5" x14ac:dyDescent="0.3">
      <c r="A4462" t="s">
        <v>4858</v>
      </c>
      <c r="B4462">
        <v>2211400844</v>
      </c>
      <c r="C4462" t="s">
        <v>27</v>
      </c>
      <c r="D4462" t="s">
        <v>5063</v>
      </c>
      <c r="E4462" t="str">
        <f t="shared" si="69"/>
        <v>D2C2211400844</v>
      </c>
    </row>
    <row r="4463" spans="1:5" x14ac:dyDescent="0.3">
      <c r="A4463" t="s">
        <v>4858</v>
      </c>
      <c r="B4463">
        <v>2211400854</v>
      </c>
      <c r="C4463" t="s">
        <v>29</v>
      </c>
      <c r="D4463" t="s">
        <v>5064</v>
      </c>
      <c r="E4463" t="str">
        <f t="shared" si="69"/>
        <v>D2C2211400854</v>
      </c>
    </row>
    <row r="4464" spans="1:5" x14ac:dyDescent="0.3">
      <c r="A4464" t="s">
        <v>4858</v>
      </c>
      <c r="B4464">
        <v>2211400888</v>
      </c>
      <c r="C4464" t="s">
        <v>38</v>
      </c>
      <c r="D4464" t="s">
        <v>5065</v>
      </c>
      <c r="E4464" t="str">
        <f t="shared" si="69"/>
        <v>D2C2211400888</v>
      </c>
    </row>
    <row r="4465" spans="1:5" x14ac:dyDescent="0.3">
      <c r="A4465" t="s">
        <v>4858</v>
      </c>
      <c r="B4465">
        <v>2211400905</v>
      </c>
      <c r="C4465" t="s">
        <v>4385</v>
      </c>
      <c r="D4465" t="s">
        <v>5066</v>
      </c>
      <c r="E4465" t="str">
        <f t="shared" si="69"/>
        <v>D2C2211400905</v>
      </c>
    </row>
    <row r="4466" spans="1:5" x14ac:dyDescent="0.3">
      <c r="A4466" t="s">
        <v>4858</v>
      </c>
      <c r="B4466">
        <v>2211400921</v>
      </c>
      <c r="C4466" t="s">
        <v>33</v>
      </c>
      <c r="D4466" t="s">
        <v>5067</v>
      </c>
      <c r="E4466" t="str">
        <f t="shared" si="69"/>
        <v>D2C2211400921</v>
      </c>
    </row>
    <row r="4467" spans="1:5" x14ac:dyDescent="0.3">
      <c r="A4467" t="s">
        <v>4858</v>
      </c>
      <c r="B4467">
        <v>2211400925</v>
      </c>
      <c r="C4467" t="s">
        <v>3311</v>
      </c>
      <c r="D4467" t="s">
        <v>5068</v>
      </c>
      <c r="E4467" t="str">
        <f t="shared" si="69"/>
        <v>D2C2211400925</v>
      </c>
    </row>
    <row r="4468" spans="1:5" x14ac:dyDescent="0.3">
      <c r="A4468" t="s">
        <v>4858</v>
      </c>
      <c r="B4468">
        <v>2211400928</v>
      </c>
      <c r="C4468" t="s">
        <v>1781</v>
      </c>
      <c r="D4468" t="s">
        <v>5069</v>
      </c>
      <c r="E4468" t="str">
        <f t="shared" si="69"/>
        <v>D2C2211400928</v>
      </c>
    </row>
    <row r="4469" spans="1:5" x14ac:dyDescent="0.3">
      <c r="A4469" t="s">
        <v>4858</v>
      </c>
      <c r="B4469">
        <v>2211400971</v>
      </c>
      <c r="C4469" t="s">
        <v>4873</v>
      </c>
      <c r="D4469" t="s">
        <v>5070</v>
      </c>
      <c r="E4469" t="str">
        <f t="shared" si="69"/>
        <v>D2C2211400971</v>
      </c>
    </row>
    <row r="4470" spans="1:5" x14ac:dyDescent="0.3">
      <c r="A4470" t="s">
        <v>4858</v>
      </c>
      <c r="B4470">
        <v>2211400973</v>
      </c>
      <c r="C4470" t="s">
        <v>3807</v>
      </c>
      <c r="D4470">
        <v>0</v>
      </c>
      <c r="E4470" t="str">
        <f t="shared" si="69"/>
        <v>D2C2211400973</v>
      </c>
    </row>
    <row r="4471" spans="1:5" x14ac:dyDescent="0.3">
      <c r="A4471" t="s">
        <v>4858</v>
      </c>
      <c r="B4471">
        <v>2211400979</v>
      </c>
      <c r="C4471" t="s">
        <v>37</v>
      </c>
      <c r="D4471" t="s">
        <v>5071</v>
      </c>
      <c r="E4471" t="str">
        <f t="shared" si="69"/>
        <v>D2C2211400979</v>
      </c>
    </row>
    <row r="4472" spans="1:5" x14ac:dyDescent="0.3">
      <c r="A4472" t="s">
        <v>4858</v>
      </c>
      <c r="B4472">
        <v>2211400987</v>
      </c>
      <c r="C4472" t="s">
        <v>4874</v>
      </c>
      <c r="D4472" t="s">
        <v>5072</v>
      </c>
      <c r="E4472" t="str">
        <f t="shared" si="69"/>
        <v>D2C2211400987</v>
      </c>
    </row>
    <row r="4473" spans="1:5" x14ac:dyDescent="0.3">
      <c r="A4473" t="s">
        <v>4858</v>
      </c>
      <c r="B4473">
        <v>2211401014</v>
      </c>
      <c r="C4473" t="s">
        <v>371</v>
      </c>
      <c r="D4473" t="s">
        <v>5073</v>
      </c>
      <c r="E4473" t="str">
        <f t="shared" si="69"/>
        <v>D2C2211401014</v>
      </c>
    </row>
    <row r="4474" spans="1:5" x14ac:dyDescent="0.3">
      <c r="A4474" t="s">
        <v>4858</v>
      </c>
      <c r="B4474">
        <v>2211401034</v>
      </c>
      <c r="C4474" t="s">
        <v>396</v>
      </c>
      <c r="D4474" t="s">
        <v>5074</v>
      </c>
      <c r="E4474" t="str">
        <f t="shared" si="69"/>
        <v>D2C2211401034</v>
      </c>
    </row>
    <row r="4475" spans="1:5" x14ac:dyDescent="0.3">
      <c r="A4475" t="s">
        <v>4858</v>
      </c>
      <c r="B4475">
        <v>2211401035</v>
      </c>
      <c r="C4475" t="s">
        <v>395</v>
      </c>
      <c r="D4475" t="s">
        <v>5075</v>
      </c>
      <c r="E4475" t="str">
        <f t="shared" si="69"/>
        <v>D2C2211401035</v>
      </c>
    </row>
    <row r="4476" spans="1:5" x14ac:dyDescent="0.3">
      <c r="A4476" t="s">
        <v>4858</v>
      </c>
      <c r="B4476">
        <v>7211000396</v>
      </c>
      <c r="C4476" t="s">
        <v>2392</v>
      </c>
      <c r="D4476" t="s">
        <v>5076</v>
      </c>
      <c r="E4476" t="str">
        <f t="shared" si="69"/>
        <v>D2C7211000396</v>
      </c>
    </row>
    <row r="4477" spans="1:5" x14ac:dyDescent="0.3">
      <c r="A4477" t="s">
        <v>4858</v>
      </c>
      <c r="B4477">
        <v>7211001078</v>
      </c>
      <c r="C4477" t="s">
        <v>566</v>
      </c>
      <c r="D4477" t="s">
        <v>5077</v>
      </c>
      <c r="E4477" t="str">
        <f t="shared" si="69"/>
        <v>D2C7211001078</v>
      </c>
    </row>
    <row r="4478" spans="1:5" x14ac:dyDescent="0.3">
      <c r="A4478" t="s">
        <v>4858</v>
      </c>
      <c r="B4478">
        <v>7211001544</v>
      </c>
      <c r="C4478" t="s">
        <v>2379</v>
      </c>
      <c r="D4478" t="s">
        <v>5078</v>
      </c>
      <c r="E4478" t="str">
        <f t="shared" si="69"/>
        <v>D2C7211001544</v>
      </c>
    </row>
    <row r="4479" spans="1:5" x14ac:dyDescent="0.3">
      <c r="A4479" t="s">
        <v>4858</v>
      </c>
      <c r="B4479">
        <v>7211001595</v>
      </c>
      <c r="C4479" t="s">
        <v>4875</v>
      </c>
      <c r="D4479" t="s">
        <v>5079</v>
      </c>
      <c r="E4479" t="str">
        <f t="shared" si="69"/>
        <v>D2C7211001595</v>
      </c>
    </row>
    <row r="4480" spans="1:5" x14ac:dyDescent="0.3">
      <c r="A4480" t="s">
        <v>4858</v>
      </c>
      <c r="B4480">
        <v>7211001804</v>
      </c>
      <c r="C4480" t="s">
        <v>2549</v>
      </c>
      <c r="D4480" t="s">
        <v>5080</v>
      </c>
      <c r="E4480" t="str">
        <f t="shared" si="69"/>
        <v>D2C7211001804</v>
      </c>
    </row>
    <row r="4481" spans="1:5" x14ac:dyDescent="0.3">
      <c r="A4481" t="s">
        <v>4858</v>
      </c>
      <c r="B4481">
        <v>7211002180</v>
      </c>
      <c r="C4481" t="s">
        <v>568</v>
      </c>
      <c r="D4481" t="s">
        <v>5081</v>
      </c>
      <c r="E4481" t="str">
        <f t="shared" si="69"/>
        <v>D2C7211002180</v>
      </c>
    </row>
    <row r="4482" spans="1:5" x14ac:dyDescent="0.3">
      <c r="A4482" t="s">
        <v>4858</v>
      </c>
      <c r="B4482">
        <v>7211002271</v>
      </c>
      <c r="C4482" t="s">
        <v>556</v>
      </c>
      <c r="D4482" t="s">
        <v>5082</v>
      </c>
      <c r="E4482" t="str">
        <f t="shared" si="69"/>
        <v>D2C7211002271</v>
      </c>
    </row>
    <row r="4483" spans="1:5" x14ac:dyDescent="0.3">
      <c r="A4483" t="s">
        <v>4858</v>
      </c>
      <c r="B4483">
        <v>7211002287</v>
      </c>
      <c r="C4483" t="s">
        <v>2578</v>
      </c>
      <c r="D4483" t="s">
        <v>5083</v>
      </c>
      <c r="E4483" t="str">
        <f t="shared" ref="E4483:E4546" si="70">A4483&amp;B4483</f>
        <v>D2C7211002287</v>
      </c>
    </row>
    <row r="4484" spans="1:5" x14ac:dyDescent="0.3">
      <c r="A4484" t="s">
        <v>4858</v>
      </c>
      <c r="B4484">
        <v>7211002289</v>
      </c>
      <c r="C4484" t="s">
        <v>1081</v>
      </c>
      <c r="D4484" t="s">
        <v>5084</v>
      </c>
      <c r="E4484" t="str">
        <f t="shared" si="70"/>
        <v>D2C7211002289</v>
      </c>
    </row>
    <row r="4485" spans="1:5" x14ac:dyDescent="0.3">
      <c r="A4485" t="s">
        <v>4858</v>
      </c>
      <c r="B4485">
        <v>7211002374</v>
      </c>
      <c r="C4485" t="s">
        <v>813</v>
      </c>
      <c r="D4485" t="s">
        <v>5085</v>
      </c>
      <c r="E4485" t="str">
        <f t="shared" si="70"/>
        <v>D2C7211002374</v>
      </c>
    </row>
    <row r="4486" spans="1:5" x14ac:dyDescent="0.3">
      <c r="A4486" t="s">
        <v>4858</v>
      </c>
      <c r="B4486">
        <v>7211002441</v>
      </c>
      <c r="C4486" t="s">
        <v>40</v>
      </c>
      <c r="D4486" t="s">
        <v>5086</v>
      </c>
      <c r="E4486" t="str">
        <f t="shared" si="70"/>
        <v>D2C7211002441</v>
      </c>
    </row>
    <row r="4487" spans="1:5" x14ac:dyDescent="0.3">
      <c r="A4487" t="s">
        <v>4858</v>
      </c>
      <c r="B4487">
        <v>7211002459</v>
      </c>
      <c r="C4487" t="s">
        <v>41</v>
      </c>
      <c r="D4487" t="s">
        <v>5087</v>
      </c>
      <c r="E4487" t="str">
        <f t="shared" si="70"/>
        <v>D2C7211002459</v>
      </c>
    </row>
    <row r="4488" spans="1:5" x14ac:dyDescent="0.3">
      <c r="A4488" t="s">
        <v>4858</v>
      </c>
      <c r="B4488">
        <v>7211002465</v>
      </c>
      <c r="C4488" t="s">
        <v>564</v>
      </c>
      <c r="D4488" t="s">
        <v>5088</v>
      </c>
      <c r="E4488" t="str">
        <f t="shared" si="70"/>
        <v>D2C7211002465</v>
      </c>
    </row>
    <row r="4489" spans="1:5" x14ac:dyDescent="0.3">
      <c r="A4489" t="s">
        <v>4858</v>
      </c>
      <c r="B4489">
        <v>7211002491</v>
      </c>
      <c r="C4489" t="s">
        <v>600</v>
      </c>
      <c r="D4489" t="s">
        <v>5089</v>
      </c>
      <c r="E4489" t="str">
        <f t="shared" si="70"/>
        <v>D2C7211002491</v>
      </c>
    </row>
    <row r="4490" spans="1:5" x14ac:dyDescent="0.3">
      <c r="A4490" t="s">
        <v>4858</v>
      </c>
      <c r="B4490">
        <v>7211002511</v>
      </c>
      <c r="C4490" t="s">
        <v>3167</v>
      </c>
      <c r="D4490" t="s">
        <v>5090</v>
      </c>
      <c r="E4490" t="str">
        <f t="shared" si="70"/>
        <v>D2C7211002511</v>
      </c>
    </row>
    <row r="4491" spans="1:5" x14ac:dyDescent="0.3">
      <c r="A4491" t="s">
        <v>4858</v>
      </c>
      <c r="B4491">
        <v>7211002749</v>
      </c>
      <c r="C4491" t="s">
        <v>397</v>
      </c>
      <c r="D4491" t="s">
        <v>5091</v>
      </c>
      <c r="E4491" t="str">
        <f t="shared" si="70"/>
        <v>D2C7211002749</v>
      </c>
    </row>
    <row r="4492" spans="1:5" x14ac:dyDescent="0.3">
      <c r="A4492" t="s">
        <v>4858</v>
      </c>
      <c r="B4492">
        <v>7211002804</v>
      </c>
      <c r="C4492" t="s">
        <v>1790</v>
      </c>
      <c r="D4492" t="s">
        <v>5092</v>
      </c>
      <c r="E4492" t="str">
        <f t="shared" si="70"/>
        <v>D2C7211002804</v>
      </c>
    </row>
    <row r="4493" spans="1:5" x14ac:dyDescent="0.3">
      <c r="A4493" t="s">
        <v>4858</v>
      </c>
      <c r="B4493">
        <v>7211002851</v>
      </c>
      <c r="C4493" t="s">
        <v>954</v>
      </c>
      <c r="D4493" t="s">
        <v>5093</v>
      </c>
      <c r="E4493" t="str">
        <f t="shared" si="70"/>
        <v>D2C7211002851</v>
      </c>
    </row>
    <row r="4494" spans="1:5" x14ac:dyDescent="0.3">
      <c r="A4494" t="s">
        <v>4858</v>
      </c>
      <c r="B4494">
        <v>7211002932</v>
      </c>
      <c r="C4494" t="s">
        <v>44</v>
      </c>
      <c r="D4494" t="s">
        <v>5094</v>
      </c>
      <c r="E4494" t="str">
        <f t="shared" si="70"/>
        <v>D2C7211002932</v>
      </c>
    </row>
    <row r="4495" spans="1:5" x14ac:dyDescent="0.3">
      <c r="A4495" t="s">
        <v>4858</v>
      </c>
      <c r="B4495">
        <v>7211002980</v>
      </c>
      <c r="C4495" t="s">
        <v>2777</v>
      </c>
      <c r="D4495" t="s">
        <v>5095</v>
      </c>
      <c r="E4495" t="str">
        <f t="shared" si="70"/>
        <v>D2C7211002980</v>
      </c>
    </row>
    <row r="4496" spans="1:5" x14ac:dyDescent="0.3">
      <c r="A4496" t="s">
        <v>4858</v>
      </c>
      <c r="B4496">
        <v>7211003234</v>
      </c>
      <c r="C4496" t="s">
        <v>925</v>
      </c>
      <c r="D4496" t="s">
        <v>5096</v>
      </c>
      <c r="E4496" t="str">
        <f t="shared" si="70"/>
        <v>D2C7211003234</v>
      </c>
    </row>
    <row r="4497" spans="1:5" x14ac:dyDescent="0.3">
      <c r="A4497" t="s">
        <v>4858</v>
      </c>
      <c r="B4497">
        <v>7211003245</v>
      </c>
      <c r="C4497" t="s">
        <v>72</v>
      </c>
      <c r="D4497" t="s">
        <v>5097</v>
      </c>
      <c r="E4497" t="str">
        <f t="shared" si="70"/>
        <v>D2C7211003245</v>
      </c>
    </row>
    <row r="4498" spans="1:5" x14ac:dyDescent="0.3">
      <c r="A4498" t="s">
        <v>4858</v>
      </c>
      <c r="B4498">
        <v>7211003267</v>
      </c>
      <c r="C4498" t="s">
        <v>1102</v>
      </c>
      <c r="D4498" t="s">
        <v>5098</v>
      </c>
      <c r="E4498" t="str">
        <f t="shared" si="70"/>
        <v>D2C7211003267</v>
      </c>
    </row>
    <row r="4499" spans="1:5" x14ac:dyDescent="0.3">
      <c r="A4499" t="s">
        <v>4858</v>
      </c>
      <c r="B4499">
        <v>7211003308</v>
      </c>
      <c r="C4499" t="s">
        <v>871</v>
      </c>
      <c r="D4499" t="s">
        <v>5099</v>
      </c>
      <c r="E4499" t="str">
        <f t="shared" si="70"/>
        <v>D2C7211003308</v>
      </c>
    </row>
    <row r="4500" spans="1:5" x14ac:dyDescent="0.3">
      <c r="A4500" t="s">
        <v>4858</v>
      </c>
      <c r="B4500">
        <v>7211003316</v>
      </c>
      <c r="C4500" t="s">
        <v>60</v>
      </c>
      <c r="D4500" t="s">
        <v>5100</v>
      </c>
      <c r="E4500" t="str">
        <f t="shared" si="70"/>
        <v>D2C7211003316</v>
      </c>
    </row>
    <row r="4501" spans="1:5" x14ac:dyDescent="0.3">
      <c r="A4501" t="s">
        <v>4858</v>
      </c>
      <c r="B4501">
        <v>7211003740</v>
      </c>
      <c r="C4501" t="s">
        <v>42</v>
      </c>
      <c r="D4501" t="s">
        <v>5101</v>
      </c>
      <c r="E4501" t="str">
        <f t="shared" si="70"/>
        <v>D2C7211003740</v>
      </c>
    </row>
    <row r="4502" spans="1:5" x14ac:dyDescent="0.3">
      <c r="A4502" t="s">
        <v>4858</v>
      </c>
      <c r="B4502">
        <v>7211003820</v>
      </c>
      <c r="C4502" t="s">
        <v>121</v>
      </c>
      <c r="D4502" t="s">
        <v>5102</v>
      </c>
      <c r="E4502" t="str">
        <f t="shared" si="70"/>
        <v>D2C7211003820</v>
      </c>
    </row>
    <row r="4503" spans="1:5" x14ac:dyDescent="0.3">
      <c r="A4503" t="s">
        <v>4858</v>
      </c>
      <c r="B4503">
        <v>7211003938</v>
      </c>
      <c r="C4503" t="s">
        <v>73</v>
      </c>
      <c r="D4503" t="s">
        <v>5103</v>
      </c>
      <c r="E4503" t="str">
        <f t="shared" si="70"/>
        <v>D2C7211003938</v>
      </c>
    </row>
    <row r="4504" spans="1:5" x14ac:dyDescent="0.3">
      <c r="A4504" t="s">
        <v>4858</v>
      </c>
      <c r="B4504">
        <v>7211003955</v>
      </c>
      <c r="C4504" t="s">
        <v>1244</v>
      </c>
      <c r="D4504" t="s">
        <v>5104</v>
      </c>
      <c r="E4504" t="str">
        <f t="shared" si="70"/>
        <v>D2C7211003955</v>
      </c>
    </row>
    <row r="4505" spans="1:5" x14ac:dyDescent="0.3">
      <c r="A4505" t="s">
        <v>4858</v>
      </c>
      <c r="B4505">
        <v>7211003968</v>
      </c>
      <c r="C4505" t="s">
        <v>47</v>
      </c>
      <c r="D4505" t="s">
        <v>5105</v>
      </c>
      <c r="E4505" t="str">
        <f t="shared" si="70"/>
        <v>D2C7211003968</v>
      </c>
    </row>
    <row r="4506" spans="1:5" x14ac:dyDescent="0.3">
      <c r="A4506" t="s">
        <v>4858</v>
      </c>
      <c r="B4506">
        <v>7211003983</v>
      </c>
      <c r="C4506" t="s">
        <v>1436</v>
      </c>
      <c r="D4506" t="s">
        <v>5106</v>
      </c>
      <c r="E4506" t="str">
        <f t="shared" si="70"/>
        <v>D2C7211003983</v>
      </c>
    </row>
    <row r="4507" spans="1:5" x14ac:dyDescent="0.3">
      <c r="A4507" t="s">
        <v>4858</v>
      </c>
      <c r="B4507">
        <v>7211004054</v>
      </c>
      <c r="C4507" t="s">
        <v>58</v>
      </c>
      <c r="D4507" t="s">
        <v>5107</v>
      </c>
      <c r="E4507" t="str">
        <f t="shared" si="70"/>
        <v>D2C7211004054</v>
      </c>
    </row>
    <row r="4508" spans="1:5" x14ac:dyDescent="0.3">
      <c r="A4508" t="s">
        <v>4858</v>
      </c>
      <c r="B4508">
        <v>7211004078</v>
      </c>
      <c r="C4508" t="s">
        <v>43</v>
      </c>
      <c r="D4508" t="s">
        <v>5108</v>
      </c>
      <c r="E4508" t="str">
        <f t="shared" si="70"/>
        <v>D2C7211004078</v>
      </c>
    </row>
    <row r="4509" spans="1:5" x14ac:dyDescent="0.3">
      <c r="A4509" t="s">
        <v>4858</v>
      </c>
      <c r="B4509">
        <v>7211004244</v>
      </c>
      <c r="C4509" t="s">
        <v>61</v>
      </c>
      <c r="D4509" t="s">
        <v>5109</v>
      </c>
      <c r="E4509" t="str">
        <f t="shared" si="70"/>
        <v>D2C7211004244</v>
      </c>
    </row>
    <row r="4510" spans="1:5" x14ac:dyDescent="0.3">
      <c r="A4510" t="s">
        <v>4858</v>
      </c>
      <c r="B4510">
        <v>7211004399</v>
      </c>
      <c r="C4510" t="s">
        <v>1711</v>
      </c>
      <c r="D4510" t="s">
        <v>5110</v>
      </c>
      <c r="E4510" t="str">
        <f t="shared" si="70"/>
        <v>D2C7211004399</v>
      </c>
    </row>
    <row r="4511" spans="1:5" x14ac:dyDescent="0.3">
      <c r="A4511" t="s">
        <v>4858</v>
      </c>
      <c r="B4511">
        <v>7211004463</v>
      </c>
      <c r="C4511" t="s">
        <v>110</v>
      </c>
      <c r="D4511" t="s">
        <v>5111</v>
      </c>
      <c r="E4511" t="str">
        <f t="shared" si="70"/>
        <v>D2C7211004463</v>
      </c>
    </row>
    <row r="4512" spans="1:5" x14ac:dyDescent="0.3">
      <c r="A4512" t="s">
        <v>4858</v>
      </c>
      <c r="B4512">
        <v>7211004672</v>
      </c>
      <c r="C4512" t="s">
        <v>363</v>
      </c>
      <c r="D4512" t="s">
        <v>5112</v>
      </c>
      <c r="E4512" t="str">
        <f t="shared" si="70"/>
        <v>D2C7211004672</v>
      </c>
    </row>
    <row r="4513" spans="1:5" x14ac:dyDescent="0.3">
      <c r="A4513" t="s">
        <v>4858</v>
      </c>
      <c r="B4513">
        <v>7211004699</v>
      </c>
      <c r="C4513" t="s">
        <v>120</v>
      </c>
      <c r="D4513" t="s">
        <v>5113</v>
      </c>
      <c r="E4513" t="str">
        <f t="shared" si="70"/>
        <v>D2C7211004699</v>
      </c>
    </row>
    <row r="4514" spans="1:5" x14ac:dyDescent="0.3">
      <c r="A4514" t="s">
        <v>4858</v>
      </c>
      <c r="B4514">
        <v>8000001814</v>
      </c>
      <c r="C4514" t="s">
        <v>515</v>
      </c>
      <c r="D4514" t="s">
        <v>5114</v>
      </c>
      <c r="E4514" t="str">
        <f t="shared" si="70"/>
        <v>D2C8000001814</v>
      </c>
    </row>
    <row r="4515" spans="1:5" x14ac:dyDescent="0.3">
      <c r="A4515" t="s">
        <v>4858</v>
      </c>
      <c r="B4515">
        <v>8000035379</v>
      </c>
      <c r="C4515" t="s">
        <v>2210</v>
      </c>
      <c r="D4515" t="s">
        <v>5115</v>
      </c>
      <c r="E4515" t="str">
        <f t="shared" si="70"/>
        <v>D2C8000035379</v>
      </c>
    </row>
    <row r="4516" spans="1:5" x14ac:dyDescent="0.3">
      <c r="A4516" t="s">
        <v>4858</v>
      </c>
      <c r="B4516">
        <v>8000035621</v>
      </c>
      <c r="C4516" t="s">
        <v>1365</v>
      </c>
      <c r="D4516" t="s">
        <v>5116</v>
      </c>
      <c r="E4516" t="str">
        <f t="shared" si="70"/>
        <v>D2C8000035621</v>
      </c>
    </row>
    <row r="4517" spans="1:5" x14ac:dyDescent="0.3">
      <c r="A4517" t="s">
        <v>4858</v>
      </c>
      <c r="B4517">
        <v>8000036018</v>
      </c>
      <c r="C4517" t="s">
        <v>716</v>
      </c>
      <c r="D4517" t="s">
        <v>5117</v>
      </c>
      <c r="E4517" t="str">
        <f t="shared" si="70"/>
        <v>D2C8000036018</v>
      </c>
    </row>
    <row r="4518" spans="1:5" x14ac:dyDescent="0.3">
      <c r="A4518" t="s">
        <v>4858</v>
      </c>
      <c r="B4518">
        <v>8000036062</v>
      </c>
      <c r="C4518" t="s">
        <v>1252</v>
      </c>
      <c r="D4518" t="s">
        <v>5118</v>
      </c>
      <c r="E4518" t="str">
        <f t="shared" si="70"/>
        <v>D2C8000036062</v>
      </c>
    </row>
    <row r="4519" spans="1:5" x14ac:dyDescent="0.3">
      <c r="A4519" t="s">
        <v>4858</v>
      </c>
      <c r="B4519">
        <v>8000036182</v>
      </c>
      <c r="C4519" t="s">
        <v>80</v>
      </c>
      <c r="D4519" t="s">
        <v>5119</v>
      </c>
      <c r="E4519" t="str">
        <f t="shared" si="70"/>
        <v>D2C8000036182</v>
      </c>
    </row>
    <row r="4520" spans="1:5" x14ac:dyDescent="0.3">
      <c r="A4520" t="s">
        <v>4858</v>
      </c>
      <c r="B4520">
        <v>8010000095</v>
      </c>
      <c r="C4520" t="s">
        <v>819</v>
      </c>
      <c r="D4520" t="s">
        <v>5120</v>
      </c>
      <c r="E4520" t="str">
        <f t="shared" si="70"/>
        <v>D2C8010000095</v>
      </c>
    </row>
    <row r="4521" spans="1:5" x14ac:dyDescent="0.3">
      <c r="A4521" t="s">
        <v>4858</v>
      </c>
      <c r="B4521">
        <v>8010000152</v>
      </c>
      <c r="C4521" t="s">
        <v>1260</v>
      </c>
      <c r="D4521" t="s">
        <v>5121</v>
      </c>
      <c r="E4521" t="str">
        <f t="shared" si="70"/>
        <v>D2C8010000152</v>
      </c>
    </row>
    <row r="4522" spans="1:5" x14ac:dyDescent="0.3">
      <c r="A4522" t="s">
        <v>4858</v>
      </c>
      <c r="B4522">
        <v>8010000431</v>
      </c>
      <c r="C4522" t="s">
        <v>79</v>
      </c>
      <c r="D4522" t="s">
        <v>5122</v>
      </c>
      <c r="E4522" t="str">
        <f t="shared" si="70"/>
        <v>D2C8010000431</v>
      </c>
    </row>
    <row r="4523" spans="1:5" x14ac:dyDescent="0.3">
      <c r="A4523" t="s">
        <v>4858</v>
      </c>
      <c r="B4523">
        <v>8010000465</v>
      </c>
      <c r="C4523" t="s">
        <v>894</v>
      </c>
      <c r="D4523" t="s">
        <v>5123</v>
      </c>
      <c r="E4523" t="str">
        <f t="shared" si="70"/>
        <v>D2C8010000465</v>
      </c>
    </row>
    <row r="4524" spans="1:5" x14ac:dyDescent="0.3">
      <c r="A4524" t="s">
        <v>4858</v>
      </c>
      <c r="B4524">
        <v>8010000985</v>
      </c>
      <c r="C4524" t="s">
        <v>76</v>
      </c>
      <c r="D4524" t="s">
        <v>5124</v>
      </c>
      <c r="E4524" t="str">
        <f t="shared" si="70"/>
        <v>D2C8010000985</v>
      </c>
    </row>
    <row r="4525" spans="1:5" x14ac:dyDescent="0.3">
      <c r="A4525" t="s">
        <v>4858</v>
      </c>
      <c r="B4525">
        <v>8010000986</v>
      </c>
      <c r="C4525" t="s">
        <v>75</v>
      </c>
      <c r="D4525" t="s">
        <v>5125</v>
      </c>
      <c r="E4525" t="str">
        <f t="shared" si="70"/>
        <v>D2C8010000986</v>
      </c>
    </row>
    <row r="4526" spans="1:5" x14ac:dyDescent="0.3">
      <c r="A4526" t="s">
        <v>4858</v>
      </c>
      <c r="B4526">
        <v>8010001045</v>
      </c>
      <c r="C4526" t="s">
        <v>1502</v>
      </c>
      <c r="D4526" t="s">
        <v>5126</v>
      </c>
      <c r="E4526" t="str">
        <f t="shared" si="70"/>
        <v>D2C8010001045</v>
      </c>
    </row>
    <row r="4527" spans="1:5" x14ac:dyDescent="0.3">
      <c r="A4527" t="s">
        <v>4858</v>
      </c>
      <c r="B4527">
        <v>8010001069</v>
      </c>
      <c r="C4527" t="s">
        <v>3</v>
      </c>
      <c r="D4527" t="s">
        <v>5127</v>
      </c>
      <c r="E4527" t="str">
        <f t="shared" si="70"/>
        <v>D2C8010001069</v>
      </c>
    </row>
    <row r="4528" spans="1:5" x14ac:dyDescent="0.3">
      <c r="A4528" t="s">
        <v>4858</v>
      </c>
      <c r="B4528">
        <v>9100004140</v>
      </c>
      <c r="C4528">
        <v>4090120</v>
      </c>
      <c r="D4528" t="s">
        <v>5128</v>
      </c>
      <c r="E4528" t="str">
        <f t="shared" si="70"/>
        <v>D2C9100004140</v>
      </c>
    </row>
    <row r="4529" spans="1:5" x14ac:dyDescent="0.3">
      <c r="A4529" t="s">
        <v>4858</v>
      </c>
      <c r="B4529">
        <v>9100004179</v>
      </c>
      <c r="C4529">
        <v>4090122</v>
      </c>
      <c r="D4529" t="s">
        <v>5129</v>
      </c>
      <c r="E4529" t="str">
        <f t="shared" si="70"/>
        <v>D2C9100004179</v>
      </c>
    </row>
    <row r="4530" spans="1:5" x14ac:dyDescent="0.3">
      <c r="A4530" t="s">
        <v>4858</v>
      </c>
      <c r="B4530">
        <v>9100004192</v>
      </c>
      <c r="C4530">
        <v>4090124</v>
      </c>
      <c r="D4530" t="s">
        <v>5130</v>
      </c>
      <c r="E4530" t="str">
        <f t="shared" si="70"/>
        <v>D2C9100004192</v>
      </c>
    </row>
    <row r="4531" spans="1:5" x14ac:dyDescent="0.3">
      <c r="A4531" t="s">
        <v>4858</v>
      </c>
      <c r="B4531">
        <v>9100004193</v>
      </c>
      <c r="C4531">
        <v>4090126</v>
      </c>
      <c r="D4531" t="s">
        <v>5131</v>
      </c>
      <c r="E4531" t="str">
        <f t="shared" si="70"/>
        <v>D2C9100004193</v>
      </c>
    </row>
    <row r="4532" spans="1:5" x14ac:dyDescent="0.3">
      <c r="A4532" t="s">
        <v>4858</v>
      </c>
      <c r="B4532">
        <v>9100004194</v>
      </c>
      <c r="C4532">
        <v>4090128</v>
      </c>
      <c r="D4532" t="s">
        <v>5132</v>
      </c>
      <c r="E4532" t="str">
        <f t="shared" si="70"/>
        <v>D2C9100004194</v>
      </c>
    </row>
    <row r="4533" spans="1:5" x14ac:dyDescent="0.3">
      <c r="A4533" t="s">
        <v>4858</v>
      </c>
      <c r="B4533">
        <v>9100004195</v>
      </c>
      <c r="C4533">
        <v>4090130</v>
      </c>
      <c r="D4533" t="s">
        <v>5133</v>
      </c>
      <c r="E4533" t="str">
        <f t="shared" si="70"/>
        <v>D2C9100004195</v>
      </c>
    </row>
    <row r="4534" spans="1:5" x14ac:dyDescent="0.3">
      <c r="A4534" t="s">
        <v>4858</v>
      </c>
      <c r="B4534">
        <v>9100036465</v>
      </c>
      <c r="C4534">
        <v>4192124</v>
      </c>
      <c r="D4534" t="s">
        <v>5134</v>
      </c>
      <c r="E4534" t="str">
        <f t="shared" si="70"/>
        <v>D2C9100036465</v>
      </c>
    </row>
    <row r="4535" spans="1:5" x14ac:dyDescent="0.3">
      <c r="A4535" t="s">
        <v>4858</v>
      </c>
      <c r="B4535">
        <v>9100036466</v>
      </c>
      <c r="C4535">
        <v>4192126</v>
      </c>
      <c r="D4535" t="s">
        <v>5135</v>
      </c>
      <c r="E4535" t="str">
        <f t="shared" si="70"/>
        <v>D2C9100036466</v>
      </c>
    </row>
    <row r="4536" spans="1:5" x14ac:dyDescent="0.3">
      <c r="A4536" t="s">
        <v>4858</v>
      </c>
      <c r="B4536">
        <v>9100036467</v>
      </c>
      <c r="C4536">
        <v>4192128</v>
      </c>
      <c r="D4536" t="s">
        <v>5136</v>
      </c>
      <c r="E4536" t="str">
        <f t="shared" si="70"/>
        <v>D2C9100036467</v>
      </c>
    </row>
    <row r="4537" spans="1:5" x14ac:dyDescent="0.3">
      <c r="A4537" t="s">
        <v>4858</v>
      </c>
      <c r="B4537">
        <v>9100036469</v>
      </c>
      <c r="C4537">
        <v>4192628</v>
      </c>
      <c r="D4537" t="s">
        <v>5137</v>
      </c>
      <c r="E4537" t="str">
        <f t="shared" si="70"/>
        <v>D2C9100036469</v>
      </c>
    </row>
    <row r="4538" spans="1:5" x14ac:dyDescent="0.3">
      <c r="A4538" t="s">
        <v>4858</v>
      </c>
      <c r="B4538">
        <v>9100036470</v>
      </c>
      <c r="C4538">
        <v>4192224</v>
      </c>
      <c r="D4538" t="s">
        <v>5138</v>
      </c>
      <c r="E4538" t="str">
        <f t="shared" si="70"/>
        <v>D2C9100036470</v>
      </c>
    </row>
    <row r="4539" spans="1:5" x14ac:dyDescent="0.3">
      <c r="A4539" t="s">
        <v>4858</v>
      </c>
      <c r="B4539">
        <v>9100046093</v>
      </c>
      <c r="C4539">
        <v>4211122</v>
      </c>
      <c r="D4539" t="s">
        <v>5139</v>
      </c>
      <c r="E4539" t="str">
        <f t="shared" si="70"/>
        <v>D2C9100046093</v>
      </c>
    </row>
    <row r="4540" spans="1:5" x14ac:dyDescent="0.3">
      <c r="A4540" t="s">
        <v>4858</v>
      </c>
      <c r="B4540">
        <v>9100046095</v>
      </c>
      <c r="C4540">
        <v>4211126</v>
      </c>
      <c r="D4540" t="s">
        <v>5140</v>
      </c>
      <c r="E4540" t="str">
        <f t="shared" si="70"/>
        <v>D2C9100046095</v>
      </c>
    </row>
    <row r="4541" spans="1:5" x14ac:dyDescent="0.3">
      <c r="A4541" t="s">
        <v>4858</v>
      </c>
      <c r="B4541">
        <v>9100046096</v>
      </c>
      <c r="C4541">
        <v>4211128</v>
      </c>
      <c r="D4541" t="s">
        <v>5141</v>
      </c>
      <c r="E4541" t="str">
        <f t="shared" si="70"/>
        <v>D2C9100046096</v>
      </c>
    </row>
    <row r="4542" spans="1:5" x14ac:dyDescent="0.3">
      <c r="A4542" t="s">
        <v>4858</v>
      </c>
      <c r="B4542">
        <v>9100046098</v>
      </c>
      <c r="C4542">
        <v>4211628</v>
      </c>
      <c r="D4542" t="s">
        <v>5142</v>
      </c>
      <c r="E4542" t="str">
        <f t="shared" si="70"/>
        <v>D2C9100046098</v>
      </c>
    </row>
    <row r="4543" spans="1:5" x14ac:dyDescent="0.3">
      <c r="A4543" t="s">
        <v>4858</v>
      </c>
      <c r="B4543">
        <v>9100046102</v>
      </c>
      <c r="C4543">
        <v>4211928</v>
      </c>
      <c r="D4543" t="s">
        <v>5143</v>
      </c>
      <c r="E4543" t="str">
        <f t="shared" si="70"/>
        <v>D2C9100046102</v>
      </c>
    </row>
    <row r="4544" spans="1:5" x14ac:dyDescent="0.3">
      <c r="A4544" t="s">
        <v>4858</v>
      </c>
      <c r="B4544">
        <v>7211003827</v>
      </c>
      <c r="C4544" t="s">
        <v>81</v>
      </c>
      <c r="D4544" t="s">
        <v>5144</v>
      </c>
      <c r="E4544" t="str">
        <f t="shared" si="70"/>
        <v>D2C7211003827</v>
      </c>
    </row>
    <row r="4545" spans="1:5" x14ac:dyDescent="0.3">
      <c r="A4545" t="s">
        <v>4858</v>
      </c>
      <c r="B4545">
        <v>2211401062</v>
      </c>
      <c r="C4545" t="s">
        <v>1596</v>
      </c>
      <c r="D4545" t="s">
        <v>5145</v>
      </c>
      <c r="E4545" t="str">
        <f t="shared" si="70"/>
        <v>D2C2211401062</v>
      </c>
    </row>
    <row r="4546" spans="1:5" x14ac:dyDescent="0.3">
      <c r="A4546" t="s">
        <v>4858</v>
      </c>
      <c r="B4546">
        <v>1830008192</v>
      </c>
      <c r="C4546" t="s">
        <v>1359</v>
      </c>
      <c r="D4546" t="s">
        <v>5146</v>
      </c>
      <c r="E4546" t="str">
        <f t="shared" si="70"/>
        <v>D2C1830008192</v>
      </c>
    </row>
    <row r="4547" spans="1:5" x14ac:dyDescent="0.3">
      <c r="A4547" t="s">
        <v>4858</v>
      </c>
      <c r="B4547">
        <v>1830008344</v>
      </c>
      <c r="C4547" t="s">
        <v>2233</v>
      </c>
      <c r="D4547" t="s">
        <v>5147</v>
      </c>
      <c r="E4547" t="str">
        <f t="shared" ref="E4547:E4610" si="71">A4547&amp;B4547</f>
        <v>D2C1830008344</v>
      </c>
    </row>
    <row r="4548" spans="1:5" x14ac:dyDescent="0.3">
      <c r="A4548" t="s">
        <v>4858</v>
      </c>
      <c r="B4548">
        <v>7211004315</v>
      </c>
      <c r="C4548" t="s">
        <v>82</v>
      </c>
      <c r="D4548" t="s">
        <v>5148</v>
      </c>
      <c r="E4548" t="str">
        <f t="shared" si="71"/>
        <v>D2C7211004315</v>
      </c>
    </row>
    <row r="4549" spans="1:5" x14ac:dyDescent="0.3">
      <c r="A4549" t="s">
        <v>447</v>
      </c>
      <c r="B4549">
        <v>7211004326</v>
      </c>
      <c r="C4549" t="s">
        <v>5149</v>
      </c>
      <c r="D4549" t="s">
        <v>5150</v>
      </c>
      <c r="E4549" t="str">
        <f t="shared" si="71"/>
        <v>Mechta7211004326</v>
      </c>
    </row>
    <row r="4550" spans="1:5" x14ac:dyDescent="0.3">
      <c r="A4550" t="s">
        <v>447</v>
      </c>
      <c r="B4550">
        <v>7211005022</v>
      </c>
      <c r="C4550" t="s">
        <v>1385</v>
      </c>
      <c r="D4550" t="s">
        <v>2097</v>
      </c>
      <c r="E4550" t="str">
        <f t="shared" si="71"/>
        <v>Mechta7211005022</v>
      </c>
    </row>
    <row r="4551" spans="1:5" x14ac:dyDescent="0.3">
      <c r="A4551" t="s">
        <v>5151</v>
      </c>
      <c r="B4551">
        <v>9100027891</v>
      </c>
      <c r="C4551">
        <v>4182322</v>
      </c>
      <c r="D4551">
        <v>4182322</v>
      </c>
      <c r="E4551" t="str">
        <f t="shared" si="71"/>
        <v>evrika9100027891</v>
      </c>
    </row>
    <row r="4552" spans="1:5" x14ac:dyDescent="0.3">
      <c r="A4552" t="s">
        <v>5151</v>
      </c>
      <c r="B4552">
        <v>1830008286</v>
      </c>
      <c r="C4552" t="s">
        <v>215</v>
      </c>
      <c r="D4552" t="s">
        <v>215</v>
      </c>
      <c r="E4552" t="str">
        <f t="shared" si="71"/>
        <v>evrika1830008286</v>
      </c>
    </row>
    <row r="4553" spans="1:5" x14ac:dyDescent="0.3">
      <c r="A4553" t="s">
        <v>5151</v>
      </c>
      <c r="B4553">
        <v>3100518230</v>
      </c>
      <c r="C4553" t="s">
        <v>2735</v>
      </c>
      <c r="D4553" t="s">
        <v>2735</v>
      </c>
      <c r="E4553" t="str">
        <f t="shared" si="71"/>
        <v>evrika3100518230</v>
      </c>
    </row>
    <row r="4554" spans="1:5" x14ac:dyDescent="0.3">
      <c r="A4554" t="s">
        <v>5151</v>
      </c>
      <c r="B4554">
        <v>3100518235</v>
      </c>
      <c r="C4554" t="s">
        <v>2739</v>
      </c>
      <c r="D4554" t="s">
        <v>2739</v>
      </c>
      <c r="E4554" t="str">
        <f t="shared" si="71"/>
        <v>evrika3100518235</v>
      </c>
    </row>
    <row r="4555" spans="1:5" x14ac:dyDescent="0.3">
      <c r="A4555" t="s">
        <v>5151</v>
      </c>
      <c r="B4555">
        <v>7211002891</v>
      </c>
      <c r="C4555" t="s">
        <v>4479</v>
      </c>
      <c r="D4555" t="s">
        <v>4479</v>
      </c>
      <c r="E4555" t="str">
        <f t="shared" si="71"/>
        <v>evrika7211002891</v>
      </c>
    </row>
    <row r="4556" spans="1:5" x14ac:dyDescent="0.3">
      <c r="A4556" t="s">
        <v>5151</v>
      </c>
      <c r="B4556">
        <v>1830008359</v>
      </c>
      <c r="C4556" t="s">
        <v>4881</v>
      </c>
      <c r="D4556" t="s">
        <v>4881</v>
      </c>
      <c r="E4556" t="str">
        <f t="shared" si="71"/>
        <v>evrika1830008359</v>
      </c>
    </row>
    <row r="4557" spans="1:5" x14ac:dyDescent="0.3">
      <c r="A4557" t="s">
        <v>5151</v>
      </c>
      <c r="B4557">
        <v>7211005021</v>
      </c>
      <c r="C4557" t="s">
        <v>1077</v>
      </c>
      <c r="D4557" t="s">
        <v>1077</v>
      </c>
      <c r="E4557" t="str">
        <f t="shared" si="71"/>
        <v>evrika7211005021</v>
      </c>
    </row>
    <row r="4558" spans="1:5" x14ac:dyDescent="0.3">
      <c r="A4558" t="s">
        <v>5152</v>
      </c>
      <c r="B4558">
        <v>7211004057</v>
      </c>
      <c r="C4558" t="s">
        <v>2434</v>
      </c>
      <c r="D4558" t="s">
        <v>5153</v>
      </c>
      <c r="E4558" t="str">
        <f t="shared" si="71"/>
        <v>fora7211004057</v>
      </c>
    </row>
    <row r="4559" spans="1:5" x14ac:dyDescent="0.3">
      <c r="A4559" t="s">
        <v>5152</v>
      </c>
      <c r="B4559">
        <v>8010000031</v>
      </c>
      <c r="C4559" t="s">
        <v>1686</v>
      </c>
      <c r="D4559" t="s">
        <v>5154</v>
      </c>
      <c r="E4559" t="str">
        <f t="shared" si="71"/>
        <v>fora8010000031</v>
      </c>
    </row>
    <row r="4560" spans="1:5" x14ac:dyDescent="0.3">
      <c r="A4560" t="s">
        <v>5152</v>
      </c>
      <c r="B4560">
        <v>1830007629</v>
      </c>
      <c r="C4560" t="s">
        <v>1073</v>
      </c>
      <c r="D4560" t="s">
        <v>5155</v>
      </c>
      <c r="E4560" t="str">
        <f t="shared" si="71"/>
        <v>fora1830007629</v>
      </c>
    </row>
    <row r="4561" spans="1:5" x14ac:dyDescent="0.3">
      <c r="A4561" t="s">
        <v>5152</v>
      </c>
      <c r="B4561">
        <v>1830007748</v>
      </c>
      <c r="C4561" t="s">
        <v>2031</v>
      </c>
      <c r="D4561" t="s">
        <v>5156</v>
      </c>
      <c r="E4561" t="str">
        <f t="shared" si="71"/>
        <v>fora1830007748</v>
      </c>
    </row>
    <row r="4562" spans="1:5" x14ac:dyDescent="0.3">
      <c r="A4562" t="s">
        <v>5152</v>
      </c>
      <c r="B4562">
        <v>1830006595</v>
      </c>
      <c r="C4562" t="s">
        <v>1417</v>
      </c>
      <c r="D4562" t="s">
        <v>5157</v>
      </c>
      <c r="E4562" t="str">
        <f t="shared" si="71"/>
        <v>fora1830006595</v>
      </c>
    </row>
    <row r="4563" spans="1:5" x14ac:dyDescent="0.3">
      <c r="A4563" t="s">
        <v>5152</v>
      </c>
      <c r="B4563">
        <v>1830008193</v>
      </c>
      <c r="C4563" t="s">
        <v>1361</v>
      </c>
      <c r="D4563" t="s">
        <v>5158</v>
      </c>
      <c r="E4563" t="str">
        <f t="shared" si="71"/>
        <v>fora1830008193</v>
      </c>
    </row>
    <row r="4564" spans="1:5" x14ac:dyDescent="0.3">
      <c r="A4564" t="s">
        <v>5152</v>
      </c>
      <c r="B4564">
        <v>1830008191</v>
      </c>
      <c r="C4564" t="s">
        <v>1353</v>
      </c>
      <c r="D4564" t="s">
        <v>5159</v>
      </c>
      <c r="E4564" t="str">
        <f t="shared" si="71"/>
        <v>fora1830008191</v>
      </c>
    </row>
    <row r="4565" spans="1:5" x14ac:dyDescent="0.3">
      <c r="A4565" t="s">
        <v>5152</v>
      </c>
      <c r="B4565">
        <v>1830008194</v>
      </c>
      <c r="C4565" t="s">
        <v>1355</v>
      </c>
      <c r="D4565" t="s">
        <v>5160</v>
      </c>
      <c r="E4565" t="str">
        <f t="shared" si="71"/>
        <v>fora1830008194</v>
      </c>
    </row>
    <row r="4566" spans="1:5" x14ac:dyDescent="0.3">
      <c r="A4566" t="s">
        <v>5152</v>
      </c>
      <c r="B4566">
        <v>1110031221</v>
      </c>
      <c r="C4566" t="s">
        <v>929</v>
      </c>
      <c r="D4566" t="s">
        <v>5161</v>
      </c>
      <c r="E4566" t="str">
        <f t="shared" si="71"/>
        <v>fora1110031221</v>
      </c>
    </row>
    <row r="4567" spans="1:5" x14ac:dyDescent="0.3">
      <c r="A4567" t="s">
        <v>5152</v>
      </c>
      <c r="B4567">
        <v>7211001107</v>
      </c>
      <c r="C4567" t="s">
        <v>2364</v>
      </c>
      <c r="D4567" t="s">
        <v>5162</v>
      </c>
      <c r="E4567" t="str">
        <f t="shared" si="71"/>
        <v>fora7211001107</v>
      </c>
    </row>
    <row r="4568" spans="1:5" x14ac:dyDescent="0.3">
      <c r="A4568" t="s">
        <v>4666</v>
      </c>
      <c r="B4568">
        <v>7211005010</v>
      </c>
      <c r="C4568" t="s">
        <v>416</v>
      </c>
      <c r="D4568" t="s">
        <v>3064</v>
      </c>
      <c r="E4568" t="str">
        <f t="shared" si="71"/>
        <v>technodom7211005010</v>
      </c>
    </row>
    <row r="4569" spans="1:5" x14ac:dyDescent="0.3">
      <c r="A4569" t="s">
        <v>4666</v>
      </c>
      <c r="B4569">
        <v>1830008765</v>
      </c>
      <c r="C4569" t="s">
        <v>441</v>
      </c>
      <c r="D4569" t="s">
        <v>5163</v>
      </c>
      <c r="E4569" t="str">
        <f t="shared" si="71"/>
        <v>technodom1830008765</v>
      </c>
    </row>
    <row r="4570" spans="1:5" x14ac:dyDescent="0.3">
      <c r="A4570" t="s">
        <v>4666</v>
      </c>
      <c r="B4570">
        <v>1830008359</v>
      </c>
      <c r="C4570" t="s">
        <v>4881</v>
      </c>
      <c r="D4570" t="s">
        <v>5164</v>
      </c>
      <c r="E4570" t="str">
        <f t="shared" si="71"/>
        <v>technodom1830008359</v>
      </c>
    </row>
    <row r="4571" spans="1:5" x14ac:dyDescent="0.3">
      <c r="A4571" t="s">
        <v>4666</v>
      </c>
      <c r="B4571">
        <v>7211004326</v>
      </c>
      <c r="C4571" t="s">
        <v>5149</v>
      </c>
      <c r="D4571" t="s">
        <v>5165</v>
      </c>
      <c r="E4571" t="str">
        <f t="shared" si="71"/>
        <v>technodom7211004326</v>
      </c>
    </row>
    <row r="4572" spans="1:5" x14ac:dyDescent="0.3">
      <c r="A4572" t="s">
        <v>4666</v>
      </c>
      <c r="B4572">
        <v>2211401143</v>
      </c>
      <c r="C4572" t="s">
        <v>389</v>
      </c>
      <c r="D4572" t="s">
        <v>5166</v>
      </c>
      <c r="E4572" t="str">
        <f t="shared" si="71"/>
        <v>technodom2211401143</v>
      </c>
    </row>
    <row r="4573" spans="1:5" x14ac:dyDescent="0.3">
      <c r="A4573" t="s">
        <v>5167</v>
      </c>
      <c r="B4573">
        <v>7211002465</v>
      </c>
      <c r="C4573" t="s">
        <v>564</v>
      </c>
      <c r="D4573" t="s">
        <v>5168</v>
      </c>
      <c r="E4573" t="str">
        <f t="shared" si="71"/>
        <v>alser7211002465</v>
      </c>
    </row>
    <row r="4574" spans="1:5" x14ac:dyDescent="0.3">
      <c r="A4574" t="s">
        <v>5167</v>
      </c>
      <c r="B4574">
        <v>7211003955</v>
      </c>
      <c r="C4574" t="s">
        <v>1244</v>
      </c>
      <c r="D4574" t="s">
        <v>5169</v>
      </c>
      <c r="E4574" t="str">
        <f t="shared" si="71"/>
        <v>alser7211003955</v>
      </c>
    </row>
    <row r="4575" spans="1:5" x14ac:dyDescent="0.3">
      <c r="A4575" t="s">
        <v>5167</v>
      </c>
      <c r="B4575">
        <v>7211002492</v>
      </c>
      <c r="C4575" t="s">
        <v>2125</v>
      </c>
      <c r="D4575" t="s">
        <v>5170</v>
      </c>
      <c r="E4575" t="str">
        <f t="shared" si="71"/>
        <v>alser7211002492</v>
      </c>
    </row>
    <row r="4576" spans="1:5" x14ac:dyDescent="0.3">
      <c r="A4576" t="s">
        <v>5167</v>
      </c>
      <c r="B4576">
        <v>7211003929</v>
      </c>
      <c r="C4576" t="s">
        <v>52</v>
      </c>
      <c r="D4576" t="s">
        <v>5171</v>
      </c>
      <c r="E4576" t="str">
        <f t="shared" si="71"/>
        <v>alser7211003929</v>
      </c>
    </row>
    <row r="4577" spans="1:5" x14ac:dyDescent="0.3">
      <c r="A4577" t="s">
        <v>5167</v>
      </c>
      <c r="B4577">
        <v>1830008458</v>
      </c>
      <c r="C4577" t="s">
        <v>1643</v>
      </c>
      <c r="D4577" t="s">
        <v>5172</v>
      </c>
      <c r="E4577" t="str">
        <f t="shared" si="71"/>
        <v>alser1830008458</v>
      </c>
    </row>
    <row r="4578" spans="1:5" x14ac:dyDescent="0.3">
      <c r="A4578" t="s">
        <v>5167</v>
      </c>
      <c r="B4578">
        <v>7211003968</v>
      </c>
      <c r="C4578" t="s">
        <v>47</v>
      </c>
      <c r="D4578" t="s">
        <v>5173</v>
      </c>
      <c r="E4578" t="str">
        <f t="shared" si="71"/>
        <v>alser7211003968</v>
      </c>
    </row>
    <row r="4579" spans="1:5" x14ac:dyDescent="0.3">
      <c r="A4579" t="s">
        <v>5167</v>
      </c>
      <c r="B4579">
        <v>7211004435</v>
      </c>
      <c r="C4579" t="s">
        <v>413</v>
      </c>
      <c r="D4579" t="s">
        <v>5174</v>
      </c>
      <c r="E4579" t="str">
        <f t="shared" si="71"/>
        <v>alser7211004435</v>
      </c>
    </row>
    <row r="4580" spans="1:5" x14ac:dyDescent="0.3">
      <c r="A4580" t="s">
        <v>5167</v>
      </c>
      <c r="B4580">
        <v>7211002271</v>
      </c>
      <c r="C4580" t="s">
        <v>556</v>
      </c>
      <c r="D4580" t="s">
        <v>5175</v>
      </c>
      <c r="E4580" t="str">
        <f t="shared" si="71"/>
        <v>alser7211002271</v>
      </c>
    </row>
    <row r="4581" spans="1:5" x14ac:dyDescent="0.3">
      <c r="A4581" t="s">
        <v>5167</v>
      </c>
      <c r="B4581">
        <v>8010000152</v>
      </c>
      <c r="C4581" t="s">
        <v>1260</v>
      </c>
      <c r="D4581" t="s">
        <v>5176</v>
      </c>
      <c r="E4581" t="str">
        <f t="shared" si="71"/>
        <v>alser8010000152</v>
      </c>
    </row>
    <row r="4582" spans="1:5" x14ac:dyDescent="0.3">
      <c r="A4582" t="s">
        <v>5167</v>
      </c>
      <c r="B4582">
        <v>8000036062</v>
      </c>
      <c r="C4582" t="s">
        <v>1252</v>
      </c>
      <c r="D4582" t="s">
        <v>1253</v>
      </c>
      <c r="E4582" t="str">
        <f t="shared" si="71"/>
        <v>alser8000036062</v>
      </c>
    </row>
    <row r="4583" spans="1:5" x14ac:dyDescent="0.3">
      <c r="A4583" t="s">
        <v>5167</v>
      </c>
      <c r="B4583">
        <v>8010000137</v>
      </c>
      <c r="C4583" t="s">
        <v>1254</v>
      </c>
      <c r="D4583" t="s">
        <v>5177</v>
      </c>
      <c r="E4583" t="str">
        <f t="shared" si="71"/>
        <v>alser8010000137</v>
      </c>
    </row>
    <row r="4584" spans="1:5" x14ac:dyDescent="0.3">
      <c r="A4584" t="s">
        <v>5178</v>
      </c>
      <c r="B4584">
        <v>2100096216</v>
      </c>
      <c r="C4584" t="s">
        <v>1575</v>
      </c>
      <c r="D4584" t="s">
        <v>5179</v>
      </c>
      <c r="E4584" t="str">
        <f t="shared" si="71"/>
        <v>mechta2100096216</v>
      </c>
    </row>
    <row r="4585" spans="1:5" x14ac:dyDescent="0.3">
      <c r="A4585" t="s">
        <v>4858</v>
      </c>
      <c r="B4585">
        <v>1110030485</v>
      </c>
      <c r="C4585" t="s">
        <v>835</v>
      </c>
      <c r="D4585" t="s">
        <v>4911</v>
      </c>
      <c r="E4585" t="str">
        <f t="shared" si="71"/>
        <v>D2C1110030485</v>
      </c>
    </row>
    <row r="4586" spans="1:5" x14ac:dyDescent="0.3">
      <c r="A4586" t="s">
        <v>4858</v>
      </c>
      <c r="B4586">
        <v>1510001655</v>
      </c>
      <c r="C4586" t="s">
        <v>412</v>
      </c>
      <c r="D4586" t="s">
        <v>5180</v>
      </c>
      <c r="E4586" t="str">
        <f t="shared" si="71"/>
        <v>D2C1510001655</v>
      </c>
    </row>
    <row r="4587" spans="1:5" x14ac:dyDescent="0.3">
      <c r="A4587" t="s">
        <v>4858</v>
      </c>
      <c r="B4587">
        <v>1510001948</v>
      </c>
      <c r="C4587" t="s">
        <v>857</v>
      </c>
      <c r="D4587" t="s">
        <v>5181</v>
      </c>
      <c r="E4587" t="str">
        <f t="shared" si="71"/>
        <v>D2C1510001948</v>
      </c>
    </row>
    <row r="4588" spans="1:5" x14ac:dyDescent="0.3">
      <c r="A4588" t="s">
        <v>4858</v>
      </c>
      <c r="B4588">
        <v>1830006273</v>
      </c>
      <c r="C4588" t="s">
        <v>704</v>
      </c>
      <c r="D4588" t="s">
        <v>5182</v>
      </c>
      <c r="E4588" t="str">
        <f t="shared" si="71"/>
        <v>D2C1830006273</v>
      </c>
    </row>
    <row r="4589" spans="1:5" x14ac:dyDescent="0.3">
      <c r="A4589" t="s">
        <v>4858</v>
      </c>
      <c r="B4589">
        <v>1830006274</v>
      </c>
      <c r="C4589" t="s">
        <v>923</v>
      </c>
      <c r="D4589" t="s">
        <v>5183</v>
      </c>
      <c r="E4589" t="str">
        <f t="shared" si="71"/>
        <v>D2C1830006274</v>
      </c>
    </row>
    <row r="4590" spans="1:5" x14ac:dyDescent="0.3">
      <c r="A4590" t="s">
        <v>4858</v>
      </c>
      <c r="B4590">
        <v>1830007160</v>
      </c>
      <c r="C4590" t="s">
        <v>1096</v>
      </c>
      <c r="D4590" t="s">
        <v>5184</v>
      </c>
      <c r="E4590" t="str">
        <f t="shared" si="71"/>
        <v>D2C1830007160</v>
      </c>
    </row>
    <row r="4591" spans="1:5" x14ac:dyDescent="0.3">
      <c r="A4591" t="s">
        <v>4858</v>
      </c>
      <c r="B4591">
        <v>1830007686</v>
      </c>
      <c r="C4591" t="s">
        <v>3918</v>
      </c>
      <c r="D4591" t="s">
        <v>5185</v>
      </c>
      <c r="E4591" t="str">
        <f t="shared" si="71"/>
        <v>D2C1830007686</v>
      </c>
    </row>
    <row r="4592" spans="1:5" x14ac:dyDescent="0.3">
      <c r="A4592" t="s">
        <v>4858</v>
      </c>
      <c r="B4592">
        <v>1830007748</v>
      </c>
      <c r="C4592" t="s">
        <v>2031</v>
      </c>
      <c r="D4592" t="s">
        <v>5186</v>
      </c>
      <c r="E4592" t="str">
        <f t="shared" si="71"/>
        <v>D2C1830007748</v>
      </c>
    </row>
    <row r="4593" spans="1:5" x14ac:dyDescent="0.3">
      <c r="A4593" t="s">
        <v>4858</v>
      </c>
      <c r="B4593">
        <v>1830007919</v>
      </c>
      <c r="C4593" t="s">
        <v>422</v>
      </c>
      <c r="D4593" t="s">
        <v>5187</v>
      </c>
      <c r="E4593" t="str">
        <f t="shared" si="71"/>
        <v>D2C1830007919</v>
      </c>
    </row>
    <row r="4594" spans="1:5" x14ac:dyDescent="0.3">
      <c r="A4594" t="s">
        <v>4858</v>
      </c>
      <c r="B4594">
        <v>1830008417</v>
      </c>
      <c r="C4594" t="s">
        <v>4860</v>
      </c>
      <c r="D4594" t="s">
        <v>5188</v>
      </c>
      <c r="E4594" t="str">
        <f t="shared" si="71"/>
        <v>D2C1830008417</v>
      </c>
    </row>
    <row r="4595" spans="1:5" x14ac:dyDescent="0.3">
      <c r="A4595" t="s">
        <v>4858</v>
      </c>
      <c r="B4595">
        <v>1830008458</v>
      </c>
      <c r="C4595" t="s">
        <v>1643</v>
      </c>
      <c r="D4595" t="s">
        <v>5189</v>
      </c>
      <c r="E4595" t="str">
        <f t="shared" si="71"/>
        <v>D2C1830008458</v>
      </c>
    </row>
    <row r="4596" spans="1:5" x14ac:dyDescent="0.3">
      <c r="A4596" t="s">
        <v>4858</v>
      </c>
      <c r="B4596">
        <v>2100060368</v>
      </c>
      <c r="C4596" t="s">
        <v>1798</v>
      </c>
      <c r="D4596" t="s">
        <v>5190</v>
      </c>
      <c r="E4596" t="str">
        <f t="shared" si="71"/>
        <v>D2C2100060368</v>
      </c>
    </row>
    <row r="4597" spans="1:5" x14ac:dyDescent="0.3">
      <c r="A4597" t="s">
        <v>4858</v>
      </c>
      <c r="B4597">
        <v>2100117533</v>
      </c>
      <c r="C4597" t="s">
        <v>997</v>
      </c>
      <c r="D4597" t="s">
        <v>5191</v>
      </c>
      <c r="E4597" t="str">
        <f t="shared" si="71"/>
        <v>D2C2100117533</v>
      </c>
    </row>
    <row r="4598" spans="1:5" x14ac:dyDescent="0.3">
      <c r="A4598" t="s">
        <v>4858</v>
      </c>
      <c r="B4598">
        <v>2100117987</v>
      </c>
      <c r="C4598" t="s">
        <v>1287</v>
      </c>
      <c r="D4598" t="s">
        <v>5192</v>
      </c>
      <c r="E4598" t="str">
        <f t="shared" si="71"/>
        <v>D2C2100117987</v>
      </c>
    </row>
    <row r="4599" spans="1:5" x14ac:dyDescent="0.3">
      <c r="A4599" t="s">
        <v>4858</v>
      </c>
      <c r="B4599">
        <v>2100121271</v>
      </c>
      <c r="C4599" t="s">
        <v>4872</v>
      </c>
      <c r="D4599" t="s">
        <v>5193</v>
      </c>
      <c r="E4599" t="str">
        <f t="shared" si="71"/>
        <v>D2C2100121271</v>
      </c>
    </row>
    <row r="4600" spans="1:5" x14ac:dyDescent="0.3">
      <c r="A4600" t="s">
        <v>4858</v>
      </c>
      <c r="B4600">
        <v>2100121738</v>
      </c>
      <c r="C4600" t="s">
        <v>435</v>
      </c>
      <c r="D4600" t="s">
        <v>5194</v>
      </c>
      <c r="E4600" t="str">
        <f t="shared" si="71"/>
        <v>D2C2100121738</v>
      </c>
    </row>
    <row r="4601" spans="1:5" x14ac:dyDescent="0.3">
      <c r="A4601" t="s">
        <v>4858</v>
      </c>
      <c r="B4601">
        <v>2100122932</v>
      </c>
      <c r="C4601" t="s">
        <v>2002</v>
      </c>
      <c r="D4601" t="s">
        <v>5195</v>
      </c>
      <c r="E4601" t="str">
        <f t="shared" si="71"/>
        <v>D2C2100122932</v>
      </c>
    </row>
    <row r="4602" spans="1:5" x14ac:dyDescent="0.3">
      <c r="A4602" t="s">
        <v>4858</v>
      </c>
      <c r="B4602">
        <v>2100124606</v>
      </c>
      <c r="C4602" t="s">
        <v>86</v>
      </c>
      <c r="D4602" t="s">
        <v>5196</v>
      </c>
      <c r="E4602" t="str">
        <f t="shared" si="71"/>
        <v>D2C2100124606</v>
      </c>
    </row>
    <row r="4603" spans="1:5" x14ac:dyDescent="0.3">
      <c r="A4603" t="s">
        <v>4858</v>
      </c>
      <c r="B4603">
        <v>2211400056</v>
      </c>
      <c r="C4603" t="s">
        <v>837</v>
      </c>
      <c r="D4603" t="s">
        <v>5197</v>
      </c>
      <c r="E4603" t="str">
        <f t="shared" si="71"/>
        <v>D2C2211400056</v>
      </c>
    </row>
    <row r="4604" spans="1:5" x14ac:dyDescent="0.3">
      <c r="A4604" t="s">
        <v>4858</v>
      </c>
      <c r="B4604">
        <v>2211400794</v>
      </c>
      <c r="C4604">
        <v>0</v>
      </c>
      <c r="D4604" t="s">
        <v>5198</v>
      </c>
      <c r="E4604" t="str">
        <f t="shared" si="71"/>
        <v>D2C2211400794</v>
      </c>
    </row>
    <row r="4605" spans="1:5" x14ac:dyDescent="0.3">
      <c r="A4605" t="s">
        <v>4858</v>
      </c>
      <c r="B4605">
        <v>2211401050</v>
      </c>
      <c r="C4605" t="s">
        <v>127</v>
      </c>
      <c r="D4605" t="s">
        <v>5199</v>
      </c>
      <c r="E4605" t="str">
        <f t="shared" si="71"/>
        <v>D2C2211401050</v>
      </c>
    </row>
    <row r="4606" spans="1:5" x14ac:dyDescent="0.3">
      <c r="A4606" t="s">
        <v>4858</v>
      </c>
      <c r="B4606">
        <v>9100046094</v>
      </c>
      <c r="C4606">
        <v>4211124</v>
      </c>
      <c r="D4606" t="s">
        <v>5200</v>
      </c>
      <c r="E4606" t="str">
        <f t="shared" si="71"/>
        <v>D2C9100046094</v>
      </c>
    </row>
    <row r="4607" spans="1:5" x14ac:dyDescent="0.3">
      <c r="A4607" t="s">
        <v>4858</v>
      </c>
      <c r="B4607">
        <v>9100046097</v>
      </c>
      <c r="C4607">
        <v>4211522</v>
      </c>
      <c r="D4607" t="s">
        <v>5201</v>
      </c>
      <c r="E4607" t="str">
        <f t="shared" si="71"/>
        <v>D2C9100046097</v>
      </c>
    </row>
    <row r="4608" spans="1:5" x14ac:dyDescent="0.3">
      <c r="A4608" t="s">
        <v>4858</v>
      </c>
      <c r="B4608">
        <v>2211400977</v>
      </c>
      <c r="C4608" t="s">
        <v>35</v>
      </c>
      <c r="D4608" t="s">
        <v>5202</v>
      </c>
      <c r="E4608" t="str">
        <f t="shared" si="71"/>
        <v>D2C2211400977</v>
      </c>
    </row>
    <row r="4609" spans="1:5" x14ac:dyDescent="0.3">
      <c r="A4609" t="s">
        <v>4858</v>
      </c>
      <c r="B4609">
        <v>2100118829</v>
      </c>
      <c r="C4609" t="s">
        <v>427</v>
      </c>
      <c r="D4609" t="s">
        <v>5203</v>
      </c>
      <c r="E4609" t="str">
        <f t="shared" si="71"/>
        <v>D2C2100118829</v>
      </c>
    </row>
    <row r="4610" spans="1:5" x14ac:dyDescent="0.3">
      <c r="A4610" t="s">
        <v>4858</v>
      </c>
      <c r="B4610">
        <v>1830008470</v>
      </c>
      <c r="C4610" t="s">
        <v>1637</v>
      </c>
      <c r="D4610" t="s">
        <v>5204</v>
      </c>
      <c r="E4610" t="str">
        <f t="shared" si="71"/>
        <v>D2C1830008470</v>
      </c>
    </row>
    <row r="4611" spans="1:5" x14ac:dyDescent="0.3">
      <c r="A4611" t="s">
        <v>4858</v>
      </c>
      <c r="B4611">
        <v>2211400650</v>
      </c>
      <c r="C4611" t="s">
        <v>431</v>
      </c>
      <c r="D4611" t="s">
        <v>5205</v>
      </c>
      <c r="E4611" t="str">
        <f t="shared" ref="E4611:E4674" si="72">A4611&amp;B4611</f>
        <v>D2C2211400650</v>
      </c>
    </row>
    <row r="4612" spans="1:5" x14ac:dyDescent="0.3">
      <c r="A4612" t="s">
        <v>4858</v>
      </c>
      <c r="B4612">
        <v>7211003399</v>
      </c>
      <c r="C4612" t="s">
        <v>50</v>
      </c>
      <c r="D4612" t="s">
        <v>5206</v>
      </c>
      <c r="E4612" t="str">
        <f t="shared" si="72"/>
        <v>D2C7211003399</v>
      </c>
    </row>
    <row r="4613" spans="1:5" x14ac:dyDescent="0.3">
      <c r="A4613" t="s">
        <v>4858</v>
      </c>
      <c r="B4613">
        <v>7211003356</v>
      </c>
      <c r="C4613" t="s">
        <v>975</v>
      </c>
      <c r="D4613" t="s">
        <v>5207</v>
      </c>
      <c r="E4613" t="str">
        <f t="shared" si="72"/>
        <v>D2C7211003356</v>
      </c>
    </row>
    <row r="4614" spans="1:5" x14ac:dyDescent="0.3">
      <c r="A4614" t="s">
        <v>4858</v>
      </c>
      <c r="B4614">
        <v>1830006532</v>
      </c>
      <c r="C4614" t="s">
        <v>888</v>
      </c>
      <c r="D4614" t="s">
        <v>5208</v>
      </c>
      <c r="E4614" t="str">
        <f t="shared" si="72"/>
        <v>D2C1830006532</v>
      </c>
    </row>
    <row r="4615" spans="1:5" x14ac:dyDescent="0.3">
      <c r="A4615" t="s">
        <v>4858</v>
      </c>
      <c r="B4615">
        <v>7211002608</v>
      </c>
      <c r="C4615" t="s">
        <v>54</v>
      </c>
      <c r="D4615" t="s">
        <v>5209</v>
      </c>
      <c r="E4615" t="str">
        <f t="shared" si="72"/>
        <v>D2C7211002608</v>
      </c>
    </row>
    <row r="4616" spans="1:5" x14ac:dyDescent="0.3">
      <c r="A4616" t="s">
        <v>4858</v>
      </c>
      <c r="B4616">
        <v>8010000864</v>
      </c>
      <c r="C4616" t="s">
        <v>3047</v>
      </c>
      <c r="D4616" t="s">
        <v>5210</v>
      </c>
      <c r="E4616" t="str">
        <f t="shared" si="72"/>
        <v>D2C8010000864</v>
      </c>
    </row>
    <row r="4617" spans="1:5" x14ac:dyDescent="0.3">
      <c r="A4617" t="s">
        <v>4858</v>
      </c>
      <c r="B4617">
        <v>2211401036</v>
      </c>
      <c r="C4617" t="s">
        <v>1425</v>
      </c>
      <c r="D4617" t="s">
        <v>5211</v>
      </c>
      <c r="E4617" t="str">
        <f t="shared" si="72"/>
        <v>D2C2211401036</v>
      </c>
    </row>
    <row r="4618" spans="1:5" x14ac:dyDescent="0.3">
      <c r="A4618" t="s">
        <v>4858</v>
      </c>
      <c r="B4618">
        <v>1830006540</v>
      </c>
      <c r="C4618" t="s">
        <v>890</v>
      </c>
      <c r="D4618" t="s">
        <v>5212</v>
      </c>
      <c r="E4618" t="str">
        <f t="shared" si="72"/>
        <v>D2C1830006540</v>
      </c>
    </row>
    <row r="4619" spans="1:5" x14ac:dyDescent="0.3">
      <c r="A4619" t="s">
        <v>4858</v>
      </c>
      <c r="B4619">
        <v>1500637540</v>
      </c>
      <c r="C4619" t="s">
        <v>859</v>
      </c>
      <c r="D4619" t="s">
        <v>5213</v>
      </c>
      <c r="E4619" t="str">
        <f t="shared" si="72"/>
        <v>D2C1500637540</v>
      </c>
    </row>
    <row r="4620" spans="1:5" x14ac:dyDescent="0.3">
      <c r="A4620" t="s">
        <v>4858</v>
      </c>
      <c r="B4620">
        <v>2100093086</v>
      </c>
      <c r="C4620" t="s">
        <v>1579</v>
      </c>
      <c r="D4620" t="s">
        <v>5214</v>
      </c>
      <c r="E4620" t="str">
        <f t="shared" si="72"/>
        <v>D2C2100093086</v>
      </c>
    </row>
    <row r="4621" spans="1:5" x14ac:dyDescent="0.3">
      <c r="A4621" t="s">
        <v>4858</v>
      </c>
      <c r="B4621">
        <v>2211401074</v>
      </c>
      <c r="C4621" t="s">
        <v>128</v>
      </c>
      <c r="D4621" t="s">
        <v>5215</v>
      </c>
      <c r="E4621" t="str">
        <f t="shared" si="72"/>
        <v>D2C2211401074</v>
      </c>
    </row>
    <row r="4622" spans="1:5" x14ac:dyDescent="0.3">
      <c r="A4622" t="s">
        <v>4858</v>
      </c>
      <c r="B4622">
        <v>1830008254</v>
      </c>
      <c r="C4622" t="s">
        <v>9</v>
      </c>
      <c r="D4622" t="s">
        <v>5216</v>
      </c>
      <c r="E4622" t="str">
        <f t="shared" si="72"/>
        <v>D2C1830008254</v>
      </c>
    </row>
    <row r="4623" spans="1:5" x14ac:dyDescent="0.3">
      <c r="A4623" t="s">
        <v>4858</v>
      </c>
      <c r="B4623">
        <v>2211400233</v>
      </c>
      <c r="C4623" t="s">
        <v>849</v>
      </c>
      <c r="D4623" t="s">
        <v>5217</v>
      </c>
      <c r="E4623" t="str">
        <f t="shared" si="72"/>
        <v>D2C2211400233</v>
      </c>
    </row>
    <row r="4624" spans="1:5" x14ac:dyDescent="0.3">
      <c r="A4624" t="s">
        <v>4858</v>
      </c>
      <c r="B4624">
        <v>1500859369</v>
      </c>
      <c r="C4624" t="s">
        <v>554</v>
      </c>
      <c r="D4624" t="s">
        <v>5218</v>
      </c>
      <c r="E4624" t="str">
        <f t="shared" si="72"/>
        <v>D2C1500859369</v>
      </c>
    </row>
    <row r="4625" spans="1:5" x14ac:dyDescent="0.3">
      <c r="A4625" t="s">
        <v>4858</v>
      </c>
      <c r="B4625">
        <v>2211401049</v>
      </c>
      <c r="C4625" t="s">
        <v>126</v>
      </c>
      <c r="D4625" t="s">
        <v>5219</v>
      </c>
      <c r="E4625" t="str">
        <f t="shared" si="72"/>
        <v>D2C2211401049</v>
      </c>
    </row>
    <row r="4626" spans="1:5" x14ac:dyDescent="0.3">
      <c r="A4626" t="s">
        <v>4858</v>
      </c>
      <c r="B4626">
        <v>1830008512</v>
      </c>
      <c r="C4626" t="s">
        <v>113</v>
      </c>
      <c r="D4626" t="s">
        <v>5220</v>
      </c>
      <c r="E4626" t="str">
        <f t="shared" si="72"/>
        <v>D2C1830008512</v>
      </c>
    </row>
    <row r="4627" spans="1:5" x14ac:dyDescent="0.3">
      <c r="A4627" t="s">
        <v>4858</v>
      </c>
      <c r="B4627">
        <v>2211400887</v>
      </c>
      <c r="C4627" t="s">
        <v>1132</v>
      </c>
      <c r="D4627" t="s">
        <v>5221</v>
      </c>
      <c r="E4627" t="str">
        <f t="shared" si="72"/>
        <v>D2C2211400887</v>
      </c>
    </row>
    <row r="4628" spans="1:5" x14ac:dyDescent="0.3">
      <c r="A4628" t="s">
        <v>5178</v>
      </c>
      <c r="B4628">
        <v>1830008520</v>
      </c>
      <c r="C4628" t="s">
        <v>4829</v>
      </c>
      <c r="D4628" t="s">
        <v>5222</v>
      </c>
      <c r="E4628" t="str">
        <f t="shared" si="72"/>
        <v>mechta1830008520</v>
      </c>
    </row>
    <row r="4629" spans="1:5" x14ac:dyDescent="0.3">
      <c r="A4629" t="s">
        <v>5178</v>
      </c>
      <c r="B4629">
        <v>2211401084</v>
      </c>
      <c r="C4629" t="s">
        <v>5223</v>
      </c>
      <c r="D4629" t="s">
        <v>5224</v>
      </c>
      <c r="E4629" t="str">
        <f t="shared" si="72"/>
        <v>mechta2211401084</v>
      </c>
    </row>
    <row r="4630" spans="1:5" x14ac:dyDescent="0.3">
      <c r="A4630" t="s">
        <v>4858</v>
      </c>
      <c r="B4630">
        <v>2100121263</v>
      </c>
      <c r="C4630" t="s">
        <v>3419</v>
      </c>
      <c r="D4630" t="s">
        <v>5225</v>
      </c>
      <c r="E4630" t="str">
        <f t="shared" si="72"/>
        <v>D2C2100121263</v>
      </c>
    </row>
    <row r="4631" spans="1:5" x14ac:dyDescent="0.3">
      <c r="A4631" t="s">
        <v>4858</v>
      </c>
      <c r="B4631">
        <v>2211400649</v>
      </c>
      <c r="C4631" t="s">
        <v>432</v>
      </c>
      <c r="D4631" t="s">
        <v>5226</v>
      </c>
      <c r="E4631" t="str">
        <f t="shared" si="72"/>
        <v>D2C2211400649</v>
      </c>
    </row>
    <row r="4632" spans="1:5" x14ac:dyDescent="0.3">
      <c r="A4632" t="s">
        <v>4858</v>
      </c>
      <c r="B4632">
        <v>7211002463</v>
      </c>
      <c r="C4632" t="s">
        <v>2388</v>
      </c>
      <c r="D4632" t="s">
        <v>5227</v>
      </c>
      <c r="E4632" t="str">
        <f t="shared" si="72"/>
        <v>D2C7211002463</v>
      </c>
    </row>
    <row r="4633" spans="1:5" x14ac:dyDescent="0.3">
      <c r="A4633" t="s">
        <v>4858</v>
      </c>
      <c r="B4633">
        <v>2100113896</v>
      </c>
      <c r="C4633" t="s">
        <v>4268</v>
      </c>
      <c r="D4633" t="s">
        <v>5228</v>
      </c>
      <c r="E4633" t="str">
        <f t="shared" si="72"/>
        <v>D2C2100113896</v>
      </c>
    </row>
    <row r="4634" spans="1:5" x14ac:dyDescent="0.3">
      <c r="A4634" t="s">
        <v>5229</v>
      </c>
      <c r="B4634">
        <v>1830008581</v>
      </c>
      <c r="C4634" t="s">
        <v>1627</v>
      </c>
      <c r="D4634" t="s">
        <v>5230</v>
      </c>
      <c r="E4634" t="str">
        <f t="shared" si="72"/>
        <v>d2c1830008581</v>
      </c>
    </row>
    <row r="4635" spans="1:5" x14ac:dyDescent="0.3">
      <c r="A4635" t="s">
        <v>5231</v>
      </c>
      <c r="B4635">
        <v>1830003901</v>
      </c>
      <c r="C4635" t="s">
        <v>480</v>
      </c>
      <c r="D4635" t="s">
        <v>5232</v>
      </c>
      <c r="E4635" t="str">
        <f t="shared" si="72"/>
        <v>sulpak1830003901</v>
      </c>
    </row>
    <row r="4636" spans="1:5" x14ac:dyDescent="0.3">
      <c r="A4636" t="s">
        <v>5231</v>
      </c>
      <c r="B4636">
        <v>1510001655</v>
      </c>
      <c r="C4636" t="s">
        <v>412</v>
      </c>
      <c r="D4636" t="s">
        <v>5233</v>
      </c>
      <c r="E4636" t="str">
        <f t="shared" si="72"/>
        <v>sulpak1510001655</v>
      </c>
    </row>
    <row r="4637" spans="1:5" x14ac:dyDescent="0.3">
      <c r="A4637" t="s">
        <v>5231</v>
      </c>
      <c r="B4637">
        <v>1830007854</v>
      </c>
      <c r="C4637" t="s">
        <v>497</v>
      </c>
      <c r="D4637" t="s">
        <v>5234</v>
      </c>
      <c r="E4637" t="str">
        <f t="shared" si="72"/>
        <v>sulpak1830007854</v>
      </c>
    </row>
    <row r="4638" spans="1:5" x14ac:dyDescent="0.3">
      <c r="A4638" t="s">
        <v>5231</v>
      </c>
      <c r="B4638">
        <v>1500869984</v>
      </c>
      <c r="C4638" t="s">
        <v>65</v>
      </c>
      <c r="D4638" t="s">
        <v>5235</v>
      </c>
      <c r="E4638" t="str">
        <f t="shared" si="72"/>
        <v>sulpak1500869984</v>
      </c>
    </row>
    <row r="4639" spans="1:5" x14ac:dyDescent="0.3">
      <c r="A4639" t="s">
        <v>5231</v>
      </c>
      <c r="B4639">
        <v>1500636319</v>
      </c>
      <c r="C4639" t="s">
        <v>505</v>
      </c>
      <c r="D4639" t="s">
        <v>5236</v>
      </c>
      <c r="E4639" t="str">
        <f t="shared" si="72"/>
        <v>sulpak1500636319</v>
      </c>
    </row>
    <row r="4640" spans="1:5" x14ac:dyDescent="0.3">
      <c r="A4640" t="s">
        <v>5231</v>
      </c>
      <c r="B4640">
        <v>1830005371</v>
      </c>
      <c r="C4640" t="s">
        <v>5237</v>
      </c>
      <c r="D4640" t="s">
        <v>5238</v>
      </c>
      <c r="E4640" t="str">
        <f t="shared" si="72"/>
        <v>sulpak1830005371</v>
      </c>
    </row>
    <row r="4641" spans="1:5" x14ac:dyDescent="0.3">
      <c r="A4641" t="s">
        <v>5231</v>
      </c>
      <c r="B4641">
        <v>8000001814</v>
      </c>
      <c r="C4641" t="s">
        <v>515</v>
      </c>
      <c r="D4641" t="s">
        <v>5239</v>
      </c>
      <c r="E4641" t="str">
        <f t="shared" si="72"/>
        <v>sulpak8000001814</v>
      </c>
    </row>
    <row r="4642" spans="1:5" x14ac:dyDescent="0.3">
      <c r="A4642" t="s">
        <v>5231</v>
      </c>
      <c r="B4642">
        <v>2100086690</v>
      </c>
      <c r="C4642" t="s">
        <v>521</v>
      </c>
      <c r="D4642" t="s">
        <v>5240</v>
      </c>
      <c r="E4642" t="str">
        <f t="shared" si="72"/>
        <v>sulpak2100086690</v>
      </c>
    </row>
    <row r="4643" spans="1:5" x14ac:dyDescent="0.3">
      <c r="A4643" t="s">
        <v>5231</v>
      </c>
      <c r="B4643">
        <v>1510001003</v>
      </c>
      <c r="C4643" t="s">
        <v>523</v>
      </c>
      <c r="D4643" t="s">
        <v>5241</v>
      </c>
      <c r="E4643" t="str">
        <f t="shared" si="72"/>
        <v>sulpak1510001003</v>
      </c>
    </row>
    <row r="4644" spans="1:5" x14ac:dyDescent="0.3">
      <c r="A4644" t="s">
        <v>5231</v>
      </c>
      <c r="B4644">
        <v>1500818695</v>
      </c>
      <c r="C4644" t="s">
        <v>525</v>
      </c>
      <c r="D4644" t="s">
        <v>5242</v>
      </c>
      <c r="E4644" t="str">
        <f t="shared" si="72"/>
        <v>sulpak1500818695</v>
      </c>
    </row>
    <row r="4645" spans="1:5" x14ac:dyDescent="0.3">
      <c r="A4645" t="s">
        <v>5231</v>
      </c>
      <c r="B4645">
        <v>1510001005</v>
      </c>
      <c r="C4645" t="s">
        <v>544</v>
      </c>
      <c r="D4645" t="s">
        <v>5243</v>
      </c>
      <c r="E4645" t="str">
        <f t="shared" si="72"/>
        <v>sulpak1510001005</v>
      </c>
    </row>
    <row r="4646" spans="1:5" x14ac:dyDescent="0.3">
      <c r="A4646" t="s">
        <v>5231</v>
      </c>
      <c r="B4646">
        <v>1510001079</v>
      </c>
      <c r="C4646" t="s">
        <v>548</v>
      </c>
      <c r="D4646" t="s">
        <v>5244</v>
      </c>
      <c r="E4646" t="str">
        <f t="shared" si="72"/>
        <v>sulpak1510001079</v>
      </c>
    </row>
    <row r="4647" spans="1:5" x14ac:dyDescent="0.3">
      <c r="A4647" t="s">
        <v>5231</v>
      </c>
      <c r="B4647">
        <v>1500859369</v>
      </c>
      <c r="C4647" t="s">
        <v>554</v>
      </c>
      <c r="D4647" t="s">
        <v>5245</v>
      </c>
      <c r="E4647" t="str">
        <f t="shared" si="72"/>
        <v>sulpak1500859369</v>
      </c>
    </row>
    <row r="4648" spans="1:5" x14ac:dyDescent="0.3">
      <c r="A4648" t="s">
        <v>5231</v>
      </c>
      <c r="B4648">
        <v>7211002271</v>
      </c>
      <c r="C4648" t="s">
        <v>556</v>
      </c>
      <c r="D4648" t="s">
        <v>5246</v>
      </c>
      <c r="E4648" t="str">
        <f t="shared" si="72"/>
        <v>sulpak7211002271</v>
      </c>
    </row>
    <row r="4649" spans="1:5" x14ac:dyDescent="0.3">
      <c r="A4649" t="s">
        <v>5231</v>
      </c>
      <c r="B4649">
        <v>7211002491</v>
      </c>
      <c r="C4649" t="s">
        <v>600</v>
      </c>
      <c r="D4649" t="s">
        <v>5247</v>
      </c>
      <c r="E4649" t="str">
        <f t="shared" si="72"/>
        <v>sulpak7211002491</v>
      </c>
    </row>
    <row r="4650" spans="1:5" x14ac:dyDescent="0.3">
      <c r="A4650" t="s">
        <v>5231</v>
      </c>
      <c r="B4650">
        <v>2100098628</v>
      </c>
      <c r="C4650" t="s">
        <v>638</v>
      </c>
      <c r="D4650" t="s">
        <v>5248</v>
      </c>
      <c r="E4650" t="str">
        <f t="shared" si="72"/>
        <v>sulpak2100098628</v>
      </c>
    </row>
    <row r="4651" spans="1:5" x14ac:dyDescent="0.3">
      <c r="A4651" t="s">
        <v>5231</v>
      </c>
      <c r="B4651">
        <v>2100098635</v>
      </c>
      <c r="C4651" t="s">
        <v>640</v>
      </c>
      <c r="D4651" t="s">
        <v>5249</v>
      </c>
      <c r="E4651" t="str">
        <f t="shared" si="72"/>
        <v>sulpak2100098635</v>
      </c>
    </row>
    <row r="4652" spans="1:5" x14ac:dyDescent="0.3">
      <c r="A4652" t="s">
        <v>5231</v>
      </c>
      <c r="B4652">
        <v>1510001004</v>
      </c>
      <c r="C4652" t="s">
        <v>660</v>
      </c>
      <c r="D4652" t="s">
        <v>5250</v>
      </c>
      <c r="E4652" t="str">
        <f t="shared" si="72"/>
        <v>sulpak1510001004</v>
      </c>
    </row>
    <row r="4653" spans="1:5" x14ac:dyDescent="0.3">
      <c r="A4653" t="s">
        <v>5231</v>
      </c>
      <c r="B4653">
        <v>1830005749</v>
      </c>
      <c r="C4653" t="s">
        <v>696</v>
      </c>
      <c r="D4653" t="s">
        <v>5251</v>
      </c>
      <c r="E4653" t="str">
        <f t="shared" si="72"/>
        <v>sulpak1830005749</v>
      </c>
    </row>
    <row r="4654" spans="1:5" x14ac:dyDescent="0.3">
      <c r="A4654" t="s">
        <v>5231</v>
      </c>
      <c r="B4654">
        <v>1830007830</v>
      </c>
      <c r="C4654" t="s">
        <v>698</v>
      </c>
      <c r="D4654" t="s">
        <v>5252</v>
      </c>
      <c r="E4654" t="str">
        <f t="shared" si="72"/>
        <v>sulpak1830007830</v>
      </c>
    </row>
    <row r="4655" spans="1:5" x14ac:dyDescent="0.3">
      <c r="A4655" t="s">
        <v>5231</v>
      </c>
      <c r="B4655">
        <v>2100101961</v>
      </c>
      <c r="C4655" t="s">
        <v>700</v>
      </c>
      <c r="D4655" t="s">
        <v>5253</v>
      </c>
      <c r="E4655" t="str">
        <f t="shared" si="72"/>
        <v>sulpak2100101961</v>
      </c>
    </row>
    <row r="4656" spans="1:5" x14ac:dyDescent="0.3">
      <c r="A4656" t="s">
        <v>5231</v>
      </c>
      <c r="B4656">
        <v>1830005841</v>
      </c>
      <c r="C4656" t="s">
        <v>702</v>
      </c>
      <c r="D4656" t="s">
        <v>5254</v>
      </c>
      <c r="E4656" t="str">
        <f t="shared" si="72"/>
        <v>sulpak1830005841</v>
      </c>
    </row>
    <row r="4657" spans="1:5" x14ac:dyDescent="0.3">
      <c r="A4657" t="s">
        <v>5231</v>
      </c>
      <c r="B4657">
        <v>7211002805</v>
      </c>
      <c r="C4657" t="s">
        <v>714</v>
      </c>
      <c r="D4657" t="s">
        <v>5255</v>
      </c>
      <c r="E4657" t="str">
        <f t="shared" si="72"/>
        <v>sulpak7211002805</v>
      </c>
    </row>
    <row r="4658" spans="1:5" x14ac:dyDescent="0.3">
      <c r="A4658" t="s">
        <v>5231</v>
      </c>
      <c r="B4658">
        <v>1510001318</v>
      </c>
      <c r="C4658" t="s">
        <v>67</v>
      </c>
      <c r="D4658" t="s">
        <v>5256</v>
      </c>
      <c r="E4658" t="str">
        <f t="shared" si="72"/>
        <v>sulpak1510001318</v>
      </c>
    </row>
    <row r="4659" spans="1:5" x14ac:dyDescent="0.3">
      <c r="A4659" t="s">
        <v>5231</v>
      </c>
      <c r="B4659">
        <v>1510001324</v>
      </c>
      <c r="C4659" t="s">
        <v>778</v>
      </c>
      <c r="D4659" t="s">
        <v>5257</v>
      </c>
      <c r="E4659" t="str">
        <f t="shared" si="72"/>
        <v>sulpak1510001324</v>
      </c>
    </row>
    <row r="4660" spans="1:5" x14ac:dyDescent="0.3">
      <c r="A4660" t="s">
        <v>5231</v>
      </c>
      <c r="B4660">
        <v>8010000794</v>
      </c>
      <c r="C4660" t="s">
        <v>63</v>
      </c>
      <c r="D4660" t="s">
        <v>5258</v>
      </c>
      <c r="E4660" t="str">
        <f t="shared" si="72"/>
        <v>sulpak8010000794</v>
      </c>
    </row>
    <row r="4661" spans="1:5" x14ac:dyDescent="0.3">
      <c r="A4661" t="s">
        <v>5231</v>
      </c>
      <c r="B4661">
        <v>8010000032</v>
      </c>
      <c r="C4661" t="s">
        <v>817</v>
      </c>
      <c r="D4661" t="s">
        <v>5259</v>
      </c>
      <c r="E4661" t="str">
        <f t="shared" si="72"/>
        <v>sulpak8010000032</v>
      </c>
    </row>
    <row r="4662" spans="1:5" x14ac:dyDescent="0.3">
      <c r="A4662" t="s">
        <v>5231</v>
      </c>
      <c r="B4662">
        <v>7211004699</v>
      </c>
      <c r="C4662" t="s">
        <v>120</v>
      </c>
      <c r="D4662" t="s">
        <v>5260</v>
      </c>
      <c r="E4662" t="str">
        <f t="shared" si="72"/>
        <v>sulpak7211004699</v>
      </c>
    </row>
    <row r="4663" spans="1:5" x14ac:dyDescent="0.3">
      <c r="A4663" t="s">
        <v>5231</v>
      </c>
      <c r="B4663">
        <v>8010000095</v>
      </c>
      <c r="C4663" t="s">
        <v>819</v>
      </c>
      <c r="D4663" t="s">
        <v>5261</v>
      </c>
      <c r="E4663" t="str">
        <f t="shared" si="72"/>
        <v>sulpak8010000095</v>
      </c>
    </row>
    <row r="4664" spans="1:5" x14ac:dyDescent="0.3">
      <c r="A4664" t="s">
        <v>5231</v>
      </c>
      <c r="B4664">
        <v>2820300101</v>
      </c>
      <c r="C4664" t="s">
        <v>827</v>
      </c>
      <c r="D4664" t="s">
        <v>5262</v>
      </c>
      <c r="E4664" t="str">
        <f t="shared" si="72"/>
        <v>sulpak2820300101</v>
      </c>
    </row>
    <row r="4665" spans="1:5" x14ac:dyDescent="0.3">
      <c r="A4665" t="s">
        <v>5231</v>
      </c>
      <c r="B4665">
        <v>1510001948</v>
      </c>
      <c r="C4665" t="s">
        <v>857</v>
      </c>
      <c r="D4665" t="s">
        <v>5263</v>
      </c>
      <c r="E4665" t="str">
        <f t="shared" si="72"/>
        <v>sulpak1510001948</v>
      </c>
    </row>
    <row r="4666" spans="1:5" x14ac:dyDescent="0.3">
      <c r="A4666" t="s">
        <v>5231</v>
      </c>
      <c r="B4666">
        <v>7211003308</v>
      </c>
      <c r="C4666" t="s">
        <v>871</v>
      </c>
      <c r="D4666" t="s">
        <v>5264</v>
      </c>
      <c r="E4666" t="str">
        <f t="shared" si="72"/>
        <v>sulpak7211003308</v>
      </c>
    </row>
    <row r="4667" spans="1:5" x14ac:dyDescent="0.3">
      <c r="A4667" t="s">
        <v>5231</v>
      </c>
      <c r="B4667">
        <v>7211004683</v>
      </c>
      <c r="C4667" t="s">
        <v>118</v>
      </c>
      <c r="D4667" t="s">
        <v>5265</v>
      </c>
      <c r="E4667" t="str">
        <f t="shared" si="72"/>
        <v>sulpak7211004683</v>
      </c>
    </row>
    <row r="4668" spans="1:5" x14ac:dyDescent="0.3">
      <c r="A4668" t="s">
        <v>5231</v>
      </c>
      <c r="B4668">
        <v>7211003234</v>
      </c>
      <c r="C4668" t="s">
        <v>925</v>
      </c>
      <c r="D4668" t="s">
        <v>5266</v>
      </c>
      <c r="E4668" t="str">
        <f t="shared" si="72"/>
        <v>sulpak7211003234</v>
      </c>
    </row>
    <row r="4669" spans="1:5" x14ac:dyDescent="0.3">
      <c r="A4669" t="s">
        <v>5231</v>
      </c>
      <c r="B4669">
        <v>7211004672</v>
      </c>
      <c r="C4669" t="s">
        <v>363</v>
      </c>
      <c r="D4669" t="s">
        <v>5267</v>
      </c>
      <c r="E4669" t="str">
        <f t="shared" si="72"/>
        <v>sulpak7211004672</v>
      </c>
    </row>
    <row r="4670" spans="1:5" x14ac:dyDescent="0.3">
      <c r="A4670" t="s">
        <v>5231</v>
      </c>
      <c r="B4670">
        <v>7211003245</v>
      </c>
      <c r="C4670" t="s">
        <v>72</v>
      </c>
      <c r="D4670" t="s">
        <v>5268</v>
      </c>
      <c r="E4670" t="str">
        <f t="shared" si="72"/>
        <v>sulpak7211003245</v>
      </c>
    </row>
    <row r="4671" spans="1:5" x14ac:dyDescent="0.3">
      <c r="A4671" t="s">
        <v>5231</v>
      </c>
      <c r="B4671">
        <v>7211003460</v>
      </c>
      <c r="C4671" t="s">
        <v>55</v>
      </c>
      <c r="D4671" t="s">
        <v>314</v>
      </c>
      <c r="E4671" t="str">
        <f t="shared" si="72"/>
        <v>sulpak7211003460</v>
      </c>
    </row>
    <row r="4672" spans="1:5" x14ac:dyDescent="0.3">
      <c r="A4672" t="s">
        <v>5231</v>
      </c>
      <c r="B4672">
        <v>7211005021</v>
      </c>
      <c r="C4672" t="s">
        <v>1077</v>
      </c>
      <c r="D4672" t="s">
        <v>1078</v>
      </c>
      <c r="E4672" t="str">
        <f t="shared" si="72"/>
        <v>sulpak7211005021</v>
      </c>
    </row>
    <row r="4673" spans="1:5" x14ac:dyDescent="0.3">
      <c r="A4673" t="s">
        <v>5231</v>
      </c>
      <c r="B4673">
        <v>7211002289</v>
      </c>
      <c r="C4673" t="s">
        <v>1081</v>
      </c>
      <c r="D4673" t="s">
        <v>5269</v>
      </c>
      <c r="E4673" t="str">
        <f t="shared" si="72"/>
        <v>sulpak7211002289</v>
      </c>
    </row>
    <row r="4674" spans="1:5" x14ac:dyDescent="0.3">
      <c r="A4674" t="s">
        <v>5231</v>
      </c>
      <c r="B4674">
        <v>7211003267</v>
      </c>
      <c r="C4674" t="s">
        <v>1102</v>
      </c>
      <c r="D4674" t="s">
        <v>5270</v>
      </c>
      <c r="E4674" t="str">
        <f t="shared" si="72"/>
        <v>sulpak7211003267</v>
      </c>
    </row>
    <row r="4675" spans="1:5" x14ac:dyDescent="0.3">
      <c r="A4675" t="s">
        <v>5231</v>
      </c>
      <c r="B4675">
        <v>2820268400</v>
      </c>
      <c r="C4675" t="s">
        <v>2251</v>
      </c>
      <c r="D4675" t="s">
        <v>5271</v>
      </c>
      <c r="E4675" t="str">
        <f t="shared" ref="E4675:E4738" si="73">A4675&amp;B4675</f>
        <v>sulpak2820268400</v>
      </c>
    </row>
    <row r="4676" spans="1:5" x14ac:dyDescent="0.3">
      <c r="A4676" t="s">
        <v>5231</v>
      </c>
      <c r="B4676">
        <v>7211003929</v>
      </c>
      <c r="C4676" t="s">
        <v>52</v>
      </c>
      <c r="D4676" t="s">
        <v>5272</v>
      </c>
      <c r="E4676" t="str">
        <f t="shared" si="73"/>
        <v>sulpak7211003929</v>
      </c>
    </row>
    <row r="4677" spans="1:5" x14ac:dyDescent="0.3">
      <c r="A4677" t="s">
        <v>5231</v>
      </c>
      <c r="B4677">
        <v>7211002803</v>
      </c>
      <c r="C4677" t="s">
        <v>1141</v>
      </c>
      <c r="D4677" t="s">
        <v>5273</v>
      </c>
      <c r="E4677" t="str">
        <f t="shared" si="73"/>
        <v>sulpak7211002803</v>
      </c>
    </row>
    <row r="4678" spans="1:5" x14ac:dyDescent="0.3">
      <c r="A4678" t="s">
        <v>5231</v>
      </c>
      <c r="B4678">
        <v>7211003840</v>
      </c>
      <c r="C4678" t="s">
        <v>1143</v>
      </c>
      <c r="D4678" t="s">
        <v>5274</v>
      </c>
      <c r="E4678" t="str">
        <f t="shared" si="73"/>
        <v>sulpak7211003840</v>
      </c>
    </row>
    <row r="4679" spans="1:5" x14ac:dyDescent="0.3">
      <c r="A4679" t="s">
        <v>5231</v>
      </c>
      <c r="B4679">
        <v>8000035826</v>
      </c>
      <c r="C4679" t="s">
        <v>362</v>
      </c>
      <c r="D4679" t="s">
        <v>5275</v>
      </c>
      <c r="E4679" t="str">
        <f t="shared" si="73"/>
        <v>sulpak8000035826</v>
      </c>
    </row>
    <row r="4680" spans="1:5" x14ac:dyDescent="0.3">
      <c r="A4680" t="s">
        <v>5231</v>
      </c>
      <c r="B4680">
        <v>7211003938</v>
      </c>
      <c r="C4680" t="s">
        <v>73</v>
      </c>
      <c r="D4680" t="s">
        <v>5276</v>
      </c>
      <c r="E4680" t="str">
        <f t="shared" si="73"/>
        <v>sulpak7211003938</v>
      </c>
    </row>
    <row r="4681" spans="1:5" x14ac:dyDescent="0.3">
      <c r="A4681" t="s">
        <v>5231</v>
      </c>
      <c r="B4681">
        <v>8000035923</v>
      </c>
      <c r="C4681" t="s">
        <v>1146</v>
      </c>
      <c r="D4681" t="s">
        <v>5277</v>
      </c>
      <c r="E4681" t="str">
        <f t="shared" si="73"/>
        <v>sulpak8000035923</v>
      </c>
    </row>
    <row r="4682" spans="1:5" x14ac:dyDescent="0.3">
      <c r="A4682" t="s">
        <v>5231</v>
      </c>
      <c r="B4682">
        <v>7211004054</v>
      </c>
      <c r="C4682" t="s">
        <v>58</v>
      </c>
      <c r="D4682" t="s">
        <v>5278</v>
      </c>
      <c r="E4682" t="str">
        <f t="shared" si="73"/>
        <v>sulpak7211004054</v>
      </c>
    </row>
    <row r="4683" spans="1:5" x14ac:dyDescent="0.3">
      <c r="A4683" t="s">
        <v>5231</v>
      </c>
      <c r="B4683">
        <v>1830007850</v>
      </c>
      <c r="C4683" t="s">
        <v>1191</v>
      </c>
      <c r="D4683" t="s">
        <v>5279</v>
      </c>
      <c r="E4683" t="str">
        <f t="shared" si="73"/>
        <v>sulpak1830007850</v>
      </c>
    </row>
    <row r="4684" spans="1:5" x14ac:dyDescent="0.3">
      <c r="A4684" t="s">
        <v>5231</v>
      </c>
      <c r="B4684">
        <v>1830007855</v>
      </c>
      <c r="C4684" t="s">
        <v>1193</v>
      </c>
      <c r="D4684" t="s">
        <v>5280</v>
      </c>
      <c r="E4684" t="str">
        <f t="shared" si="73"/>
        <v>sulpak1830007855</v>
      </c>
    </row>
    <row r="4685" spans="1:5" x14ac:dyDescent="0.3">
      <c r="A4685" t="s">
        <v>5231</v>
      </c>
      <c r="B4685">
        <v>1830007851</v>
      </c>
      <c r="C4685" t="s">
        <v>1195</v>
      </c>
      <c r="D4685" t="s">
        <v>5281</v>
      </c>
      <c r="E4685" t="str">
        <f t="shared" si="73"/>
        <v>sulpak1830007851</v>
      </c>
    </row>
    <row r="4686" spans="1:5" x14ac:dyDescent="0.3">
      <c r="A4686" t="s">
        <v>5231</v>
      </c>
      <c r="B4686">
        <v>7211003955</v>
      </c>
      <c r="C4686" t="s">
        <v>1244</v>
      </c>
      <c r="D4686" t="s">
        <v>5282</v>
      </c>
      <c r="E4686" t="str">
        <f t="shared" si="73"/>
        <v>sulpak7211003955</v>
      </c>
    </row>
    <row r="4687" spans="1:5" x14ac:dyDescent="0.3">
      <c r="A4687" t="s">
        <v>5231</v>
      </c>
      <c r="B4687">
        <v>8010000137</v>
      </c>
      <c r="C4687" t="s">
        <v>1254</v>
      </c>
      <c r="D4687" t="s">
        <v>5283</v>
      </c>
      <c r="E4687" t="str">
        <f t="shared" si="73"/>
        <v>sulpak8010000137</v>
      </c>
    </row>
    <row r="4688" spans="1:5" x14ac:dyDescent="0.3">
      <c r="A4688" t="s">
        <v>5231</v>
      </c>
      <c r="B4688">
        <v>8010000982</v>
      </c>
      <c r="C4688" t="s">
        <v>1274</v>
      </c>
      <c r="D4688" t="s">
        <v>5284</v>
      </c>
      <c r="E4688" t="str">
        <f t="shared" si="73"/>
        <v>sulpak8010000982</v>
      </c>
    </row>
    <row r="4689" spans="1:5" x14ac:dyDescent="0.3">
      <c r="A4689" t="s">
        <v>5231</v>
      </c>
      <c r="B4689">
        <v>8010000134</v>
      </c>
      <c r="C4689" t="s">
        <v>1339</v>
      </c>
      <c r="D4689" t="s">
        <v>5285</v>
      </c>
      <c r="E4689" t="str">
        <f t="shared" si="73"/>
        <v>sulpak8010000134</v>
      </c>
    </row>
    <row r="4690" spans="1:5" x14ac:dyDescent="0.3">
      <c r="A4690" t="s">
        <v>5231</v>
      </c>
      <c r="B4690">
        <v>1500868891</v>
      </c>
      <c r="C4690" t="s">
        <v>1341</v>
      </c>
      <c r="D4690" t="s">
        <v>5286</v>
      </c>
      <c r="E4690" t="str">
        <f t="shared" si="73"/>
        <v>sulpak1500868891</v>
      </c>
    </row>
    <row r="4691" spans="1:5" x14ac:dyDescent="0.3">
      <c r="A4691" t="s">
        <v>5231</v>
      </c>
      <c r="B4691">
        <v>7211003820</v>
      </c>
      <c r="C4691" t="s">
        <v>121</v>
      </c>
      <c r="D4691" t="s">
        <v>5287</v>
      </c>
      <c r="E4691" t="str">
        <f t="shared" si="73"/>
        <v>sulpak7211003820</v>
      </c>
    </row>
    <row r="4692" spans="1:5" x14ac:dyDescent="0.3">
      <c r="A4692" t="s">
        <v>5231</v>
      </c>
      <c r="B4692">
        <v>8000035621</v>
      </c>
      <c r="C4692" t="s">
        <v>1365</v>
      </c>
      <c r="D4692" t="s">
        <v>5288</v>
      </c>
      <c r="E4692" t="str">
        <f t="shared" si="73"/>
        <v>sulpak8000035621</v>
      </c>
    </row>
    <row r="4693" spans="1:5" x14ac:dyDescent="0.3">
      <c r="A4693" t="s">
        <v>5231</v>
      </c>
      <c r="B4693">
        <v>8010000213</v>
      </c>
      <c r="C4693" t="s">
        <v>1367</v>
      </c>
      <c r="D4693" t="s">
        <v>5289</v>
      </c>
      <c r="E4693" t="str">
        <f t="shared" si="73"/>
        <v>sulpak8010000213</v>
      </c>
    </row>
    <row r="4694" spans="1:5" x14ac:dyDescent="0.3">
      <c r="A4694" t="s">
        <v>5231</v>
      </c>
      <c r="B4694">
        <v>7211004030</v>
      </c>
      <c r="C4694" t="s">
        <v>56</v>
      </c>
      <c r="D4694" t="s">
        <v>5290</v>
      </c>
      <c r="E4694" t="str">
        <f t="shared" si="73"/>
        <v>sulpak7211004030</v>
      </c>
    </row>
    <row r="4695" spans="1:5" x14ac:dyDescent="0.3">
      <c r="A4695" t="s">
        <v>5231</v>
      </c>
      <c r="B4695">
        <v>7211004072</v>
      </c>
      <c r="C4695" t="s">
        <v>1377</v>
      </c>
      <c r="D4695" t="s">
        <v>5291</v>
      </c>
      <c r="E4695" t="str">
        <f t="shared" si="73"/>
        <v>sulpak7211004072</v>
      </c>
    </row>
    <row r="4696" spans="1:5" x14ac:dyDescent="0.3">
      <c r="A4696" t="s">
        <v>5231</v>
      </c>
      <c r="B4696">
        <v>7211004366</v>
      </c>
      <c r="C4696" t="s">
        <v>1381</v>
      </c>
      <c r="D4696" t="s">
        <v>5292</v>
      </c>
      <c r="E4696" t="str">
        <f t="shared" si="73"/>
        <v>sulpak7211004366</v>
      </c>
    </row>
    <row r="4697" spans="1:5" x14ac:dyDescent="0.3">
      <c r="A4697" t="s">
        <v>5231</v>
      </c>
      <c r="B4697">
        <v>7211005022</v>
      </c>
      <c r="C4697" t="s">
        <v>1385</v>
      </c>
      <c r="D4697" t="s">
        <v>1386</v>
      </c>
      <c r="E4697" t="str">
        <f t="shared" si="73"/>
        <v>sulpak7211005022</v>
      </c>
    </row>
    <row r="4698" spans="1:5" x14ac:dyDescent="0.3">
      <c r="A4698" t="s">
        <v>5231</v>
      </c>
      <c r="B4698">
        <v>7211003983</v>
      </c>
      <c r="C4698" t="s">
        <v>1436</v>
      </c>
      <c r="D4698" t="s">
        <v>5293</v>
      </c>
      <c r="E4698" t="str">
        <f t="shared" si="73"/>
        <v>sulpak7211003983</v>
      </c>
    </row>
    <row r="4699" spans="1:5" x14ac:dyDescent="0.3">
      <c r="A4699" t="s">
        <v>5231</v>
      </c>
      <c r="B4699">
        <v>8010001069</v>
      </c>
      <c r="C4699" t="s">
        <v>3</v>
      </c>
      <c r="D4699" t="s">
        <v>5294</v>
      </c>
      <c r="E4699" t="str">
        <f t="shared" si="73"/>
        <v>sulpak8010001069</v>
      </c>
    </row>
    <row r="4700" spans="1:5" x14ac:dyDescent="0.3">
      <c r="A4700" t="s">
        <v>5231</v>
      </c>
      <c r="B4700">
        <v>7211004352</v>
      </c>
      <c r="C4700" t="s">
        <v>1500</v>
      </c>
      <c r="D4700" t="s">
        <v>5295</v>
      </c>
      <c r="E4700" t="str">
        <f t="shared" si="73"/>
        <v>sulpak7211004352</v>
      </c>
    </row>
    <row r="4701" spans="1:5" x14ac:dyDescent="0.3">
      <c r="A4701" t="s">
        <v>5231</v>
      </c>
      <c r="B4701">
        <v>8010001045</v>
      </c>
      <c r="C4701" t="s">
        <v>1502</v>
      </c>
      <c r="D4701" t="s">
        <v>5296</v>
      </c>
      <c r="E4701" t="str">
        <f t="shared" si="73"/>
        <v>sulpak8010001045</v>
      </c>
    </row>
    <row r="4702" spans="1:5" x14ac:dyDescent="0.3">
      <c r="A4702" t="s">
        <v>5231</v>
      </c>
      <c r="B4702">
        <v>8010001063</v>
      </c>
      <c r="C4702" t="s">
        <v>1542</v>
      </c>
      <c r="D4702" t="s">
        <v>5297</v>
      </c>
      <c r="E4702" t="str">
        <f t="shared" si="73"/>
        <v>sulpak8010001063</v>
      </c>
    </row>
    <row r="4703" spans="1:5" x14ac:dyDescent="0.3">
      <c r="A4703" t="s">
        <v>5231</v>
      </c>
      <c r="B4703">
        <v>1510002154</v>
      </c>
      <c r="C4703" t="s">
        <v>1592</v>
      </c>
      <c r="D4703" t="s">
        <v>5298</v>
      </c>
      <c r="E4703" t="str">
        <f t="shared" si="73"/>
        <v>sulpak1510002154</v>
      </c>
    </row>
    <row r="4704" spans="1:5" x14ac:dyDescent="0.3">
      <c r="A4704" t="s">
        <v>5231</v>
      </c>
      <c r="B4704">
        <v>8010001013</v>
      </c>
      <c r="C4704" t="s">
        <v>2477</v>
      </c>
      <c r="D4704" t="s">
        <v>1656</v>
      </c>
      <c r="E4704" t="str">
        <f t="shared" si="73"/>
        <v>sulpak8010001013</v>
      </c>
    </row>
    <row r="4705" spans="1:5" x14ac:dyDescent="0.3">
      <c r="A4705" t="s">
        <v>5231</v>
      </c>
      <c r="B4705">
        <v>1830008463</v>
      </c>
      <c r="C4705" t="s">
        <v>1665</v>
      </c>
      <c r="D4705" t="s">
        <v>5299</v>
      </c>
      <c r="E4705" t="str">
        <f t="shared" si="73"/>
        <v>sulpak1830008463</v>
      </c>
    </row>
    <row r="4706" spans="1:5" x14ac:dyDescent="0.3">
      <c r="A4706" t="s">
        <v>5231</v>
      </c>
      <c r="B4706">
        <v>7211004773</v>
      </c>
      <c r="C4706" t="s">
        <v>1677</v>
      </c>
      <c r="D4706" t="s">
        <v>5300</v>
      </c>
      <c r="E4706" t="str">
        <f t="shared" si="73"/>
        <v>sulpak7211004773</v>
      </c>
    </row>
    <row r="4707" spans="1:5" x14ac:dyDescent="0.3">
      <c r="A4707" t="s">
        <v>5231</v>
      </c>
      <c r="B4707">
        <v>8010001135</v>
      </c>
      <c r="C4707" t="s">
        <v>398</v>
      </c>
      <c r="D4707" t="s">
        <v>5301</v>
      </c>
      <c r="E4707" t="str">
        <f t="shared" si="73"/>
        <v>sulpak8010001135</v>
      </c>
    </row>
    <row r="4708" spans="1:5" x14ac:dyDescent="0.3">
      <c r="A4708" t="s">
        <v>5231</v>
      </c>
      <c r="B4708">
        <v>8000035583</v>
      </c>
      <c r="C4708" t="s">
        <v>1684</v>
      </c>
      <c r="D4708" t="s">
        <v>5302</v>
      </c>
      <c r="E4708" t="str">
        <f t="shared" si="73"/>
        <v>sulpak8000035583</v>
      </c>
    </row>
    <row r="4709" spans="1:5" x14ac:dyDescent="0.3">
      <c r="A4709" t="s">
        <v>5231</v>
      </c>
      <c r="B4709">
        <v>8010000031</v>
      </c>
      <c r="C4709" t="s">
        <v>1686</v>
      </c>
      <c r="D4709" t="s">
        <v>5303</v>
      </c>
      <c r="E4709" t="str">
        <f t="shared" si="73"/>
        <v>sulpak8010000031</v>
      </c>
    </row>
    <row r="4710" spans="1:5" x14ac:dyDescent="0.3">
      <c r="A4710" t="s">
        <v>5231</v>
      </c>
      <c r="B4710">
        <v>1510002153</v>
      </c>
      <c r="C4710" t="s">
        <v>1692</v>
      </c>
      <c r="D4710" t="s">
        <v>5304</v>
      </c>
      <c r="E4710" t="str">
        <f t="shared" si="73"/>
        <v>sulpak1510002153</v>
      </c>
    </row>
    <row r="4711" spans="1:5" x14ac:dyDescent="0.3">
      <c r="A4711" t="s">
        <v>5231</v>
      </c>
      <c r="B4711">
        <v>7211004511</v>
      </c>
      <c r="C4711" t="s">
        <v>1713</v>
      </c>
      <c r="D4711" t="s">
        <v>5305</v>
      </c>
      <c r="E4711" t="str">
        <f t="shared" si="73"/>
        <v>sulpak7211004511</v>
      </c>
    </row>
    <row r="4712" spans="1:5" x14ac:dyDescent="0.3">
      <c r="A4712" t="s">
        <v>5231</v>
      </c>
      <c r="B4712">
        <v>8010000033</v>
      </c>
      <c r="C4712" t="s">
        <v>64</v>
      </c>
      <c r="D4712" t="s">
        <v>5306</v>
      </c>
      <c r="E4712" t="str">
        <f t="shared" si="73"/>
        <v>sulpak8010000033</v>
      </c>
    </row>
    <row r="4713" spans="1:5" x14ac:dyDescent="0.3">
      <c r="A4713" t="s">
        <v>5231</v>
      </c>
      <c r="B4713">
        <v>2211401093</v>
      </c>
      <c r="C4713" t="s">
        <v>392</v>
      </c>
      <c r="D4713" t="s">
        <v>5307</v>
      </c>
      <c r="E4713" t="str">
        <f t="shared" si="73"/>
        <v>sulpak2211401093</v>
      </c>
    </row>
    <row r="4714" spans="1:5" x14ac:dyDescent="0.3">
      <c r="A4714" t="s">
        <v>5231</v>
      </c>
      <c r="B4714">
        <v>2211401092</v>
      </c>
      <c r="C4714" t="s">
        <v>393</v>
      </c>
      <c r="D4714" t="s">
        <v>5308</v>
      </c>
      <c r="E4714" t="str">
        <f t="shared" si="73"/>
        <v>sulpak2211401092</v>
      </c>
    </row>
    <row r="4715" spans="1:5" x14ac:dyDescent="0.3">
      <c r="A4715" t="s">
        <v>5231</v>
      </c>
      <c r="B4715">
        <v>7211004682</v>
      </c>
      <c r="C4715" t="s">
        <v>119</v>
      </c>
      <c r="D4715" t="s">
        <v>5309</v>
      </c>
      <c r="E4715" t="str">
        <f t="shared" si="73"/>
        <v>sulpak7211004682</v>
      </c>
    </row>
    <row r="4716" spans="1:5" x14ac:dyDescent="0.3">
      <c r="A4716" t="s">
        <v>5231</v>
      </c>
      <c r="B4716">
        <v>7211004670</v>
      </c>
      <c r="C4716" t="s">
        <v>404</v>
      </c>
      <c r="D4716" t="s">
        <v>5310</v>
      </c>
      <c r="E4716" t="str">
        <f t="shared" si="73"/>
        <v>sulpak7211004670</v>
      </c>
    </row>
    <row r="4717" spans="1:5" x14ac:dyDescent="0.3">
      <c r="A4717" t="s">
        <v>5231</v>
      </c>
      <c r="B4717">
        <v>7211004232</v>
      </c>
      <c r="C4717" t="s">
        <v>1724</v>
      </c>
      <c r="D4717" t="s">
        <v>5311</v>
      </c>
      <c r="E4717" t="str">
        <f t="shared" si="73"/>
        <v>sulpak7211004232</v>
      </c>
    </row>
    <row r="4718" spans="1:5" x14ac:dyDescent="0.3">
      <c r="A4718" t="s">
        <v>5231</v>
      </c>
      <c r="B4718">
        <v>2211401142</v>
      </c>
      <c r="C4718" t="s">
        <v>390</v>
      </c>
      <c r="D4718" t="s">
        <v>5312</v>
      </c>
      <c r="E4718" t="str">
        <f t="shared" si="73"/>
        <v>sulpak2211401142</v>
      </c>
    </row>
    <row r="4719" spans="1:5" x14ac:dyDescent="0.3">
      <c r="A4719" t="s">
        <v>5231</v>
      </c>
      <c r="B4719">
        <v>2211401143</v>
      </c>
      <c r="C4719" t="s">
        <v>389</v>
      </c>
      <c r="D4719" t="s">
        <v>5313</v>
      </c>
      <c r="E4719" t="str">
        <f t="shared" si="73"/>
        <v>sulpak2211401143</v>
      </c>
    </row>
    <row r="4720" spans="1:5" x14ac:dyDescent="0.3">
      <c r="A4720" t="s">
        <v>5231</v>
      </c>
      <c r="B4720">
        <v>1510002152</v>
      </c>
      <c r="C4720" t="s">
        <v>1752</v>
      </c>
      <c r="D4720" t="s">
        <v>5314</v>
      </c>
      <c r="E4720" t="str">
        <f t="shared" si="73"/>
        <v>sulpak1510002152</v>
      </c>
    </row>
    <row r="4721" spans="1:5" x14ac:dyDescent="0.3">
      <c r="A4721" t="s">
        <v>5231</v>
      </c>
      <c r="B4721">
        <v>1510001319</v>
      </c>
      <c r="C4721" t="s">
        <v>69</v>
      </c>
      <c r="D4721" t="s">
        <v>5315</v>
      </c>
      <c r="E4721" t="str">
        <f t="shared" si="73"/>
        <v>sulpak1510001319</v>
      </c>
    </row>
    <row r="4722" spans="1:5" x14ac:dyDescent="0.3">
      <c r="A4722" t="s">
        <v>5231</v>
      </c>
      <c r="B4722">
        <v>1500636348</v>
      </c>
      <c r="C4722" t="s">
        <v>1761</v>
      </c>
      <c r="D4722" t="s">
        <v>5316</v>
      </c>
      <c r="E4722" t="str">
        <f t="shared" si="73"/>
        <v>sulpak1500636348</v>
      </c>
    </row>
    <row r="4723" spans="1:5" x14ac:dyDescent="0.3">
      <c r="A4723" t="s">
        <v>5231</v>
      </c>
      <c r="B4723">
        <v>1830007834</v>
      </c>
      <c r="C4723" t="s">
        <v>1769</v>
      </c>
      <c r="D4723" t="s">
        <v>5317</v>
      </c>
      <c r="E4723" t="str">
        <f t="shared" si="73"/>
        <v>sulpak1830007834</v>
      </c>
    </row>
    <row r="4724" spans="1:5" x14ac:dyDescent="0.3">
      <c r="A4724" t="s">
        <v>5231</v>
      </c>
      <c r="B4724">
        <v>7211002749</v>
      </c>
      <c r="C4724" t="s">
        <v>397</v>
      </c>
      <c r="D4724" t="s">
        <v>5318</v>
      </c>
      <c r="E4724" t="str">
        <f t="shared" si="73"/>
        <v>sulpak7211002749</v>
      </c>
    </row>
    <row r="4725" spans="1:5" x14ac:dyDescent="0.3">
      <c r="A4725" t="s">
        <v>5231</v>
      </c>
      <c r="B4725">
        <v>7211002804</v>
      </c>
      <c r="C4725" t="s">
        <v>1790</v>
      </c>
      <c r="D4725" t="s">
        <v>5319</v>
      </c>
      <c r="E4725" t="str">
        <f t="shared" si="73"/>
        <v>sulpak7211002804</v>
      </c>
    </row>
    <row r="4726" spans="1:5" x14ac:dyDescent="0.3">
      <c r="A4726" t="s">
        <v>5231</v>
      </c>
      <c r="B4726">
        <v>1830008765</v>
      </c>
      <c r="C4726" t="s">
        <v>441</v>
      </c>
      <c r="D4726" t="s">
        <v>5320</v>
      </c>
      <c r="E4726" t="str">
        <f t="shared" si="73"/>
        <v>sulpak1830008765</v>
      </c>
    </row>
    <row r="4727" spans="1:5" x14ac:dyDescent="0.3">
      <c r="A4727" t="s">
        <v>5231</v>
      </c>
      <c r="B4727">
        <v>0</v>
      </c>
      <c r="C4727">
        <v>0</v>
      </c>
      <c r="D4727" t="s">
        <v>5321</v>
      </c>
      <c r="E4727" t="str">
        <f t="shared" si="73"/>
        <v>sulpak0</v>
      </c>
    </row>
    <row r="4728" spans="1:5" x14ac:dyDescent="0.3">
      <c r="A4728" t="s">
        <v>5231</v>
      </c>
      <c r="B4728">
        <v>7211002463</v>
      </c>
      <c r="C4728" t="s">
        <v>2388</v>
      </c>
      <c r="D4728" t="s">
        <v>5322</v>
      </c>
      <c r="E4728" t="str">
        <f t="shared" si="73"/>
        <v>sulpak7211002463</v>
      </c>
    </row>
    <row r="4729" spans="1:5" x14ac:dyDescent="0.3">
      <c r="A4729" t="s">
        <v>5231</v>
      </c>
      <c r="B4729">
        <v>1830007217</v>
      </c>
      <c r="C4729" t="s">
        <v>2040</v>
      </c>
      <c r="D4729" t="s">
        <v>5323</v>
      </c>
      <c r="E4729" t="str">
        <f t="shared" si="73"/>
        <v>sulpak1830007217</v>
      </c>
    </row>
    <row r="4730" spans="1:5" x14ac:dyDescent="0.3">
      <c r="A4730" t="s">
        <v>5231</v>
      </c>
      <c r="B4730">
        <v>2211400961</v>
      </c>
      <c r="C4730" t="s">
        <v>2111</v>
      </c>
      <c r="D4730" t="s">
        <v>5324</v>
      </c>
      <c r="E4730" t="str">
        <f t="shared" si="73"/>
        <v>sulpak2211400961</v>
      </c>
    </row>
    <row r="4731" spans="1:5" x14ac:dyDescent="0.3">
      <c r="A4731" t="s">
        <v>5231</v>
      </c>
      <c r="B4731">
        <v>2211401084</v>
      </c>
      <c r="C4731" t="s">
        <v>5223</v>
      </c>
      <c r="D4731" t="s">
        <v>5325</v>
      </c>
      <c r="E4731" t="str">
        <f t="shared" si="73"/>
        <v>sulpak2211401084</v>
      </c>
    </row>
    <row r="4732" spans="1:5" x14ac:dyDescent="0.3">
      <c r="A4732" t="s">
        <v>5231</v>
      </c>
      <c r="B4732">
        <v>8010000986</v>
      </c>
      <c r="C4732" t="s">
        <v>75</v>
      </c>
      <c r="D4732" t="s">
        <v>5326</v>
      </c>
      <c r="E4732" t="str">
        <f t="shared" si="73"/>
        <v>sulpak8010000986</v>
      </c>
    </row>
    <row r="4733" spans="1:5" x14ac:dyDescent="0.3">
      <c r="A4733" t="s">
        <v>5231</v>
      </c>
      <c r="B4733">
        <v>1830007998</v>
      </c>
      <c r="C4733" t="s">
        <v>4495</v>
      </c>
      <c r="D4733" t="s">
        <v>5327</v>
      </c>
      <c r="E4733" t="str">
        <f t="shared" si="73"/>
        <v>sulpak1830007998</v>
      </c>
    </row>
    <row r="4734" spans="1:5" x14ac:dyDescent="0.3">
      <c r="A4734" t="s">
        <v>5231</v>
      </c>
      <c r="B4734">
        <v>1830008359</v>
      </c>
      <c r="C4734" t="s">
        <v>4881</v>
      </c>
      <c r="D4734" t="s">
        <v>5328</v>
      </c>
      <c r="E4734" t="str">
        <f t="shared" si="73"/>
        <v>sulpak1830008359</v>
      </c>
    </row>
    <row r="4735" spans="1:5" x14ac:dyDescent="0.3">
      <c r="A4735" t="s">
        <v>5231</v>
      </c>
      <c r="B4735">
        <v>7211004274</v>
      </c>
      <c r="C4735" t="s">
        <v>53</v>
      </c>
      <c r="D4735" t="s">
        <v>1243</v>
      </c>
      <c r="E4735" t="str">
        <f t="shared" si="73"/>
        <v>sulpak7211004274</v>
      </c>
    </row>
    <row r="4736" spans="1:5" x14ac:dyDescent="0.3">
      <c r="A4736" t="s">
        <v>5178</v>
      </c>
      <c r="B4736">
        <v>2100118285</v>
      </c>
      <c r="C4736" t="s">
        <v>92</v>
      </c>
      <c r="D4736" t="s">
        <v>5329</v>
      </c>
      <c r="E4736" t="str">
        <f t="shared" si="73"/>
        <v>mechta2100118285</v>
      </c>
    </row>
    <row r="4737" spans="1:5" x14ac:dyDescent="0.3">
      <c r="A4737" t="s">
        <v>5178</v>
      </c>
      <c r="B4737">
        <v>2841851000</v>
      </c>
      <c r="C4737" t="s">
        <v>1874</v>
      </c>
      <c r="D4737" t="s">
        <v>5330</v>
      </c>
      <c r="E4737" t="str">
        <f t="shared" si="73"/>
        <v>mechta2841851000</v>
      </c>
    </row>
    <row r="4738" spans="1:5" x14ac:dyDescent="0.3">
      <c r="A4738" t="s">
        <v>5178</v>
      </c>
      <c r="B4738">
        <v>2100096216</v>
      </c>
      <c r="C4738" t="s">
        <v>1575</v>
      </c>
      <c r="D4738" t="s">
        <v>5331</v>
      </c>
      <c r="E4738" t="str">
        <f t="shared" si="73"/>
        <v>mechta2100096216</v>
      </c>
    </row>
    <row r="4739" spans="1:5" x14ac:dyDescent="0.3">
      <c r="A4739" t="s">
        <v>5178</v>
      </c>
      <c r="B4739">
        <v>2100121762</v>
      </c>
      <c r="C4739" t="s">
        <v>1496</v>
      </c>
      <c r="D4739" t="s">
        <v>5332</v>
      </c>
      <c r="E4739" t="str">
        <f t="shared" ref="E4739:E4802" si="74">A4739&amp;B4739</f>
        <v>mechta2100121762</v>
      </c>
    </row>
    <row r="4740" spans="1:5" x14ac:dyDescent="0.3">
      <c r="A4740" t="s">
        <v>5178</v>
      </c>
      <c r="B4740">
        <v>1830005958</v>
      </c>
      <c r="C4740" t="s">
        <v>5333</v>
      </c>
      <c r="D4740" t="s">
        <v>5334</v>
      </c>
      <c r="E4740" t="str">
        <f t="shared" si="74"/>
        <v>mechta1830005958</v>
      </c>
    </row>
    <row r="4741" spans="1:5" x14ac:dyDescent="0.3">
      <c r="A4741" t="s">
        <v>5178</v>
      </c>
      <c r="B4741">
        <v>2100118168</v>
      </c>
      <c r="C4741" t="s">
        <v>437</v>
      </c>
      <c r="D4741" t="s">
        <v>5335</v>
      </c>
      <c r="E4741" t="str">
        <f t="shared" si="74"/>
        <v>mechta2100118168</v>
      </c>
    </row>
    <row r="4742" spans="1:5" x14ac:dyDescent="0.3">
      <c r="A4742" t="s">
        <v>5178</v>
      </c>
      <c r="B4742">
        <v>1830007649</v>
      </c>
      <c r="C4742" t="s">
        <v>1765</v>
      </c>
      <c r="D4742" t="s">
        <v>5336</v>
      </c>
      <c r="E4742" t="str">
        <f t="shared" si="74"/>
        <v>mechta1830007649</v>
      </c>
    </row>
    <row r="4743" spans="1:5" x14ac:dyDescent="0.3">
      <c r="A4743" t="s">
        <v>5178</v>
      </c>
      <c r="B4743">
        <v>1830008837</v>
      </c>
      <c r="C4743" t="s">
        <v>5337</v>
      </c>
      <c r="D4743" t="s">
        <v>5338</v>
      </c>
      <c r="E4743" t="str">
        <f t="shared" si="74"/>
        <v>mechta1830008837</v>
      </c>
    </row>
    <row r="4744" spans="1:5" x14ac:dyDescent="0.3">
      <c r="A4744" t="s">
        <v>5178</v>
      </c>
      <c r="B4744">
        <v>7211003721</v>
      </c>
      <c r="C4744" t="s">
        <v>4618</v>
      </c>
      <c r="D4744" t="s">
        <v>5339</v>
      </c>
      <c r="E4744" t="str">
        <f t="shared" si="74"/>
        <v>mechta7211003721</v>
      </c>
    </row>
    <row r="4745" spans="1:5" x14ac:dyDescent="0.3">
      <c r="A4745" t="s">
        <v>4666</v>
      </c>
      <c r="B4745">
        <v>3100517967</v>
      </c>
      <c r="C4745" t="s">
        <v>5340</v>
      </c>
      <c r="D4745" t="s">
        <v>2788</v>
      </c>
      <c r="E4745" t="str">
        <f t="shared" si="74"/>
        <v>technodom3100517967</v>
      </c>
    </row>
    <row r="4746" spans="1:5" x14ac:dyDescent="0.3">
      <c r="A4746" t="s">
        <v>4666</v>
      </c>
      <c r="B4746">
        <v>3201006022</v>
      </c>
      <c r="C4746">
        <v>514895290</v>
      </c>
      <c r="D4746" t="s">
        <v>3665</v>
      </c>
      <c r="E4746" t="str">
        <f t="shared" si="74"/>
        <v>technodom3201006022</v>
      </c>
    </row>
    <row r="4747" spans="1:5" x14ac:dyDescent="0.3">
      <c r="A4747" t="s">
        <v>4666</v>
      </c>
      <c r="B4747">
        <v>8000035865</v>
      </c>
      <c r="C4747" t="s">
        <v>4103</v>
      </c>
      <c r="D4747" t="s">
        <v>3764</v>
      </c>
      <c r="E4747" t="str">
        <f t="shared" si="74"/>
        <v>technodom8000035865</v>
      </c>
    </row>
    <row r="4748" spans="1:5" x14ac:dyDescent="0.3">
      <c r="A4748" t="s">
        <v>4666</v>
      </c>
      <c r="B4748">
        <v>3201112521</v>
      </c>
      <c r="C4748" t="s">
        <v>436</v>
      </c>
      <c r="D4748" t="s">
        <v>3784</v>
      </c>
      <c r="E4748" t="str">
        <f t="shared" si="74"/>
        <v>technodom3201112521</v>
      </c>
    </row>
    <row r="4749" spans="1:5" x14ac:dyDescent="0.3">
      <c r="A4749" t="s">
        <v>4666</v>
      </c>
      <c r="B4749">
        <v>1830008710</v>
      </c>
      <c r="C4749" t="s">
        <v>442</v>
      </c>
      <c r="D4749" t="s">
        <v>5341</v>
      </c>
      <c r="E4749" t="str">
        <f t="shared" si="74"/>
        <v>technodom1830008710</v>
      </c>
    </row>
    <row r="4750" spans="1:5" x14ac:dyDescent="0.3">
      <c r="A4750" t="s">
        <v>4666</v>
      </c>
      <c r="B4750">
        <v>1830008837</v>
      </c>
      <c r="C4750" t="s">
        <v>5337</v>
      </c>
      <c r="D4750" t="s">
        <v>5342</v>
      </c>
      <c r="E4750" t="str">
        <f t="shared" si="74"/>
        <v>technodom1830008837</v>
      </c>
    </row>
    <row r="4751" spans="1:5" x14ac:dyDescent="0.3">
      <c r="A4751" t="s">
        <v>4666</v>
      </c>
      <c r="B4751">
        <v>2211401084</v>
      </c>
      <c r="C4751" t="s">
        <v>5223</v>
      </c>
      <c r="D4751" t="s">
        <v>5343</v>
      </c>
      <c r="E4751" t="str">
        <f t="shared" si="74"/>
        <v>technodom2211401084</v>
      </c>
    </row>
    <row r="4752" spans="1:5" x14ac:dyDescent="0.3">
      <c r="A4752" t="s">
        <v>5229</v>
      </c>
      <c r="B4752">
        <v>2211400886</v>
      </c>
      <c r="C4752" t="s">
        <v>1128</v>
      </c>
      <c r="D4752" t="s">
        <v>5344</v>
      </c>
      <c r="E4752" t="str">
        <f t="shared" si="74"/>
        <v>d2c2211400886</v>
      </c>
    </row>
    <row r="4753" spans="1:5" x14ac:dyDescent="0.3">
      <c r="A4753" t="s">
        <v>5229</v>
      </c>
      <c r="B4753">
        <v>1830007247</v>
      </c>
      <c r="C4753" t="s">
        <v>2204</v>
      </c>
      <c r="D4753" t="s">
        <v>5345</v>
      </c>
      <c r="E4753" t="str">
        <f t="shared" si="74"/>
        <v>d2c1830007247</v>
      </c>
    </row>
    <row r="4754" spans="1:5" x14ac:dyDescent="0.3">
      <c r="A4754" t="s">
        <v>5229</v>
      </c>
      <c r="B4754">
        <v>1830008176</v>
      </c>
      <c r="C4754" t="s">
        <v>8</v>
      </c>
      <c r="D4754" t="s">
        <v>5346</v>
      </c>
      <c r="E4754" t="str">
        <f t="shared" si="74"/>
        <v>d2c1830008176</v>
      </c>
    </row>
    <row r="4755" spans="1:5" x14ac:dyDescent="0.3">
      <c r="A4755" t="s">
        <v>5229</v>
      </c>
      <c r="B4755">
        <v>7211002101</v>
      </c>
      <c r="C4755" t="s">
        <v>425</v>
      </c>
      <c r="D4755" t="s">
        <v>5347</v>
      </c>
      <c r="E4755" t="str">
        <f t="shared" si="74"/>
        <v>d2c7211002101</v>
      </c>
    </row>
    <row r="4756" spans="1:5" x14ac:dyDescent="0.3">
      <c r="A4756" t="s">
        <v>5229</v>
      </c>
      <c r="B4756">
        <v>1510002143</v>
      </c>
      <c r="C4756" t="s">
        <v>1600</v>
      </c>
      <c r="D4756" t="s">
        <v>5348</v>
      </c>
      <c r="E4756" t="str">
        <f t="shared" si="74"/>
        <v>d2c1510002143</v>
      </c>
    </row>
    <row r="4757" spans="1:5" x14ac:dyDescent="0.3">
      <c r="A4757" t="s">
        <v>5229</v>
      </c>
      <c r="B4757">
        <v>7211003484</v>
      </c>
      <c r="C4757" t="s">
        <v>1842</v>
      </c>
      <c r="D4757" t="s">
        <v>5349</v>
      </c>
      <c r="E4757" t="str">
        <f t="shared" si="74"/>
        <v>d2c7211003484</v>
      </c>
    </row>
    <row r="4758" spans="1:5" x14ac:dyDescent="0.3">
      <c r="A4758" t="s">
        <v>5229</v>
      </c>
      <c r="B4758">
        <v>2211401038</v>
      </c>
      <c r="C4758" t="s">
        <v>32</v>
      </c>
      <c r="D4758" t="s">
        <v>5350</v>
      </c>
      <c r="E4758" t="str">
        <f t="shared" si="74"/>
        <v>d2c2211401038</v>
      </c>
    </row>
    <row r="4759" spans="1:5" x14ac:dyDescent="0.3">
      <c r="A4759" t="s">
        <v>5229</v>
      </c>
      <c r="B4759">
        <v>7211005010</v>
      </c>
      <c r="C4759" t="s">
        <v>416</v>
      </c>
      <c r="D4759" t="s">
        <v>5198</v>
      </c>
      <c r="E4759" t="str">
        <f t="shared" si="74"/>
        <v>d2c7211005010</v>
      </c>
    </row>
    <row r="4760" spans="1:5" x14ac:dyDescent="0.3">
      <c r="A4760" t="s">
        <v>5229</v>
      </c>
      <c r="B4760">
        <v>7211005024</v>
      </c>
      <c r="C4760" t="s">
        <v>431</v>
      </c>
      <c r="D4760" t="s">
        <v>5205</v>
      </c>
      <c r="E4760" t="str">
        <f t="shared" si="74"/>
        <v>d2c7211005024</v>
      </c>
    </row>
    <row r="4761" spans="1:5" x14ac:dyDescent="0.3">
      <c r="A4761" t="s">
        <v>5229</v>
      </c>
      <c r="B4761">
        <v>7211005023</v>
      </c>
      <c r="C4761" t="s">
        <v>432</v>
      </c>
      <c r="D4761" t="s">
        <v>5226</v>
      </c>
      <c r="E4761" t="str">
        <f t="shared" si="74"/>
        <v>d2c7211005023</v>
      </c>
    </row>
    <row r="4762" spans="1:5" x14ac:dyDescent="0.3">
      <c r="A4762" t="s">
        <v>5229</v>
      </c>
      <c r="B4762">
        <v>9100046101</v>
      </c>
      <c r="C4762">
        <v>4211926</v>
      </c>
      <c r="D4762" t="s">
        <v>5351</v>
      </c>
      <c r="E4762" t="str">
        <f t="shared" si="74"/>
        <v>d2c9100046101</v>
      </c>
    </row>
    <row r="4763" spans="1:5" x14ac:dyDescent="0.3">
      <c r="A4763" t="s">
        <v>5229</v>
      </c>
      <c r="B4763">
        <v>9100046100</v>
      </c>
      <c r="C4763">
        <v>4211924</v>
      </c>
      <c r="D4763" t="s">
        <v>5352</v>
      </c>
      <c r="E4763" t="str">
        <f t="shared" si="74"/>
        <v>d2c9100046100</v>
      </c>
    </row>
    <row r="4764" spans="1:5" x14ac:dyDescent="0.3">
      <c r="A4764" t="s">
        <v>5229</v>
      </c>
      <c r="B4764">
        <v>2100121257</v>
      </c>
      <c r="C4764" t="s">
        <v>3451</v>
      </c>
      <c r="D4764" t="s">
        <v>5353</v>
      </c>
      <c r="E4764" t="str">
        <f t="shared" si="74"/>
        <v>d2c2100121257</v>
      </c>
    </row>
    <row r="4765" spans="1:5" x14ac:dyDescent="0.3">
      <c r="A4765" t="s">
        <v>5229</v>
      </c>
      <c r="B4765">
        <v>2100117988</v>
      </c>
      <c r="C4765" t="s">
        <v>999</v>
      </c>
      <c r="D4765" t="s">
        <v>5354</v>
      </c>
      <c r="E4765" t="str">
        <f t="shared" si="74"/>
        <v>d2c2100117988</v>
      </c>
    </row>
    <row r="4766" spans="1:5" x14ac:dyDescent="0.3">
      <c r="A4766" t="s">
        <v>5229</v>
      </c>
      <c r="B4766">
        <v>2100119132</v>
      </c>
      <c r="C4766" t="s">
        <v>3092</v>
      </c>
      <c r="D4766" t="s">
        <v>5355</v>
      </c>
      <c r="E4766" t="str">
        <f t="shared" si="74"/>
        <v>d2c2100119132</v>
      </c>
    </row>
    <row r="4767" spans="1:5" x14ac:dyDescent="0.3">
      <c r="A4767" t="s">
        <v>5229</v>
      </c>
      <c r="B4767">
        <v>2100121762</v>
      </c>
      <c r="C4767" t="s">
        <v>1496</v>
      </c>
      <c r="D4767" t="s">
        <v>5356</v>
      </c>
      <c r="E4767" t="str">
        <f t="shared" si="74"/>
        <v>d2c2100121762</v>
      </c>
    </row>
    <row r="4768" spans="1:5" x14ac:dyDescent="0.3">
      <c r="A4768" t="s">
        <v>5229</v>
      </c>
      <c r="B4768">
        <v>9100036468</v>
      </c>
      <c r="C4768">
        <v>4192525</v>
      </c>
      <c r="D4768" t="s">
        <v>5357</v>
      </c>
      <c r="E4768" t="str">
        <f t="shared" si="74"/>
        <v>d2c9100036468</v>
      </c>
    </row>
    <row r="4769" spans="1:5" x14ac:dyDescent="0.3">
      <c r="A4769" t="s">
        <v>5229</v>
      </c>
      <c r="B4769">
        <v>1500869984</v>
      </c>
      <c r="C4769" t="s">
        <v>65</v>
      </c>
      <c r="D4769" t="s">
        <v>5358</v>
      </c>
      <c r="E4769" t="str">
        <f t="shared" si="74"/>
        <v>d2c1500869984</v>
      </c>
    </row>
    <row r="4770" spans="1:5" x14ac:dyDescent="0.3">
      <c r="A4770" t="s">
        <v>5229</v>
      </c>
      <c r="B4770">
        <v>1600005144</v>
      </c>
      <c r="C4770" t="s">
        <v>1603</v>
      </c>
      <c r="D4770" t="s">
        <v>5359</v>
      </c>
      <c r="E4770" t="str">
        <f t="shared" si="74"/>
        <v>d2c1600005144</v>
      </c>
    </row>
    <row r="4771" spans="1:5" x14ac:dyDescent="0.3">
      <c r="A4771" t="s">
        <v>5229</v>
      </c>
      <c r="B4771">
        <v>1830008496</v>
      </c>
      <c r="C4771" t="s">
        <v>1619</v>
      </c>
      <c r="D4771" t="s">
        <v>5360</v>
      </c>
      <c r="E4771" t="str">
        <f t="shared" si="74"/>
        <v>d2c1830008496</v>
      </c>
    </row>
    <row r="4772" spans="1:5" x14ac:dyDescent="0.3">
      <c r="A4772" t="s">
        <v>5229</v>
      </c>
      <c r="B4772">
        <v>1830008583</v>
      </c>
      <c r="C4772" t="s">
        <v>1623</v>
      </c>
      <c r="D4772" t="s">
        <v>5361</v>
      </c>
      <c r="E4772" t="str">
        <f t="shared" si="74"/>
        <v>d2c1830008583</v>
      </c>
    </row>
    <row r="4773" spans="1:5" x14ac:dyDescent="0.3">
      <c r="A4773" t="s">
        <v>5229</v>
      </c>
      <c r="B4773">
        <v>7211004002</v>
      </c>
      <c r="C4773" t="s">
        <v>2979</v>
      </c>
      <c r="D4773" t="s">
        <v>5362</v>
      </c>
      <c r="E4773" t="str">
        <f t="shared" si="74"/>
        <v>d2c7211004002</v>
      </c>
    </row>
    <row r="4774" spans="1:5" x14ac:dyDescent="0.3">
      <c r="A4774" t="s">
        <v>5229</v>
      </c>
      <c r="B4774">
        <v>7211004366</v>
      </c>
      <c r="C4774" t="s">
        <v>1381</v>
      </c>
      <c r="D4774" t="s">
        <v>5363</v>
      </c>
      <c r="E4774" t="str">
        <f t="shared" si="74"/>
        <v>d2c7211004366</v>
      </c>
    </row>
    <row r="4775" spans="1:5" x14ac:dyDescent="0.3">
      <c r="A4775" t="s">
        <v>5229</v>
      </c>
      <c r="B4775">
        <v>7211004682</v>
      </c>
      <c r="C4775" t="s">
        <v>119</v>
      </c>
      <c r="D4775" t="s">
        <v>5364</v>
      </c>
      <c r="E4775" t="str">
        <f t="shared" si="74"/>
        <v>d2c7211004682</v>
      </c>
    </row>
    <row r="4776" spans="1:5" x14ac:dyDescent="0.3">
      <c r="A4776" t="s">
        <v>5229</v>
      </c>
      <c r="B4776">
        <v>8000035826</v>
      </c>
      <c r="C4776" t="s">
        <v>362</v>
      </c>
      <c r="D4776" t="s">
        <v>5365</v>
      </c>
      <c r="E4776" t="str">
        <f t="shared" si="74"/>
        <v>d2c8000035826</v>
      </c>
    </row>
    <row r="4777" spans="1:5" x14ac:dyDescent="0.3">
      <c r="A4777" t="s">
        <v>5229</v>
      </c>
      <c r="B4777">
        <v>2100093260</v>
      </c>
      <c r="C4777" t="s">
        <v>1461</v>
      </c>
      <c r="D4777" t="s">
        <v>5366</v>
      </c>
      <c r="E4777" t="str">
        <f t="shared" si="74"/>
        <v>d2c2100093260</v>
      </c>
    </row>
    <row r="4778" spans="1:5" x14ac:dyDescent="0.3">
      <c r="A4778" t="s">
        <v>5229</v>
      </c>
      <c r="B4778">
        <v>2100087319</v>
      </c>
      <c r="C4778" t="s">
        <v>3050</v>
      </c>
      <c r="D4778" t="s">
        <v>5367</v>
      </c>
      <c r="E4778" t="str">
        <f t="shared" si="74"/>
        <v>d2c2100087319</v>
      </c>
    </row>
    <row r="4779" spans="1:5" x14ac:dyDescent="0.3">
      <c r="A4779" t="s">
        <v>5229</v>
      </c>
      <c r="B4779">
        <v>1110030532</v>
      </c>
      <c r="C4779" t="s">
        <v>1617</v>
      </c>
      <c r="D4779" t="s">
        <v>5368</v>
      </c>
      <c r="E4779" t="str">
        <f t="shared" si="74"/>
        <v>d2c1110030532</v>
      </c>
    </row>
    <row r="4780" spans="1:5" x14ac:dyDescent="0.3">
      <c r="A4780" t="s">
        <v>5229</v>
      </c>
      <c r="B4780">
        <v>1830007886</v>
      </c>
      <c r="C4780" t="s">
        <v>1529</v>
      </c>
      <c r="D4780" t="s">
        <v>5369</v>
      </c>
      <c r="E4780" t="str">
        <f t="shared" si="74"/>
        <v>d2c1830007886</v>
      </c>
    </row>
    <row r="4781" spans="1:5" x14ac:dyDescent="0.3">
      <c r="A4781" t="s">
        <v>5229</v>
      </c>
      <c r="B4781">
        <v>1830007838</v>
      </c>
      <c r="C4781" t="s">
        <v>1531</v>
      </c>
      <c r="D4781" t="s">
        <v>5370</v>
      </c>
      <c r="E4781" t="str">
        <f t="shared" si="74"/>
        <v>d2c1830007838</v>
      </c>
    </row>
    <row r="4782" spans="1:5" x14ac:dyDescent="0.3">
      <c r="A4782" t="s">
        <v>5229</v>
      </c>
      <c r="B4782">
        <v>1830007887</v>
      </c>
      <c r="C4782" t="s">
        <v>1525</v>
      </c>
      <c r="D4782" t="s">
        <v>5371</v>
      </c>
      <c r="E4782" t="str">
        <f t="shared" si="74"/>
        <v>d2c1830007887</v>
      </c>
    </row>
    <row r="4783" spans="1:5" x14ac:dyDescent="0.3">
      <c r="A4783" t="s">
        <v>5229</v>
      </c>
      <c r="B4783">
        <v>1830008071</v>
      </c>
      <c r="C4783" t="s">
        <v>1517</v>
      </c>
      <c r="D4783" t="s">
        <v>5372</v>
      </c>
      <c r="E4783" t="str">
        <f t="shared" si="74"/>
        <v>d2c1830008071</v>
      </c>
    </row>
    <row r="4784" spans="1:5" x14ac:dyDescent="0.3">
      <c r="A4784" t="s">
        <v>5229</v>
      </c>
      <c r="B4784">
        <v>1830007936</v>
      </c>
      <c r="C4784" t="s">
        <v>3435</v>
      </c>
      <c r="D4784" t="s">
        <v>5373</v>
      </c>
      <c r="E4784" t="str">
        <f t="shared" si="74"/>
        <v>d2c1830007936</v>
      </c>
    </row>
    <row r="4785" spans="1:5" x14ac:dyDescent="0.3">
      <c r="A4785" t="s">
        <v>5229</v>
      </c>
      <c r="B4785">
        <v>1830008090</v>
      </c>
      <c r="C4785" t="s">
        <v>1767</v>
      </c>
      <c r="D4785" t="s">
        <v>5374</v>
      </c>
      <c r="E4785" t="str">
        <f t="shared" si="74"/>
        <v>d2c1830008090</v>
      </c>
    </row>
    <row r="4786" spans="1:5" x14ac:dyDescent="0.3">
      <c r="A4786" t="s">
        <v>5229</v>
      </c>
      <c r="B4786">
        <v>1830007888</v>
      </c>
      <c r="C4786" t="s">
        <v>1527</v>
      </c>
      <c r="D4786" t="s">
        <v>5375</v>
      </c>
      <c r="E4786" t="str">
        <f t="shared" si="74"/>
        <v>d2c1830007888</v>
      </c>
    </row>
    <row r="4787" spans="1:5" x14ac:dyDescent="0.3">
      <c r="A4787" t="s">
        <v>5229</v>
      </c>
      <c r="B4787">
        <v>1830008091</v>
      </c>
      <c r="C4787" t="s">
        <v>3473</v>
      </c>
      <c r="D4787" t="s">
        <v>5376</v>
      </c>
      <c r="E4787" t="str">
        <f t="shared" si="74"/>
        <v>d2c1830008091</v>
      </c>
    </row>
    <row r="4788" spans="1:5" x14ac:dyDescent="0.3">
      <c r="A4788" t="s">
        <v>5229</v>
      </c>
      <c r="B4788">
        <v>1830007851</v>
      </c>
      <c r="C4788" t="s">
        <v>1195</v>
      </c>
      <c r="D4788" t="s">
        <v>5377</v>
      </c>
      <c r="E4788" t="str">
        <f t="shared" si="74"/>
        <v>d2c1830007851</v>
      </c>
    </row>
    <row r="4789" spans="1:5" x14ac:dyDescent="0.3">
      <c r="A4789" t="s">
        <v>5229</v>
      </c>
      <c r="B4789">
        <v>1830007854</v>
      </c>
      <c r="C4789" t="s">
        <v>497</v>
      </c>
      <c r="D4789" t="s">
        <v>5378</v>
      </c>
      <c r="E4789" t="str">
        <f t="shared" si="74"/>
        <v>d2c1830007854</v>
      </c>
    </row>
    <row r="4790" spans="1:5" x14ac:dyDescent="0.3">
      <c r="A4790" t="s">
        <v>5229</v>
      </c>
      <c r="B4790">
        <v>1830007855</v>
      </c>
      <c r="C4790" t="s">
        <v>1193</v>
      </c>
      <c r="D4790" t="s">
        <v>5379</v>
      </c>
      <c r="E4790" t="str">
        <f t="shared" si="74"/>
        <v>d2c1830007855</v>
      </c>
    </row>
    <row r="4791" spans="1:5" x14ac:dyDescent="0.3">
      <c r="A4791" t="s">
        <v>5229</v>
      </c>
      <c r="B4791">
        <v>1830007830</v>
      </c>
      <c r="C4791" t="s">
        <v>698</v>
      </c>
      <c r="D4791" t="s">
        <v>5380</v>
      </c>
      <c r="E4791" t="str">
        <f t="shared" si="74"/>
        <v>d2c1830007830</v>
      </c>
    </row>
    <row r="4792" spans="1:5" x14ac:dyDescent="0.3">
      <c r="A4792" t="s">
        <v>5229</v>
      </c>
      <c r="B4792">
        <v>1830007817</v>
      </c>
      <c r="C4792" t="s">
        <v>1931</v>
      </c>
      <c r="D4792" t="e">
        <v>#N/A</v>
      </c>
      <c r="E4792" t="str">
        <f t="shared" si="74"/>
        <v>d2c1830007817</v>
      </c>
    </row>
    <row r="4793" spans="1:5" x14ac:dyDescent="0.3">
      <c r="A4793" t="s">
        <v>5229</v>
      </c>
      <c r="B4793">
        <v>2211400973</v>
      </c>
      <c r="C4793" t="s">
        <v>3807</v>
      </c>
      <c r="D4793" t="s">
        <v>5381</v>
      </c>
      <c r="E4793" t="str">
        <f t="shared" si="74"/>
        <v>d2c2211400973</v>
      </c>
    </row>
    <row r="4794" spans="1:5" x14ac:dyDescent="0.3">
      <c r="A4794" t="s">
        <v>5229</v>
      </c>
      <c r="B4794">
        <v>2211401143</v>
      </c>
      <c r="C4794" t="s">
        <v>389</v>
      </c>
      <c r="D4794" t="s">
        <v>5382</v>
      </c>
      <c r="E4794" t="str">
        <f t="shared" si="74"/>
        <v>d2c2211401143</v>
      </c>
    </row>
    <row r="4795" spans="1:5" x14ac:dyDescent="0.3">
      <c r="A4795" t="s">
        <v>5229</v>
      </c>
      <c r="B4795">
        <v>2211401092</v>
      </c>
      <c r="C4795" t="s">
        <v>393</v>
      </c>
      <c r="D4795" t="s">
        <v>5383</v>
      </c>
      <c r="E4795" t="str">
        <f t="shared" si="74"/>
        <v>d2c2211401092</v>
      </c>
    </row>
    <row r="4796" spans="1:5" x14ac:dyDescent="0.3">
      <c r="A4796" t="s">
        <v>5229</v>
      </c>
      <c r="B4796">
        <v>7211004729</v>
      </c>
      <c r="C4796" t="s">
        <v>430</v>
      </c>
      <c r="D4796" t="s">
        <v>5384</v>
      </c>
      <c r="E4796" t="str">
        <f t="shared" si="74"/>
        <v>d2c7211004729</v>
      </c>
    </row>
    <row r="4797" spans="1:5" x14ac:dyDescent="0.3">
      <c r="A4797" t="s">
        <v>5229</v>
      </c>
      <c r="B4797">
        <v>1830008425</v>
      </c>
      <c r="C4797" t="s">
        <v>5385</v>
      </c>
      <c r="D4797" t="e">
        <v>#N/A</v>
      </c>
      <c r="E4797" t="str">
        <f t="shared" si="74"/>
        <v>d2c1830008425</v>
      </c>
    </row>
    <row r="4798" spans="1:5" x14ac:dyDescent="0.3">
      <c r="A4798" t="s">
        <v>5229</v>
      </c>
      <c r="B4798">
        <v>1830008500</v>
      </c>
      <c r="C4798">
        <v>0</v>
      </c>
      <c r="D4798" t="e">
        <v>#N/A</v>
      </c>
      <c r="E4798" t="str">
        <f t="shared" si="74"/>
        <v>d2c1830008500</v>
      </c>
    </row>
    <row r="4799" spans="1:5" x14ac:dyDescent="0.3">
      <c r="A4799" t="s">
        <v>5229</v>
      </c>
      <c r="B4799">
        <v>1830008430</v>
      </c>
      <c r="C4799" t="s">
        <v>5386</v>
      </c>
      <c r="D4799" t="e">
        <v>#N/A</v>
      </c>
      <c r="E4799" t="str">
        <f t="shared" si="74"/>
        <v>d2c1830008430</v>
      </c>
    </row>
    <row r="4800" spans="1:5" x14ac:dyDescent="0.3">
      <c r="A4800" t="s">
        <v>5229</v>
      </c>
      <c r="B4800">
        <v>1830008429</v>
      </c>
      <c r="C4800" t="s">
        <v>5387</v>
      </c>
      <c r="D4800" t="e">
        <v>#N/A</v>
      </c>
      <c r="E4800" t="str">
        <f t="shared" si="74"/>
        <v>d2c1830008429</v>
      </c>
    </row>
    <row r="4801" spans="1:5" x14ac:dyDescent="0.3">
      <c r="A4801" t="s">
        <v>5229</v>
      </c>
      <c r="B4801">
        <v>1830008426</v>
      </c>
      <c r="C4801" t="s">
        <v>5388</v>
      </c>
      <c r="D4801" t="s">
        <v>5389</v>
      </c>
      <c r="E4801" t="str">
        <f t="shared" si="74"/>
        <v>d2c1830008426</v>
      </c>
    </row>
    <row r="4802" spans="1:5" x14ac:dyDescent="0.3">
      <c r="A4802" t="s">
        <v>5229</v>
      </c>
      <c r="B4802">
        <v>2211401142</v>
      </c>
      <c r="C4802" t="s">
        <v>390</v>
      </c>
      <c r="D4802" t="e">
        <v>#N/A</v>
      </c>
      <c r="E4802" t="str">
        <f t="shared" si="74"/>
        <v>d2c2211401142</v>
      </c>
    </row>
    <row r="4803" spans="1:5" x14ac:dyDescent="0.3">
      <c r="A4803" t="s">
        <v>5229</v>
      </c>
      <c r="B4803">
        <v>2211401132</v>
      </c>
      <c r="C4803" t="s">
        <v>373</v>
      </c>
      <c r="D4803" t="e">
        <v>#N/A</v>
      </c>
      <c r="E4803" t="str">
        <f t="shared" ref="E4803:E4866" si="75">A4803&amp;B4803</f>
        <v>d2c2211401132</v>
      </c>
    </row>
    <row r="4804" spans="1:5" x14ac:dyDescent="0.3">
      <c r="A4804" t="s">
        <v>5229</v>
      </c>
      <c r="B4804">
        <v>2211401128</v>
      </c>
      <c r="C4804" t="s">
        <v>372</v>
      </c>
      <c r="D4804" t="s">
        <v>5390</v>
      </c>
      <c r="E4804" t="str">
        <f t="shared" si="75"/>
        <v>d2c2211401128</v>
      </c>
    </row>
    <row r="4805" spans="1:5" x14ac:dyDescent="0.3">
      <c r="A4805" t="s">
        <v>5229</v>
      </c>
      <c r="B4805">
        <v>2211401094</v>
      </c>
      <c r="C4805" t="s">
        <v>391</v>
      </c>
      <c r="D4805" t="e">
        <v>#N/A</v>
      </c>
      <c r="E4805" t="str">
        <f t="shared" si="75"/>
        <v>d2c2211401094</v>
      </c>
    </row>
    <row r="4806" spans="1:5" x14ac:dyDescent="0.3">
      <c r="A4806" t="s">
        <v>5229</v>
      </c>
      <c r="B4806">
        <v>2211401093</v>
      </c>
      <c r="C4806" t="s">
        <v>392</v>
      </c>
      <c r="D4806" t="s">
        <v>5391</v>
      </c>
      <c r="E4806" t="str">
        <f t="shared" si="75"/>
        <v>d2c2211401093</v>
      </c>
    </row>
    <row r="4807" spans="1:5" x14ac:dyDescent="0.3">
      <c r="A4807" t="s">
        <v>5229</v>
      </c>
      <c r="B4807">
        <v>2211401091</v>
      </c>
      <c r="C4807" t="s">
        <v>394</v>
      </c>
      <c r="D4807" t="s">
        <v>5392</v>
      </c>
      <c r="E4807" t="str">
        <f t="shared" si="75"/>
        <v>d2c2211401091</v>
      </c>
    </row>
    <row r="4808" spans="1:5" x14ac:dyDescent="0.3">
      <c r="A4808" t="s">
        <v>5229</v>
      </c>
      <c r="B4808">
        <v>2211401061</v>
      </c>
      <c r="C4808" t="s">
        <v>1598</v>
      </c>
      <c r="D4808" t="s">
        <v>5393</v>
      </c>
      <c r="E4808" t="str">
        <f t="shared" si="75"/>
        <v>d2c2211401061</v>
      </c>
    </row>
    <row r="4809" spans="1:5" x14ac:dyDescent="0.3">
      <c r="A4809" t="s">
        <v>5229</v>
      </c>
      <c r="B4809">
        <v>7211005013</v>
      </c>
      <c r="C4809" t="s">
        <v>2099</v>
      </c>
      <c r="D4809" t="e">
        <v>#N/A</v>
      </c>
      <c r="E4809" t="str">
        <f t="shared" si="75"/>
        <v>d2c7211005013</v>
      </c>
    </row>
    <row r="4810" spans="1:5" x14ac:dyDescent="0.3">
      <c r="A4810" t="s">
        <v>5229</v>
      </c>
      <c r="B4810">
        <v>7211005012</v>
      </c>
      <c r="C4810" t="s">
        <v>1581</v>
      </c>
      <c r="D4810" t="e">
        <v>#N/A</v>
      </c>
      <c r="E4810" t="str">
        <f t="shared" si="75"/>
        <v>d2c7211005012</v>
      </c>
    </row>
    <row r="4811" spans="1:5" x14ac:dyDescent="0.3">
      <c r="A4811" t="s">
        <v>5229</v>
      </c>
      <c r="B4811">
        <v>2211400876</v>
      </c>
      <c r="C4811">
        <v>0</v>
      </c>
      <c r="D4811" t="e">
        <v>#N/A</v>
      </c>
      <c r="E4811" t="str">
        <f t="shared" si="75"/>
        <v>d2c2211400876</v>
      </c>
    </row>
    <row r="4812" spans="1:5" x14ac:dyDescent="0.3">
      <c r="A4812" t="s">
        <v>5229</v>
      </c>
      <c r="B4812">
        <v>8010000022</v>
      </c>
      <c r="C4812" t="s">
        <v>125</v>
      </c>
      <c r="D4812" t="e">
        <v>#N/A</v>
      </c>
      <c r="E4812" t="str">
        <f t="shared" si="75"/>
        <v>d2c8010000022</v>
      </c>
    </row>
    <row r="4813" spans="1:5" x14ac:dyDescent="0.3">
      <c r="A4813" t="s">
        <v>5229</v>
      </c>
      <c r="B4813">
        <v>1830008334</v>
      </c>
      <c r="C4813" t="s">
        <v>1698</v>
      </c>
      <c r="D4813" t="e">
        <v>#N/A</v>
      </c>
      <c r="E4813" t="str">
        <f t="shared" si="75"/>
        <v>d2c1830008334</v>
      </c>
    </row>
    <row r="4814" spans="1:5" x14ac:dyDescent="0.3">
      <c r="A4814" t="s">
        <v>5229</v>
      </c>
      <c r="B4814">
        <v>2211401084</v>
      </c>
      <c r="C4814" t="s">
        <v>5223</v>
      </c>
      <c r="D4814" t="s">
        <v>5394</v>
      </c>
      <c r="E4814" t="str">
        <f t="shared" si="75"/>
        <v>d2c2211401084</v>
      </c>
    </row>
    <row r="4815" spans="1:5" x14ac:dyDescent="0.3">
      <c r="A4815" t="s">
        <v>5229</v>
      </c>
      <c r="B4815">
        <v>2211401083</v>
      </c>
      <c r="C4815" t="s">
        <v>5395</v>
      </c>
      <c r="D4815" t="e">
        <v>#N/A</v>
      </c>
      <c r="E4815" t="str">
        <f t="shared" si="75"/>
        <v>d2c2211401083</v>
      </c>
    </row>
    <row r="4816" spans="1:5" x14ac:dyDescent="0.3">
      <c r="A4816" t="s">
        <v>5229</v>
      </c>
      <c r="B4816">
        <v>2211401039</v>
      </c>
      <c r="C4816" t="s">
        <v>31</v>
      </c>
      <c r="D4816" t="e">
        <v>#N/A</v>
      </c>
      <c r="E4816" t="str">
        <f t="shared" si="75"/>
        <v>d2c2211401039</v>
      </c>
    </row>
    <row r="4817" spans="1:5" x14ac:dyDescent="0.3">
      <c r="A4817" t="s">
        <v>5229</v>
      </c>
      <c r="B4817">
        <v>2211400967</v>
      </c>
      <c r="C4817" t="s">
        <v>360</v>
      </c>
      <c r="D4817" t="e">
        <v>#N/A</v>
      </c>
      <c r="E4817" t="str">
        <f t="shared" si="75"/>
        <v>d2c2211400967</v>
      </c>
    </row>
    <row r="4818" spans="1:5" x14ac:dyDescent="0.3">
      <c r="A4818" t="s">
        <v>5229</v>
      </c>
      <c r="B4818">
        <v>7211004586</v>
      </c>
      <c r="C4818" t="s">
        <v>5396</v>
      </c>
      <c r="D4818" t="s">
        <v>5397</v>
      </c>
      <c r="E4818" t="str">
        <f t="shared" si="75"/>
        <v>d2c7211004586</v>
      </c>
    </row>
    <row r="4819" spans="1:5" x14ac:dyDescent="0.3">
      <c r="A4819" t="s">
        <v>5229</v>
      </c>
      <c r="B4819">
        <v>7211003840</v>
      </c>
      <c r="C4819" t="s">
        <v>1143</v>
      </c>
      <c r="D4819" t="e">
        <v>#N/A</v>
      </c>
      <c r="E4819" t="str">
        <f t="shared" si="75"/>
        <v>d2c7211003840</v>
      </c>
    </row>
    <row r="4820" spans="1:5" x14ac:dyDescent="0.3">
      <c r="A4820" t="s">
        <v>5229</v>
      </c>
      <c r="B4820">
        <v>1830008359</v>
      </c>
      <c r="C4820" t="s">
        <v>4881</v>
      </c>
      <c r="D4820" t="s">
        <v>5398</v>
      </c>
      <c r="E4820" t="str">
        <f t="shared" si="75"/>
        <v>d2c1830008359</v>
      </c>
    </row>
    <row r="4821" spans="1:5" x14ac:dyDescent="0.3">
      <c r="A4821" t="s">
        <v>5229</v>
      </c>
      <c r="B4821">
        <v>1830008760</v>
      </c>
      <c r="C4821" t="s">
        <v>5399</v>
      </c>
      <c r="D4821" t="e">
        <v>#N/A</v>
      </c>
      <c r="E4821" t="str">
        <f t="shared" si="75"/>
        <v>d2c1830008760</v>
      </c>
    </row>
    <row r="4822" spans="1:5" x14ac:dyDescent="0.3">
      <c r="A4822" t="s">
        <v>5229</v>
      </c>
      <c r="B4822">
        <v>1830008710</v>
      </c>
      <c r="C4822" t="s">
        <v>442</v>
      </c>
      <c r="D4822" t="s">
        <v>5400</v>
      </c>
      <c r="E4822" t="str">
        <f t="shared" si="75"/>
        <v>d2c1830008710</v>
      </c>
    </row>
    <row r="4823" spans="1:5" x14ac:dyDescent="0.3">
      <c r="A4823" t="s">
        <v>5229</v>
      </c>
      <c r="B4823">
        <v>1830008521</v>
      </c>
      <c r="C4823" t="s">
        <v>1651</v>
      </c>
      <c r="D4823" t="e">
        <v>#N/A</v>
      </c>
      <c r="E4823" t="str">
        <f t="shared" si="75"/>
        <v>d2c1830008521</v>
      </c>
    </row>
    <row r="4824" spans="1:5" x14ac:dyDescent="0.3">
      <c r="A4824" t="s">
        <v>5229</v>
      </c>
      <c r="B4824">
        <v>1830008508</v>
      </c>
      <c r="C4824" t="s">
        <v>1669</v>
      </c>
      <c r="D4824" t="s">
        <v>5401</v>
      </c>
      <c r="E4824" t="str">
        <f t="shared" si="75"/>
        <v>d2c1830008508</v>
      </c>
    </row>
    <row r="4825" spans="1:5" x14ac:dyDescent="0.3">
      <c r="A4825" t="s">
        <v>5231</v>
      </c>
      <c r="B4825">
        <v>1830008837</v>
      </c>
      <c r="C4825" t="s">
        <v>5402</v>
      </c>
      <c r="D4825" t="s">
        <v>5403</v>
      </c>
      <c r="E4825" t="str">
        <f t="shared" si="75"/>
        <v>sulpak1830008837</v>
      </c>
    </row>
    <row r="4826" spans="1:5" x14ac:dyDescent="0.3">
      <c r="A4826" t="s">
        <v>5151</v>
      </c>
      <c r="B4826">
        <v>9100049053</v>
      </c>
      <c r="C4826">
        <v>4220126</v>
      </c>
      <c r="D4826">
        <v>4220126</v>
      </c>
      <c r="E4826" t="str">
        <f t="shared" si="75"/>
        <v>evrika9100049053</v>
      </c>
    </row>
    <row r="4827" spans="1:5" x14ac:dyDescent="0.3">
      <c r="A4827" t="s">
        <v>5151</v>
      </c>
      <c r="B4827">
        <v>9100049054</v>
      </c>
      <c r="C4827">
        <v>4220128</v>
      </c>
      <c r="D4827">
        <v>4220128</v>
      </c>
      <c r="E4827" t="str">
        <f t="shared" si="75"/>
        <v>evrika9100049054</v>
      </c>
    </row>
    <row r="4828" spans="1:5" x14ac:dyDescent="0.3">
      <c r="A4828" t="s">
        <v>5151</v>
      </c>
      <c r="B4828">
        <v>9100049055</v>
      </c>
      <c r="C4828">
        <v>4220525</v>
      </c>
      <c r="D4828">
        <v>4220525</v>
      </c>
      <c r="E4828" t="str">
        <f t="shared" si="75"/>
        <v>evrika9100049055</v>
      </c>
    </row>
    <row r="4829" spans="1:5" x14ac:dyDescent="0.3">
      <c r="A4829" t="s">
        <v>5151</v>
      </c>
      <c r="B4829">
        <v>9100049056</v>
      </c>
      <c r="C4829">
        <v>4220628</v>
      </c>
      <c r="D4829">
        <v>4220628</v>
      </c>
      <c r="E4829" t="str">
        <f t="shared" si="75"/>
        <v>evrika9100049056</v>
      </c>
    </row>
    <row r="4830" spans="1:5" x14ac:dyDescent="0.3">
      <c r="A4830" t="s">
        <v>5151</v>
      </c>
      <c r="B4830">
        <v>1830008360</v>
      </c>
      <c r="C4830" t="s">
        <v>5404</v>
      </c>
      <c r="D4830" t="s">
        <v>5404</v>
      </c>
      <c r="E4830" t="str">
        <f t="shared" si="75"/>
        <v>evrika1830008360</v>
      </c>
    </row>
    <row r="4831" spans="1:5" x14ac:dyDescent="0.3">
      <c r="A4831" t="s">
        <v>5151</v>
      </c>
      <c r="B4831">
        <v>1830008763</v>
      </c>
      <c r="C4831" t="s">
        <v>5405</v>
      </c>
      <c r="D4831" t="s">
        <v>5405</v>
      </c>
      <c r="E4831" t="str">
        <f t="shared" si="75"/>
        <v>evrika1830008763</v>
      </c>
    </row>
    <row r="4832" spans="1:5" x14ac:dyDescent="0.3">
      <c r="A4832" t="s">
        <v>5151</v>
      </c>
      <c r="B4832">
        <v>3100600288</v>
      </c>
      <c r="C4832" t="s">
        <v>5406</v>
      </c>
      <c r="D4832" t="s">
        <v>5406</v>
      </c>
      <c r="E4832" t="str">
        <f t="shared" si="75"/>
        <v>evrika3100600288</v>
      </c>
    </row>
    <row r="4833" spans="1:5" x14ac:dyDescent="0.3">
      <c r="A4833" t="s">
        <v>5151</v>
      </c>
      <c r="B4833">
        <v>2211401083</v>
      </c>
      <c r="C4833" t="s">
        <v>5395</v>
      </c>
      <c r="D4833" t="s">
        <v>5395</v>
      </c>
      <c r="E4833" t="str">
        <f t="shared" si="75"/>
        <v>evrika2211401083</v>
      </c>
    </row>
    <row r="4834" spans="1:5" x14ac:dyDescent="0.3">
      <c r="A4834" t="s">
        <v>5167</v>
      </c>
      <c r="B4834">
        <v>9100048045</v>
      </c>
      <c r="C4834">
        <v>4216126</v>
      </c>
      <c r="D4834" t="s">
        <v>5407</v>
      </c>
      <c r="E4834" t="str">
        <f t="shared" si="75"/>
        <v>alser9100048045</v>
      </c>
    </row>
    <row r="4835" spans="1:5" x14ac:dyDescent="0.3">
      <c r="A4835" t="s">
        <v>5167</v>
      </c>
      <c r="B4835">
        <v>9100048047</v>
      </c>
      <c r="C4835">
        <v>4216522</v>
      </c>
      <c r="D4835" t="s">
        <v>5408</v>
      </c>
      <c r="E4835" t="str">
        <f t="shared" si="75"/>
        <v>alser9100048047</v>
      </c>
    </row>
    <row r="4836" spans="1:5" x14ac:dyDescent="0.3">
      <c r="A4836" t="s">
        <v>5167</v>
      </c>
      <c r="B4836">
        <v>1510001898</v>
      </c>
      <c r="C4836" t="s">
        <v>1240</v>
      </c>
      <c r="D4836" t="s">
        <v>5409</v>
      </c>
      <c r="E4836" t="str">
        <f t="shared" si="75"/>
        <v>alser1510001898</v>
      </c>
    </row>
    <row r="4837" spans="1:5" x14ac:dyDescent="0.3">
      <c r="A4837" t="s">
        <v>5167</v>
      </c>
      <c r="B4837">
        <v>7211003356</v>
      </c>
      <c r="C4837" t="s">
        <v>975</v>
      </c>
      <c r="D4837" t="s">
        <v>5410</v>
      </c>
      <c r="E4837" t="str">
        <f t="shared" si="75"/>
        <v>alser7211003356</v>
      </c>
    </row>
    <row r="4838" spans="1:5" x14ac:dyDescent="0.3">
      <c r="A4838" t="s">
        <v>5167</v>
      </c>
      <c r="B4838">
        <v>7211004315</v>
      </c>
      <c r="C4838" t="s">
        <v>82</v>
      </c>
      <c r="D4838" t="s">
        <v>5411</v>
      </c>
      <c r="E4838" t="str">
        <f t="shared" si="75"/>
        <v>alser7211004315</v>
      </c>
    </row>
    <row r="4839" spans="1:5" x14ac:dyDescent="0.3">
      <c r="A4839" t="s">
        <v>5167</v>
      </c>
      <c r="B4839">
        <v>7211003827</v>
      </c>
      <c r="C4839" t="s">
        <v>81</v>
      </c>
      <c r="D4839" t="s">
        <v>5412</v>
      </c>
      <c r="E4839" t="str">
        <f t="shared" si="75"/>
        <v>alser7211003827</v>
      </c>
    </row>
    <row r="4840" spans="1:5" x14ac:dyDescent="0.3">
      <c r="A4840" t="s">
        <v>5167</v>
      </c>
      <c r="B4840">
        <v>1830008765</v>
      </c>
      <c r="C4840" t="s">
        <v>441</v>
      </c>
      <c r="D4840" t="s">
        <v>5413</v>
      </c>
      <c r="E4840" t="str">
        <f t="shared" si="75"/>
        <v>alser1830008765</v>
      </c>
    </row>
    <row r="4841" spans="1:5" x14ac:dyDescent="0.3">
      <c r="A4841" t="s">
        <v>5167</v>
      </c>
      <c r="B4841">
        <v>1830008521</v>
      </c>
      <c r="C4841" t="s">
        <v>1651</v>
      </c>
      <c r="D4841" t="s">
        <v>5414</v>
      </c>
      <c r="E4841" t="str">
        <f t="shared" si="75"/>
        <v>alser1830008521</v>
      </c>
    </row>
    <row r="4842" spans="1:5" x14ac:dyDescent="0.3">
      <c r="A4842" t="s">
        <v>5167</v>
      </c>
      <c r="B4842">
        <v>8010000032</v>
      </c>
      <c r="C4842" t="s">
        <v>817</v>
      </c>
      <c r="D4842" t="s">
        <v>1972</v>
      </c>
      <c r="E4842" t="str">
        <f t="shared" si="75"/>
        <v>alser8010000032</v>
      </c>
    </row>
    <row r="4843" spans="1:5" x14ac:dyDescent="0.3">
      <c r="A4843" t="s">
        <v>5167</v>
      </c>
      <c r="B4843">
        <v>1510001319</v>
      </c>
      <c r="C4843" t="s">
        <v>69</v>
      </c>
      <c r="D4843" t="s">
        <v>260</v>
      </c>
      <c r="E4843" t="str">
        <f t="shared" si="75"/>
        <v>alser1510001319</v>
      </c>
    </row>
    <row r="4844" spans="1:5" x14ac:dyDescent="0.3">
      <c r="A4844" t="s">
        <v>5167</v>
      </c>
      <c r="B4844">
        <v>7211002608</v>
      </c>
      <c r="C4844" t="s">
        <v>54</v>
      </c>
      <c r="D4844" t="s">
        <v>5415</v>
      </c>
      <c r="E4844" t="str">
        <f t="shared" si="75"/>
        <v>alser7211002608</v>
      </c>
    </row>
    <row r="4845" spans="1:5" x14ac:dyDescent="0.3">
      <c r="A4845" t="s">
        <v>5167</v>
      </c>
      <c r="B4845">
        <v>1830007750</v>
      </c>
      <c r="C4845" t="s">
        <v>1090</v>
      </c>
      <c r="D4845" t="s">
        <v>5416</v>
      </c>
      <c r="E4845" t="str">
        <f t="shared" si="75"/>
        <v>alser1830007750</v>
      </c>
    </row>
    <row r="4846" spans="1:5" x14ac:dyDescent="0.3">
      <c r="A4846" t="s">
        <v>5167</v>
      </c>
      <c r="B4846">
        <v>1830008763</v>
      </c>
      <c r="C4846" t="s">
        <v>5405</v>
      </c>
      <c r="D4846" t="s">
        <v>5417</v>
      </c>
      <c r="E4846" t="str">
        <f t="shared" si="75"/>
        <v>alser1830008763</v>
      </c>
    </row>
    <row r="4847" spans="1:5" x14ac:dyDescent="0.3">
      <c r="A4847" t="s">
        <v>5167</v>
      </c>
      <c r="B4847">
        <v>1830008758</v>
      </c>
      <c r="C4847" t="s">
        <v>5418</v>
      </c>
      <c r="D4847" t="s">
        <v>5419</v>
      </c>
      <c r="E4847" t="str">
        <f t="shared" si="75"/>
        <v>alser1830008758</v>
      </c>
    </row>
    <row r="4848" spans="1:5" x14ac:dyDescent="0.3">
      <c r="A4848" t="s">
        <v>4666</v>
      </c>
      <c r="B4848">
        <v>2211401083</v>
      </c>
      <c r="C4848" t="s">
        <v>5395</v>
      </c>
      <c r="D4848" t="s">
        <v>5420</v>
      </c>
      <c r="E4848" t="str">
        <f t="shared" si="75"/>
        <v>technodom2211401083</v>
      </c>
    </row>
    <row r="4849" spans="1:5" x14ac:dyDescent="0.3">
      <c r="A4849" t="s">
        <v>4666</v>
      </c>
      <c r="B4849">
        <v>7211004190</v>
      </c>
      <c r="C4849" t="s">
        <v>5421</v>
      </c>
      <c r="D4849" t="s">
        <v>5422</v>
      </c>
      <c r="E4849" t="str">
        <f t="shared" si="75"/>
        <v>technodom7211004190</v>
      </c>
    </row>
    <row r="4850" spans="1:5" x14ac:dyDescent="0.3">
      <c r="A4850" t="s">
        <v>5231</v>
      </c>
      <c r="B4850">
        <v>1830007817</v>
      </c>
      <c r="C4850" t="s">
        <v>1931</v>
      </c>
      <c r="D4850" t="s">
        <v>5423</v>
      </c>
      <c r="E4850" t="str">
        <f t="shared" si="75"/>
        <v>sulpak1830007817</v>
      </c>
    </row>
    <row r="4851" spans="1:5" x14ac:dyDescent="0.3">
      <c r="A4851" t="s">
        <v>5231</v>
      </c>
      <c r="B4851">
        <v>1830008360</v>
      </c>
      <c r="C4851" t="s">
        <v>5404</v>
      </c>
      <c r="D4851" t="s">
        <v>5424</v>
      </c>
      <c r="E4851" t="str">
        <f t="shared" si="75"/>
        <v>sulpak1830008360</v>
      </c>
    </row>
    <row r="4852" spans="1:5" x14ac:dyDescent="0.3">
      <c r="A4852" t="s">
        <v>5231</v>
      </c>
      <c r="B4852">
        <v>1830008426</v>
      </c>
      <c r="C4852" t="s">
        <v>5388</v>
      </c>
      <c r="D4852" t="s">
        <v>5425</v>
      </c>
      <c r="E4852" t="str">
        <f t="shared" si="75"/>
        <v>sulpak1830008426</v>
      </c>
    </row>
    <row r="4853" spans="1:5" x14ac:dyDescent="0.3">
      <c r="A4853" t="s">
        <v>5178</v>
      </c>
      <c r="B4853">
        <v>1830008532</v>
      </c>
      <c r="C4853" t="s">
        <v>1694</v>
      </c>
      <c r="D4853" t="s">
        <v>5426</v>
      </c>
      <c r="E4853" t="str">
        <f t="shared" si="75"/>
        <v>mechta1830008532</v>
      </c>
    </row>
    <row r="4854" spans="1:5" x14ac:dyDescent="0.3">
      <c r="A4854" t="s">
        <v>5427</v>
      </c>
      <c r="B4854" t="s">
        <v>5428</v>
      </c>
      <c r="C4854" t="s">
        <v>5428</v>
      </c>
      <c r="D4854" t="s">
        <v>5429</v>
      </c>
      <c r="E4854" t="str">
        <f t="shared" si="75"/>
        <v>dnsFV2846E0</v>
      </c>
    </row>
    <row r="4855" spans="1:5" x14ac:dyDescent="0.3">
      <c r="A4855" t="s">
        <v>4666</v>
      </c>
      <c r="B4855">
        <v>2211401142</v>
      </c>
      <c r="C4855" t="s">
        <v>390</v>
      </c>
      <c r="D4855" t="s">
        <v>5430</v>
      </c>
      <c r="E4855" t="str">
        <f t="shared" si="75"/>
        <v>technodom2211401142</v>
      </c>
    </row>
    <row r="4856" spans="1:5" x14ac:dyDescent="0.3">
      <c r="A4856" t="s">
        <v>4666</v>
      </c>
      <c r="B4856">
        <v>4100000739</v>
      </c>
      <c r="C4856" t="s">
        <v>1808</v>
      </c>
      <c r="D4856" t="s">
        <v>5431</v>
      </c>
      <c r="E4856" t="str">
        <f t="shared" si="75"/>
        <v>technodom4100000739</v>
      </c>
    </row>
    <row r="4857" spans="1:5" x14ac:dyDescent="0.3">
      <c r="A4857" t="s">
        <v>4666</v>
      </c>
      <c r="B4857">
        <v>1830008759</v>
      </c>
      <c r="C4857" t="s">
        <v>4883</v>
      </c>
      <c r="D4857" t="s">
        <v>5432</v>
      </c>
      <c r="E4857" t="str">
        <f t="shared" si="75"/>
        <v>technodom1830008759</v>
      </c>
    </row>
    <row r="4858" spans="1:5" x14ac:dyDescent="0.3">
      <c r="A4858" t="s">
        <v>4666</v>
      </c>
      <c r="B4858">
        <v>1830008760</v>
      </c>
      <c r="C4858" t="s">
        <v>5399</v>
      </c>
      <c r="D4858" t="s">
        <v>5433</v>
      </c>
      <c r="E4858" t="str">
        <f t="shared" si="75"/>
        <v>technodom1830008760</v>
      </c>
    </row>
    <row r="4859" spans="1:5" x14ac:dyDescent="0.3">
      <c r="A4859" t="s">
        <v>4666</v>
      </c>
      <c r="B4859">
        <v>1830008426</v>
      </c>
      <c r="C4859" t="s">
        <v>5388</v>
      </c>
      <c r="D4859" t="s">
        <v>5434</v>
      </c>
      <c r="E4859" t="str">
        <f t="shared" si="75"/>
        <v>technodom1830008426</v>
      </c>
    </row>
    <row r="4860" spans="1:5" x14ac:dyDescent="0.3">
      <c r="A4860" t="s">
        <v>4666</v>
      </c>
      <c r="B4860">
        <v>1830008429</v>
      </c>
      <c r="C4860" t="s">
        <v>5387</v>
      </c>
      <c r="D4860" t="s">
        <v>5435</v>
      </c>
      <c r="E4860" t="str">
        <f t="shared" si="75"/>
        <v>technodom1830008429</v>
      </c>
    </row>
    <row r="4861" spans="1:5" x14ac:dyDescent="0.3">
      <c r="A4861" t="s">
        <v>4666</v>
      </c>
      <c r="B4861">
        <v>1830008430</v>
      </c>
      <c r="C4861" t="s">
        <v>5386</v>
      </c>
      <c r="D4861" t="s">
        <v>5436</v>
      </c>
      <c r="E4861" t="str">
        <f t="shared" si="75"/>
        <v>technodom1830008430</v>
      </c>
    </row>
    <row r="4862" spans="1:5" x14ac:dyDescent="0.3">
      <c r="A4862" t="s">
        <v>4666</v>
      </c>
      <c r="B4862">
        <v>1830008425</v>
      </c>
      <c r="C4862" t="s">
        <v>5385</v>
      </c>
      <c r="D4862" t="s">
        <v>5437</v>
      </c>
      <c r="E4862" t="str">
        <f t="shared" si="75"/>
        <v>technodom1830008425</v>
      </c>
    </row>
    <row r="4863" spans="1:5" x14ac:dyDescent="0.3">
      <c r="A4863" t="s">
        <v>5178</v>
      </c>
      <c r="B4863">
        <v>8000001814</v>
      </c>
      <c r="C4863" t="s">
        <v>515</v>
      </c>
      <c r="D4863" t="s">
        <v>5438</v>
      </c>
      <c r="E4863" t="str">
        <f t="shared" si="75"/>
        <v>mechta8000001814</v>
      </c>
    </row>
    <row r="4864" spans="1:5" x14ac:dyDescent="0.3">
      <c r="A4864" t="s">
        <v>5178</v>
      </c>
      <c r="B4864">
        <v>8000003687</v>
      </c>
      <c r="C4864" t="s">
        <v>1659</v>
      </c>
      <c r="D4864" t="s">
        <v>5439</v>
      </c>
      <c r="E4864" t="str">
        <f t="shared" si="75"/>
        <v>mechta8000003687</v>
      </c>
    </row>
    <row r="4865" spans="1:5" x14ac:dyDescent="0.3">
      <c r="A4865" t="s">
        <v>5231</v>
      </c>
      <c r="B4865">
        <v>1830008641</v>
      </c>
      <c r="C4865" t="s">
        <v>5440</v>
      </c>
      <c r="D4865" t="s">
        <v>5441</v>
      </c>
      <c r="E4865" t="str">
        <f t="shared" si="75"/>
        <v>sulpak1830008641</v>
      </c>
    </row>
    <row r="4866" spans="1:5" x14ac:dyDescent="0.3">
      <c r="A4866" t="s">
        <v>5231</v>
      </c>
      <c r="B4866">
        <v>1830008619</v>
      </c>
      <c r="C4866" t="s">
        <v>5442</v>
      </c>
      <c r="D4866" t="s">
        <v>5443</v>
      </c>
      <c r="E4866" t="str">
        <f t="shared" si="75"/>
        <v>sulpak1830008619</v>
      </c>
    </row>
    <row r="4867" spans="1:5" x14ac:dyDescent="0.3">
      <c r="A4867" t="s">
        <v>5231</v>
      </c>
      <c r="B4867">
        <v>1830008649</v>
      </c>
      <c r="C4867" t="s">
        <v>5444</v>
      </c>
      <c r="D4867" t="s">
        <v>5445</v>
      </c>
      <c r="E4867" t="str">
        <f t="shared" ref="E4867:E4930" si="76">A4867&amp;B4867</f>
        <v>sulpak1830008649</v>
      </c>
    </row>
    <row r="4868" spans="1:5" x14ac:dyDescent="0.3">
      <c r="A4868" t="s">
        <v>5231</v>
      </c>
      <c r="B4868">
        <v>1830008887</v>
      </c>
      <c r="C4868" t="s">
        <v>5446</v>
      </c>
      <c r="D4868" t="s">
        <v>5447</v>
      </c>
      <c r="E4868" t="str">
        <f t="shared" si="76"/>
        <v>sulpak1830008887</v>
      </c>
    </row>
    <row r="4869" spans="1:5" x14ac:dyDescent="0.3">
      <c r="A4869" t="s">
        <v>5167</v>
      </c>
      <c r="B4869">
        <v>1830008646</v>
      </c>
      <c r="C4869" t="s">
        <v>5448</v>
      </c>
      <c r="D4869" t="s">
        <v>5449</v>
      </c>
      <c r="E4869" t="str">
        <f t="shared" si="76"/>
        <v>alser1830008646</v>
      </c>
    </row>
    <row r="4870" spans="1:5" x14ac:dyDescent="0.3">
      <c r="A4870" t="s">
        <v>5167</v>
      </c>
      <c r="B4870">
        <v>1830008359</v>
      </c>
      <c r="C4870" t="s">
        <v>4881</v>
      </c>
      <c r="D4870" t="s">
        <v>5450</v>
      </c>
      <c r="E4870" t="str">
        <f t="shared" si="76"/>
        <v>alser1830008359</v>
      </c>
    </row>
    <row r="4871" spans="1:5" x14ac:dyDescent="0.3">
      <c r="A4871" t="s">
        <v>5167</v>
      </c>
      <c r="B4871">
        <v>7211003925</v>
      </c>
      <c r="C4871" t="s">
        <v>59</v>
      </c>
      <c r="D4871" t="s">
        <v>1334</v>
      </c>
      <c r="E4871" t="str">
        <f t="shared" si="76"/>
        <v>alser7211003925</v>
      </c>
    </row>
    <row r="4872" spans="1:5" x14ac:dyDescent="0.3">
      <c r="A4872" t="s">
        <v>5167</v>
      </c>
      <c r="B4872">
        <v>1830008618</v>
      </c>
      <c r="C4872" t="s">
        <v>5451</v>
      </c>
      <c r="D4872" t="s">
        <v>5452</v>
      </c>
      <c r="E4872" t="str">
        <f t="shared" si="76"/>
        <v>alser1830008618</v>
      </c>
    </row>
    <row r="4873" spans="1:5" x14ac:dyDescent="0.3">
      <c r="A4873" t="s">
        <v>5151</v>
      </c>
      <c r="B4873">
        <v>9100049052</v>
      </c>
      <c r="C4873">
        <v>4220124</v>
      </c>
      <c r="D4873">
        <v>4220124</v>
      </c>
      <c r="E4873" t="str">
        <f t="shared" si="76"/>
        <v>evrika9100049052</v>
      </c>
    </row>
    <row r="4874" spans="1:5" x14ac:dyDescent="0.3">
      <c r="A4874" t="s">
        <v>5151</v>
      </c>
      <c r="B4874">
        <v>9100049048</v>
      </c>
      <c r="C4874">
        <v>4224124</v>
      </c>
      <c r="D4874">
        <v>4224124</v>
      </c>
      <c r="E4874" t="str">
        <f t="shared" si="76"/>
        <v>evrika9100049048</v>
      </c>
    </row>
    <row r="4875" spans="1:5" x14ac:dyDescent="0.3">
      <c r="A4875" t="s">
        <v>5151</v>
      </c>
      <c r="B4875">
        <v>9100049049</v>
      </c>
      <c r="C4875">
        <v>4224126</v>
      </c>
      <c r="D4875">
        <v>4224126</v>
      </c>
      <c r="E4875" t="str">
        <f t="shared" si="76"/>
        <v>evrika9100049049</v>
      </c>
    </row>
    <row r="4876" spans="1:5" x14ac:dyDescent="0.3">
      <c r="A4876" t="s">
        <v>5151</v>
      </c>
      <c r="B4876">
        <v>9100049050</v>
      </c>
      <c r="C4876">
        <v>4224128</v>
      </c>
      <c r="D4876">
        <v>4224128</v>
      </c>
      <c r="E4876" t="str">
        <f t="shared" si="76"/>
        <v>evrika9100049050</v>
      </c>
    </row>
    <row r="4877" spans="1:5" x14ac:dyDescent="0.3">
      <c r="A4877" t="s">
        <v>5151</v>
      </c>
      <c r="B4877">
        <v>7211002490</v>
      </c>
      <c r="C4877" t="s">
        <v>2580</v>
      </c>
      <c r="D4877" t="s">
        <v>2580</v>
      </c>
      <c r="E4877" t="str">
        <f t="shared" si="76"/>
        <v>evrika7211002490</v>
      </c>
    </row>
    <row r="4878" spans="1:5" x14ac:dyDescent="0.3">
      <c r="A4878" t="s">
        <v>5151</v>
      </c>
      <c r="B4878">
        <v>8010000031</v>
      </c>
      <c r="C4878" t="s">
        <v>1686</v>
      </c>
      <c r="D4878" t="s">
        <v>1686</v>
      </c>
      <c r="E4878" t="str">
        <f t="shared" si="76"/>
        <v>evrika8010000031</v>
      </c>
    </row>
    <row r="4879" spans="1:5" x14ac:dyDescent="0.3">
      <c r="A4879" t="s">
        <v>5151</v>
      </c>
      <c r="B4879">
        <v>2211400233</v>
      </c>
      <c r="C4879" t="s">
        <v>849</v>
      </c>
      <c r="D4879" t="s">
        <v>849</v>
      </c>
      <c r="E4879" t="str">
        <f t="shared" si="76"/>
        <v>evrika2211400233</v>
      </c>
    </row>
    <row r="4880" spans="1:5" x14ac:dyDescent="0.3">
      <c r="A4880" t="s">
        <v>5178</v>
      </c>
      <c r="B4880">
        <v>2100117992</v>
      </c>
      <c r="C4880" t="s">
        <v>4116</v>
      </c>
      <c r="D4880" t="s">
        <v>5453</v>
      </c>
      <c r="E4880" t="str">
        <f t="shared" si="76"/>
        <v>mechta2100117992</v>
      </c>
    </row>
    <row r="4881" spans="1:5" x14ac:dyDescent="0.3">
      <c r="A4881" t="s">
        <v>4858</v>
      </c>
      <c r="B4881">
        <v>7211005013</v>
      </c>
      <c r="C4881" t="s">
        <v>2099</v>
      </c>
      <c r="D4881" t="s">
        <v>5454</v>
      </c>
      <c r="E4881" t="str">
        <f t="shared" si="76"/>
        <v>D2C7211005013</v>
      </c>
    </row>
    <row r="4882" spans="1:5" x14ac:dyDescent="0.3">
      <c r="A4882" t="s">
        <v>4858</v>
      </c>
      <c r="B4882">
        <v>2100123567</v>
      </c>
      <c r="C4882" t="s">
        <v>3744</v>
      </c>
      <c r="D4882" t="s">
        <v>5455</v>
      </c>
      <c r="E4882" t="str">
        <f t="shared" si="76"/>
        <v>D2C2100123567</v>
      </c>
    </row>
    <row r="4883" spans="1:5" x14ac:dyDescent="0.3">
      <c r="A4883" t="s">
        <v>5167</v>
      </c>
      <c r="B4883">
        <v>2211400814</v>
      </c>
      <c r="C4883" t="s">
        <v>1818</v>
      </c>
      <c r="D4883" t="s">
        <v>5456</v>
      </c>
      <c r="E4883" t="str">
        <f t="shared" si="76"/>
        <v>alser2211400814</v>
      </c>
    </row>
    <row r="4884" spans="1:5" x14ac:dyDescent="0.3">
      <c r="A4884" t="s">
        <v>4858</v>
      </c>
      <c r="B4884">
        <v>2211400794</v>
      </c>
      <c r="C4884" t="s">
        <v>416</v>
      </c>
      <c r="D4884" t="s">
        <v>5198</v>
      </c>
      <c r="E4884" t="str">
        <f t="shared" si="76"/>
        <v>D2C2211400794</v>
      </c>
    </row>
    <row r="4885" spans="1:5" x14ac:dyDescent="0.3">
      <c r="A4885" t="s">
        <v>4858</v>
      </c>
      <c r="B4885">
        <v>1830008521</v>
      </c>
      <c r="C4885" t="s">
        <v>1651</v>
      </c>
      <c r="D4885" t="s">
        <v>5457</v>
      </c>
      <c r="E4885" t="str">
        <f t="shared" si="76"/>
        <v>D2C1830008521</v>
      </c>
    </row>
    <row r="4886" spans="1:5" x14ac:dyDescent="0.3">
      <c r="A4886" t="s">
        <v>4858</v>
      </c>
      <c r="B4886">
        <v>2211401132</v>
      </c>
      <c r="C4886" t="s">
        <v>373</v>
      </c>
      <c r="D4886" t="s">
        <v>5458</v>
      </c>
      <c r="E4886" t="str">
        <f t="shared" si="76"/>
        <v>D2C2211401132</v>
      </c>
    </row>
    <row r="4887" spans="1:5" x14ac:dyDescent="0.3">
      <c r="A4887" t="s">
        <v>5231</v>
      </c>
      <c r="B4887">
        <v>1830006563</v>
      </c>
      <c r="C4887" t="s">
        <v>2858</v>
      </c>
      <c r="D4887" t="s">
        <v>5459</v>
      </c>
      <c r="E4887" t="str">
        <f t="shared" si="76"/>
        <v>sulpak1830006563</v>
      </c>
    </row>
    <row r="4888" spans="1:5" x14ac:dyDescent="0.3">
      <c r="A4888" t="s">
        <v>5178</v>
      </c>
      <c r="B4888">
        <v>8000035584</v>
      </c>
      <c r="C4888" t="s">
        <v>5460</v>
      </c>
      <c r="D4888" t="s">
        <v>5461</v>
      </c>
      <c r="E4888" t="str">
        <f t="shared" si="76"/>
        <v>mechta8000035584</v>
      </c>
    </row>
    <row r="4889" spans="1:5" x14ac:dyDescent="0.3">
      <c r="A4889" t="s">
        <v>5178</v>
      </c>
      <c r="B4889">
        <v>8000031569</v>
      </c>
      <c r="C4889" t="s">
        <v>1661</v>
      </c>
      <c r="D4889" t="s">
        <v>5462</v>
      </c>
      <c r="E4889" t="str">
        <f t="shared" si="76"/>
        <v>mechta8000031569</v>
      </c>
    </row>
    <row r="4890" spans="1:5" x14ac:dyDescent="0.3">
      <c r="A4890" t="s">
        <v>5178</v>
      </c>
      <c r="B4890">
        <v>1830008648</v>
      </c>
      <c r="C4890" t="s">
        <v>5463</v>
      </c>
      <c r="D4890" t="s">
        <v>5464</v>
      </c>
      <c r="E4890" t="str">
        <f t="shared" si="76"/>
        <v>mechta1830008648</v>
      </c>
    </row>
    <row r="4891" spans="1:5" x14ac:dyDescent="0.3">
      <c r="A4891" t="s">
        <v>5178</v>
      </c>
      <c r="B4891">
        <v>1830008649</v>
      </c>
      <c r="C4891" t="s">
        <v>5444</v>
      </c>
      <c r="D4891" t="s">
        <v>5465</v>
      </c>
      <c r="E4891" t="str">
        <f t="shared" si="76"/>
        <v>mechta1830008649</v>
      </c>
    </row>
    <row r="4892" spans="1:5" x14ac:dyDescent="0.3">
      <c r="A4892" t="s">
        <v>4858</v>
      </c>
      <c r="B4892">
        <v>1830008619</v>
      </c>
      <c r="C4892" t="s">
        <v>5442</v>
      </c>
      <c r="D4892" t="s">
        <v>5466</v>
      </c>
      <c r="E4892" t="str">
        <f t="shared" si="76"/>
        <v>D2C1830008619</v>
      </c>
    </row>
    <row r="4893" spans="1:5" x14ac:dyDescent="0.3">
      <c r="A4893" t="s">
        <v>5231</v>
      </c>
      <c r="B4893">
        <v>1830007748</v>
      </c>
      <c r="C4893" t="s">
        <v>2031</v>
      </c>
      <c r="D4893" t="s">
        <v>5467</v>
      </c>
      <c r="E4893" t="str">
        <f t="shared" si="76"/>
        <v>sulpak1830007748</v>
      </c>
    </row>
    <row r="4894" spans="1:5" x14ac:dyDescent="0.3">
      <c r="A4894" t="s">
        <v>5231</v>
      </c>
      <c r="B4894">
        <v>7211002492</v>
      </c>
      <c r="C4894" t="s">
        <v>2125</v>
      </c>
      <c r="D4894" t="s">
        <v>5468</v>
      </c>
      <c r="E4894" t="str">
        <f t="shared" si="76"/>
        <v>sulpak7211002492</v>
      </c>
    </row>
    <row r="4895" spans="1:5" x14ac:dyDescent="0.3">
      <c r="A4895" t="s">
        <v>5231</v>
      </c>
      <c r="B4895">
        <v>7211002493</v>
      </c>
      <c r="C4895" t="s">
        <v>2123</v>
      </c>
      <c r="D4895" t="s">
        <v>5469</v>
      </c>
      <c r="E4895" t="str">
        <f t="shared" si="76"/>
        <v>sulpak7211002493</v>
      </c>
    </row>
    <row r="4896" spans="1:5" x14ac:dyDescent="0.3">
      <c r="A4896" t="s">
        <v>5231</v>
      </c>
      <c r="B4896">
        <v>2211401039</v>
      </c>
      <c r="C4896" t="s">
        <v>31</v>
      </c>
      <c r="D4896" t="s">
        <v>5470</v>
      </c>
      <c r="E4896" t="str">
        <f t="shared" si="76"/>
        <v>sulpak2211401039</v>
      </c>
    </row>
    <row r="4897" spans="1:5" x14ac:dyDescent="0.3">
      <c r="A4897" t="s">
        <v>5231</v>
      </c>
      <c r="B4897">
        <v>1830008760</v>
      </c>
      <c r="C4897" t="s">
        <v>5399</v>
      </c>
      <c r="D4897" t="s">
        <v>5471</v>
      </c>
      <c r="E4897" t="str">
        <f t="shared" si="76"/>
        <v>sulpak1830008760</v>
      </c>
    </row>
    <row r="4898" spans="1:5" x14ac:dyDescent="0.3">
      <c r="A4898" t="s">
        <v>5231</v>
      </c>
      <c r="B4898">
        <v>1830008711</v>
      </c>
      <c r="C4898" t="s">
        <v>5472</v>
      </c>
      <c r="D4898" t="s">
        <v>5473</v>
      </c>
      <c r="E4898" t="str">
        <f t="shared" si="76"/>
        <v>sulpak1830008711</v>
      </c>
    </row>
    <row r="4899" spans="1:5" x14ac:dyDescent="0.3">
      <c r="A4899" t="s">
        <v>5231</v>
      </c>
      <c r="B4899">
        <v>1830008712</v>
      </c>
      <c r="C4899" t="s">
        <v>5474</v>
      </c>
      <c r="D4899" t="s">
        <v>5475</v>
      </c>
      <c r="E4899" t="str">
        <f t="shared" si="76"/>
        <v>sulpak1830008712</v>
      </c>
    </row>
    <row r="4900" spans="1:5" x14ac:dyDescent="0.3">
      <c r="A4900" t="s">
        <v>5231</v>
      </c>
      <c r="B4900">
        <v>7211002490</v>
      </c>
      <c r="C4900" t="s">
        <v>2580</v>
      </c>
      <c r="D4900" t="s">
        <v>5476</v>
      </c>
      <c r="E4900" t="str">
        <f t="shared" si="76"/>
        <v>sulpak7211002490</v>
      </c>
    </row>
    <row r="4901" spans="1:5" x14ac:dyDescent="0.3">
      <c r="A4901" t="s">
        <v>5151</v>
      </c>
      <c r="B4901">
        <v>2211401143</v>
      </c>
      <c r="C4901" t="s">
        <v>389</v>
      </c>
      <c r="D4901" t="s">
        <v>389</v>
      </c>
      <c r="E4901" t="str">
        <f t="shared" si="76"/>
        <v>evrika2211401143</v>
      </c>
    </row>
    <row r="4902" spans="1:5" x14ac:dyDescent="0.3">
      <c r="A4902" t="s">
        <v>5151</v>
      </c>
      <c r="B4902">
        <v>8000035584</v>
      </c>
      <c r="C4902" t="s">
        <v>5460</v>
      </c>
      <c r="D4902" t="s">
        <v>5477</v>
      </c>
      <c r="E4902" t="str">
        <f t="shared" si="76"/>
        <v>evrika8000035584</v>
      </c>
    </row>
    <row r="4903" spans="1:5" x14ac:dyDescent="0.3">
      <c r="A4903" t="s">
        <v>4666</v>
      </c>
      <c r="B4903">
        <v>7211004586</v>
      </c>
      <c r="C4903" t="s">
        <v>5396</v>
      </c>
      <c r="D4903" t="s">
        <v>5478</v>
      </c>
      <c r="E4903" t="str">
        <f t="shared" si="76"/>
        <v>technodom7211004586</v>
      </c>
    </row>
    <row r="4904" spans="1:5" x14ac:dyDescent="0.3">
      <c r="A4904" t="s">
        <v>4666</v>
      </c>
      <c r="B4904">
        <v>8000035584</v>
      </c>
      <c r="C4904" t="s">
        <v>5460</v>
      </c>
      <c r="D4904" t="s">
        <v>5479</v>
      </c>
      <c r="E4904" t="str">
        <f t="shared" si="76"/>
        <v>technodom8000035584</v>
      </c>
    </row>
    <row r="4905" spans="1:5" x14ac:dyDescent="0.3">
      <c r="A4905" t="s">
        <v>4666</v>
      </c>
      <c r="B4905">
        <v>1830008712</v>
      </c>
      <c r="C4905" t="s">
        <v>5474</v>
      </c>
      <c r="D4905" t="s">
        <v>5480</v>
      </c>
      <c r="E4905" t="str">
        <f t="shared" si="76"/>
        <v>technodom1830008712</v>
      </c>
    </row>
    <row r="4906" spans="1:5" x14ac:dyDescent="0.3">
      <c r="A4906" t="s">
        <v>4666</v>
      </c>
      <c r="B4906">
        <v>1830008711</v>
      </c>
      <c r="C4906" t="s">
        <v>5472</v>
      </c>
      <c r="D4906" t="s">
        <v>5481</v>
      </c>
      <c r="E4906" t="str">
        <f t="shared" si="76"/>
        <v>technodom1830008711</v>
      </c>
    </row>
    <row r="4907" spans="1:5" x14ac:dyDescent="0.3">
      <c r="A4907" t="s">
        <v>5167</v>
      </c>
      <c r="B4907">
        <v>7211005024</v>
      </c>
      <c r="C4907" t="s">
        <v>431</v>
      </c>
      <c r="D4907" t="s">
        <v>5482</v>
      </c>
      <c r="E4907" t="str">
        <f t="shared" si="76"/>
        <v>alser7211005024</v>
      </c>
    </row>
    <row r="4908" spans="1:5" x14ac:dyDescent="0.3">
      <c r="A4908" t="s">
        <v>5167</v>
      </c>
      <c r="B4908">
        <v>7211005012</v>
      </c>
      <c r="C4908" t="s">
        <v>1581</v>
      </c>
      <c r="D4908" t="s">
        <v>5483</v>
      </c>
      <c r="E4908" t="str">
        <f t="shared" si="76"/>
        <v>alser7211005012</v>
      </c>
    </row>
    <row r="4909" spans="1:5" x14ac:dyDescent="0.3">
      <c r="A4909" t="s">
        <v>5167</v>
      </c>
      <c r="B4909">
        <v>2211401014</v>
      </c>
      <c r="C4909" t="s">
        <v>371</v>
      </c>
      <c r="D4909" t="s">
        <v>5484</v>
      </c>
      <c r="E4909" t="str">
        <f t="shared" si="76"/>
        <v>alser2211401014</v>
      </c>
    </row>
    <row r="4910" spans="1:5" x14ac:dyDescent="0.3">
      <c r="A4910" t="s">
        <v>5167</v>
      </c>
      <c r="B4910">
        <v>2211400844</v>
      </c>
      <c r="C4910" t="s">
        <v>27</v>
      </c>
      <c r="D4910" t="s">
        <v>5485</v>
      </c>
      <c r="E4910" t="str">
        <f t="shared" si="76"/>
        <v>alser2211400844</v>
      </c>
    </row>
    <row r="4911" spans="1:5" x14ac:dyDescent="0.3">
      <c r="A4911" t="s">
        <v>5167</v>
      </c>
      <c r="B4911">
        <v>1830008647</v>
      </c>
      <c r="C4911" t="s">
        <v>5486</v>
      </c>
      <c r="D4911" t="s">
        <v>5487</v>
      </c>
      <c r="E4911" t="str">
        <f t="shared" si="76"/>
        <v>alser1830008647</v>
      </c>
    </row>
    <row r="4912" spans="1:5" x14ac:dyDescent="0.3">
      <c r="A4912" t="s">
        <v>5167</v>
      </c>
      <c r="B4912">
        <v>1830008522</v>
      </c>
      <c r="C4912" t="s">
        <v>4847</v>
      </c>
      <c r="D4912" t="s">
        <v>5488</v>
      </c>
      <c r="E4912" t="str">
        <f t="shared" si="76"/>
        <v>alser1830008522</v>
      </c>
    </row>
    <row r="4913" spans="1:5" x14ac:dyDescent="0.3">
      <c r="A4913" t="s">
        <v>5167</v>
      </c>
      <c r="B4913">
        <v>1830008711</v>
      </c>
      <c r="C4913" t="s">
        <v>5472</v>
      </c>
      <c r="D4913" t="s">
        <v>5489</v>
      </c>
      <c r="E4913" t="str">
        <f t="shared" si="76"/>
        <v>alser1830008711</v>
      </c>
    </row>
    <row r="4914" spans="1:5" x14ac:dyDescent="0.3">
      <c r="A4914" t="s">
        <v>5167</v>
      </c>
      <c r="B4914">
        <v>1830006133</v>
      </c>
      <c r="C4914" t="s">
        <v>2415</v>
      </c>
      <c r="D4914" t="s">
        <v>5490</v>
      </c>
      <c r="E4914" t="str">
        <f t="shared" si="76"/>
        <v>alser1830006133</v>
      </c>
    </row>
    <row r="4915" spans="1:5" x14ac:dyDescent="0.3">
      <c r="A4915" t="s">
        <v>5167</v>
      </c>
      <c r="B4915">
        <v>2211400233</v>
      </c>
      <c r="C4915" t="s">
        <v>849</v>
      </c>
      <c r="D4915" t="s">
        <v>5491</v>
      </c>
      <c r="E4915" t="str">
        <f t="shared" si="76"/>
        <v>alser2211400233</v>
      </c>
    </row>
    <row r="4916" spans="1:5" x14ac:dyDescent="0.3">
      <c r="A4916" t="s">
        <v>5167</v>
      </c>
      <c r="B4916">
        <v>2211400967</v>
      </c>
      <c r="C4916" t="s">
        <v>360</v>
      </c>
      <c r="D4916" t="s">
        <v>5492</v>
      </c>
      <c r="E4916" t="str">
        <f t="shared" si="76"/>
        <v>alser2211400967</v>
      </c>
    </row>
    <row r="4917" spans="1:5" x14ac:dyDescent="0.3">
      <c r="A4917" t="s">
        <v>5167</v>
      </c>
      <c r="B4917">
        <v>2211400922</v>
      </c>
      <c r="C4917" t="s">
        <v>34</v>
      </c>
      <c r="D4917" t="s">
        <v>5493</v>
      </c>
      <c r="E4917" t="str">
        <f t="shared" si="76"/>
        <v>alser2211400922</v>
      </c>
    </row>
    <row r="4918" spans="1:5" x14ac:dyDescent="0.3">
      <c r="A4918" t="s">
        <v>5167</v>
      </c>
      <c r="B4918">
        <v>2211401091</v>
      </c>
      <c r="C4918" t="s">
        <v>394</v>
      </c>
      <c r="D4918" t="s">
        <v>5494</v>
      </c>
      <c r="E4918" t="str">
        <f t="shared" si="76"/>
        <v>alser2211401091</v>
      </c>
    </row>
    <row r="4919" spans="1:5" x14ac:dyDescent="0.3">
      <c r="A4919" t="s">
        <v>5167</v>
      </c>
      <c r="B4919">
        <v>2211400921</v>
      </c>
      <c r="C4919" t="s">
        <v>33</v>
      </c>
      <c r="D4919" t="s">
        <v>5495</v>
      </c>
      <c r="E4919" t="str">
        <f t="shared" si="76"/>
        <v>alser2211400921</v>
      </c>
    </row>
    <row r="4920" spans="1:5" x14ac:dyDescent="0.3">
      <c r="A4920" t="s">
        <v>5427</v>
      </c>
      <c r="B4920">
        <v>2100089647</v>
      </c>
      <c r="C4920" t="s">
        <v>3526</v>
      </c>
      <c r="D4920" t="s">
        <v>5496</v>
      </c>
      <c r="E4920" t="str">
        <f t="shared" si="76"/>
        <v>dns2100089647</v>
      </c>
    </row>
    <row r="4921" spans="1:5" x14ac:dyDescent="0.3">
      <c r="A4921" t="s">
        <v>5229</v>
      </c>
      <c r="B4921">
        <v>1830008493</v>
      </c>
      <c r="C4921" t="s">
        <v>1621</v>
      </c>
      <c r="D4921" t="s">
        <v>5497</v>
      </c>
      <c r="E4921" t="str">
        <f t="shared" si="76"/>
        <v>d2c1830008493</v>
      </c>
    </row>
    <row r="4922" spans="1:5" x14ac:dyDescent="0.3">
      <c r="A4922" t="s">
        <v>5229</v>
      </c>
      <c r="B4922">
        <v>8010000022</v>
      </c>
      <c r="C4922" t="s">
        <v>125</v>
      </c>
      <c r="D4922" t="s">
        <v>5498</v>
      </c>
      <c r="E4922" t="str">
        <f t="shared" si="76"/>
        <v>d2c8010000022</v>
      </c>
    </row>
    <row r="4923" spans="1:5" x14ac:dyDescent="0.3">
      <c r="A4923" t="s">
        <v>5229</v>
      </c>
      <c r="B4923">
        <v>9100042518</v>
      </c>
      <c r="C4923">
        <v>4206628</v>
      </c>
      <c r="D4923" t="s">
        <v>5499</v>
      </c>
      <c r="E4923" t="str">
        <f t="shared" si="76"/>
        <v>d2c9100042518</v>
      </c>
    </row>
    <row r="4924" spans="1:5" x14ac:dyDescent="0.3">
      <c r="A4924" t="s">
        <v>5229</v>
      </c>
      <c r="B4924">
        <v>1830008649</v>
      </c>
      <c r="C4924" t="s">
        <v>5444</v>
      </c>
      <c r="D4924" t="s">
        <v>5500</v>
      </c>
      <c r="E4924" t="str">
        <f t="shared" si="76"/>
        <v>d2c1830008649</v>
      </c>
    </row>
    <row r="4925" spans="1:5" x14ac:dyDescent="0.3">
      <c r="A4925" t="s">
        <v>5229</v>
      </c>
      <c r="B4925">
        <v>9100004140</v>
      </c>
      <c r="C4925" t="s">
        <v>1138</v>
      </c>
      <c r="D4925" t="s">
        <v>5128</v>
      </c>
      <c r="E4925" t="str">
        <f t="shared" si="76"/>
        <v>d2c9100004140</v>
      </c>
    </row>
    <row r="4926" spans="1:5" x14ac:dyDescent="0.3">
      <c r="A4926" t="s">
        <v>5229</v>
      </c>
      <c r="B4926">
        <v>9100004192</v>
      </c>
      <c r="C4926" t="s">
        <v>470</v>
      </c>
      <c r="D4926" t="s">
        <v>5130</v>
      </c>
      <c r="E4926" t="str">
        <f t="shared" si="76"/>
        <v>d2c9100004192</v>
      </c>
    </row>
    <row r="4927" spans="1:5" x14ac:dyDescent="0.3">
      <c r="A4927" t="s">
        <v>5229</v>
      </c>
      <c r="B4927">
        <v>9100036467</v>
      </c>
      <c r="C4927" t="s">
        <v>1047</v>
      </c>
      <c r="D4927" t="s">
        <v>5136</v>
      </c>
      <c r="E4927" t="str">
        <f t="shared" si="76"/>
        <v>d2c9100036467</v>
      </c>
    </row>
    <row r="4928" spans="1:5" x14ac:dyDescent="0.3">
      <c r="A4928" t="s">
        <v>5229</v>
      </c>
      <c r="B4928">
        <v>9100045480</v>
      </c>
      <c r="C4928">
        <v>4206928</v>
      </c>
      <c r="D4928" t="s">
        <v>5501</v>
      </c>
      <c r="E4928" t="str">
        <f t="shared" si="76"/>
        <v>d2c9100045480</v>
      </c>
    </row>
    <row r="4929" spans="1:5" x14ac:dyDescent="0.3">
      <c r="A4929" t="s">
        <v>5178</v>
      </c>
      <c r="B4929">
        <v>0</v>
      </c>
      <c r="C4929">
        <v>0</v>
      </c>
      <c r="D4929" t="s">
        <v>5502</v>
      </c>
      <c r="E4929" t="str">
        <f t="shared" si="76"/>
        <v>mechta0</v>
      </c>
    </row>
    <row r="4930" spans="1:5" x14ac:dyDescent="0.3">
      <c r="A4930" t="s">
        <v>5178</v>
      </c>
      <c r="B4930">
        <v>1830008775</v>
      </c>
      <c r="C4930" t="s">
        <v>5503</v>
      </c>
      <c r="D4930" t="s">
        <v>5504</v>
      </c>
      <c r="E4930" t="str">
        <f t="shared" si="76"/>
        <v>mechta1830008775</v>
      </c>
    </row>
    <row r="4931" spans="1:5" x14ac:dyDescent="0.3">
      <c r="A4931" t="s">
        <v>5178</v>
      </c>
      <c r="B4931">
        <v>2211400063</v>
      </c>
      <c r="C4931" t="s">
        <v>594</v>
      </c>
      <c r="D4931" t="s">
        <v>5505</v>
      </c>
      <c r="E4931" t="str">
        <f t="shared" ref="E4931:E4994" si="77">A4931&amp;B4931</f>
        <v>mechta2211400063</v>
      </c>
    </row>
    <row r="4932" spans="1:5" x14ac:dyDescent="0.3">
      <c r="A4932" t="s">
        <v>5178</v>
      </c>
      <c r="B4932">
        <v>1830008887</v>
      </c>
      <c r="C4932" t="s">
        <v>5446</v>
      </c>
      <c r="D4932" t="s">
        <v>5506</v>
      </c>
      <c r="E4932" t="str">
        <f t="shared" si="77"/>
        <v>mechta1830008887</v>
      </c>
    </row>
    <row r="4933" spans="1:5" x14ac:dyDescent="0.3">
      <c r="A4933" t="s">
        <v>5167</v>
      </c>
      <c r="B4933">
        <v>2211400922</v>
      </c>
      <c r="C4933" t="s">
        <v>34</v>
      </c>
      <c r="D4933" t="s">
        <v>5507</v>
      </c>
      <c r="E4933" t="str">
        <f t="shared" si="77"/>
        <v>alser2211400922</v>
      </c>
    </row>
    <row r="4934" spans="1:5" x14ac:dyDescent="0.3">
      <c r="A4934" t="s">
        <v>5229</v>
      </c>
      <c r="B4934">
        <v>9100046100</v>
      </c>
      <c r="C4934">
        <v>4211924</v>
      </c>
      <c r="D4934" t="s">
        <v>5508</v>
      </c>
      <c r="E4934" t="str">
        <f t="shared" si="77"/>
        <v>d2c9100046100</v>
      </c>
    </row>
    <row r="4935" spans="1:5" x14ac:dyDescent="0.3">
      <c r="A4935" t="s">
        <v>5229</v>
      </c>
      <c r="B4935">
        <v>1830007809</v>
      </c>
      <c r="C4935" t="s">
        <v>410</v>
      </c>
      <c r="D4935" t="s">
        <v>5509</v>
      </c>
      <c r="E4935" t="str">
        <f t="shared" si="77"/>
        <v>d2c1830007809</v>
      </c>
    </row>
    <row r="4936" spans="1:5" x14ac:dyDescent="0.3">
      <c r="A4936" t="s">
        <v>5229</v>
      </c>
      <c r="B4936">
        <v>2100121738</v>
      </c>
      <c r="C4936" t="s">
        <v>435</v>
      </c>
      <c r="D4936" t="s">
        <v>5510</v>
      </c>
      <c r="E4936" t="str">
        <f t="shared" si="77"/>
        <v>d2c2100121738</v>
      </c>
    </row>
    <row r="4937" spans="1:5" x14ac:dyDescent="0.3">
      <c r="A4937" t="s">
        <v>5229</v>
      </c>
      <c r="B4937">
        <v>2211401094</v>
      </c>
      <c r="C4937" t="s">
        <v>391</v>
      </c>
      <c r="D4937" t="s">
        <v>5511</v>
      </c>
      <c r="E4937" t="str">
        <f t="shared" si="77"/>
        <v>d2c2211401094</v>
      </c>
    </row>
    <row r="4938" spans="1:5" x14ac:dyDescent="0.3">
      <c r="A4938" t="s">
        <v>5231</v>
      </c>
      <c r="B4938">
        <v>8000036188</v>
      </c>
      <c r="C4938" t="s">
        <v>2128</v>
      </c>
      <c r="D4938" t="s">
        <v>5512</v>
      </c>
      <c r="E4938" t="str">
        <f t="shared" si="77"/>
        <v>sulpak8000036188</v>
      </c>
    </row>
    <row r="4939" spans="1:5" x14ac:dyDescent="0.3">
      <c r="A4939" t="s">
        <v>5151</v>
      </c>
      <c r="B4939">
        <v>1830008426</v>
      </c>
      <c r="C4939" t="s">
        <v>5388</v>
      </c>
      <c r="D4939" t="s">
        <v>5388</v>
      </c>
      <c r="E4939" t="str">
        <f t="shared" si="77"/>
        <v>evrika1830008426</v>
      </c>
    </row>
    <row r="4940" spans="1:5" x14ac:dyDescent="0.3">
      <c r="A4940" t="s">
        <v>5151</v>
      </c>
      <c r="B4940">
        <v>1830008429</v>
      </c>
      <c r="C4940" t="s">
        <v>5387</v>
      </c>
      <c r="D4940" t="s">
        <v>5387</v>
      </c>
      <c r="E4940" t="str">
        <f t="shared" si="77"/>
        <v>evrika1830008429</v>
      </c>
    </row>
    <row r="4941" spans="1:5" x14ac:dyDescent="0.3">
      <c r="A4941" t="s">
        <v>5151</v>
      </c>
      <c r="B4941">
        <v>2211401038</v>
      </c>
      <c r="C4941" t="s">
        <v>32</v>
      </c>
      <c r="D4941" t="s">
        <v>32</v>
      </c>
      <c r="E4941" t="str">
        <f t="shared" si="77"/>
        <v>evrika2211401038</v>
      </c>
    </row>
    <row r="4942" spans="1:5" x14ac:dyDescent="0.3">
      <c r="A4942" t="s">
        <v>5151</v>
      </c>
      <c r="B4942">
        <v>1830007131</v>
      </c>
      <c r="C4942" t="s">
        <v>2227</v>
      </c>
      <c r="D4942" t="s">
        <v>2227</v>
      </c>
      <c r="E4942" t="str">
        <f t="shared" si="77"/>
        <v>evrika1830007131</v>
      </c>
    </row>
    <row r="4943" spans="1:5" x14ac:dyDescent="0.3">
      <c r="A4943" t="s">
        <v>5151</v>
      </c>
      <c r="B4943">
        <v>7211004980</v>
      </c>
      <c r="C4943" t="s">
        <v>5513</v>
      </c>
      <c r="D4943" t="s">
        <v>5513</v>
      </c>
      <c r="E4943" t="str">
        <f t="shared" si="77"/>
        <v>evrika7211004980</v>
      </c>
    </row>
    <row r="4944" spans="1:5" x14ac:dyDescent="0.3">
      <c r="A4944" t="s">
        <v>5151</v>
      </c>
      <c r="B4944">
        <v>7235005031</v>
      </c>
      <c r="C4944" t="s">
        <v>5514</v>
      </c>
      <c r="D4944" t="s">
        <v>5514</v>
      </c>
      <c r="E4944" t="str">
        <f t="shared" si="77"/>
        <v>evrika7235005031</v>
      </c>
    </row>
    <row r="4945" spans="1:5" x14ac:dyDescent="0.3">
      <c r="A4945" t="s">
        <v>4666</v>
      </c>
      <c r="B4945">
        <v>2211400756</v>
      </c>
      <c r="C4945" t="s">
        <v>5515</v>
      </c>
      <c r="D4945" t="s">
        <v>5516</v>
      </c>
      <c r="E4945" t="str">
        <f t="shared" si="77"/>
        <v>technodom2211400756</v>
      </c>
    </row>
    <row r="4946" spans="1:5" x14ac:dyDescent="0.3">
      <c r="A4946" t="s">
        <v>4666</v>
      </c>
      <c r="B4946">
        <v>2211400063</v>
      </c>
      <c r="C4946" t="s">
        <v>594</v>
      </c>
      <c r="D4946" t="s">
        <v>5517</v>
      </c>
      <c r="E4946" t="str">
        <f t="shared" si="77"/>
        <v>technodom2211400063</v>
      </c>
    </row>
    <row r="4947" spans="1:5" x14ac:dyDescent="0.3">
      <c r="A4947" t="s">
        <v>4666</v>
      </c>
      <c r="B4947">
        <v>1830008849</v>
      </c>
      <c r="C4947" t="s">
        <v>5518</v>
      </c>
      <c r="D4947" t="s">
        <v>5519</v>
      </c>
      <c r="E4947" t="str">
        <f t="shared" si="77"/>
        <v>technodom1830008849</v>
      </c>
    </row>
    <row r="4948" spans="1:5" x14ac:dyDescent="0.3">
      <c r="A4948" t="s">
        <v>4666</v>
      </c>
      <c r="B4948">
        <v>1830008775</v>
      </c>
      <c r="C4948" t="s">
        <v>5503</v>
      </c>
      <c r="D4948" t="s">
        <v>5520</v>
      </c>
      <c r="E4948" t="str">
        <f t="shared" si="77"/>
        <v>technodom1830008775</v>
      </c>
    </row>
    <row r="4949" spans="1:5" x14ac:dyDescent="0.3">
      <c r="A4949" t="s">
        <v>4666</v>
      </c>
      <c r="B4949">
        <v>1830008641</v>
      </c>
      <c r="C4949" t="s">
        <v>5440</v>
      </c>
      <c r="D4949" t="s">
        <v>5521</v>
      </c>
      <c r="E4949" t="str">
        <f t="shared" si="77"/>
        <v>technodom1830008641</v>
      </c>
    </row>
    <row r="4950" spans="1:5" x14ac:dyDescent="0.3">
      <c r="A4950" t="s">
        <v>4666</v>
      </c>
      <c r="B4950">
        <v>1830008649</v>
      </c>
      <c r="C4950" t="s">
        <v>5444</v>
      </c>
      <c r="D4950" t="s">
        <v>5522</v>
      </c>
      <c r="E4950" t="str">
        <f t="shared" si="77"/>
        <v>technodom1830008649</v>
      </c>
    </row>
    <row r="4951" spans="1:5" x14ac:dyDescent="0.3">
      <c r="A4951" t="s">
        <v>5427</v>
      </c>
      <c r="B4951">
        <v>1830007217</v>
      </c>
      <c r="C4951" t="s">
        <v>2040</v>
      </c>
      <c r="D4951" t="s">
        <v>5523</v>
      </c>
      <c r="E4951" t="str">
        <f t="shared" si="77"/>
        <v>dns1830007217</v>
      </c>
    </row>
    <row r="4952" spans="1:5" x14ac:dyDescent="0.3">
      <c r="A4952" t="s">
        <v>5427</v>
      </c>
      <c r="B4952">
        <v>7211003840</v>
      </c>
      <c r="C4952" t="s">
        <v>1143</v>
      </c>
      <c r="D4952" t="s">
        <v>5524</v>
      </c>
      <c r="E4952" t="str">
        <f t="shared" si="77"/>
        <v>dns7211003840</v>
      </c>
    </row>
    <row r="4953" spans="1:5" x14ac:dyDescent="0.3">
      <c r="A4953" t="s">
        <v>5427</v>
      </c>
      <c r="B4953">
        <v>1830008444</v>
      </c>
      <c r="C4953" t="s">
        <v>1679</v>
      </c>
      <c r="D4953" t="s">
        <v>5525</v>
      </c>
      <c r="E4953" t="str">
        <f t="shared" si="77"/>
        <v>dns1830008444</v>
      </c>
    </row>
    <row r="4954" spans="1:5" x14ac:dyDescent="0.3">
      <c r="A4954" t="s">
        <v>5427</v>
      </c>
      <c r="B4954">
        <v>1830008492</v>
      </c>
      <c r="C4954" t="s">
        <v>5526</v>
      </c>
      <c r="D4954" t="s">
        <v>5527</v>
      </c>
      <c r="E4954" t="str">
        <f t="shared" si="77"/>
        <v>dns1830008492</v>
      </c>
    </row>
    <row r="4955" spans="1:5" x14ac:dyDescent="0.3">
      <c r="A4955" t="s">
        <v>5427</v>
      </c>
      <c r="B4955">
        <v>1830008492</v>
      </c>
      <c r="C4955" t="s">
        <v>5526</v>
      </c>
      <c r="D4955" t="s">
        <v>5528</v>
      </c>
      <c r="E4955" t="str">
        <f t="shared" si="77"/>
        <v>dns1830008492</v>
      </c>
    </row>
    <row r="4956" spans="1:5" x14ac:dyDescent="0.3">
      <c r="A4956" t="s">
        <v>5427</v>
      </c>
      <c r="B4956">
        <v>1830008584</v>
      </c>
      <c r="C4956" t="s">
        <v>5529</v>
      </c>
      <c r="D4956" t="s">
        <v>5530</v>
      </c>
      <c r="E4956" t="str">
        <f t="shared" si="77"/>
        <v>dns1830008584</v>
      </c>
    </row>
    <row r="4957" spans="1:5" x14ac:dyDescent="0.3">
      <c r="A4957" t="s">
        <v>5427</v>
      </c>
      <c r="B4957">
        <v>1830008507</v>
      </c>
      <c r="C4957" t="s">
        <v>5531</v>
      </c>
      <c r="D4957" t="s">
        <v>5532</v>
      </c>
      <c r="E4957" t="str">
        <f t="shared" si="77"/>
        <v>dns1830008507</v>
      </c>
    </row>
    <row r="4958" spans="1:5" x14ac:dyDescent="0.3">
      <c r="A4958" t="s">
        <v>5427</v>
      </c>
      <c r="B4958">
        <v>1830008437</v>
      </c>
      <c r="C4958" t="s">
        <v>1584</v>
      </c>
      <c r="D4958" t="s">
        <v>5533</v>
      </c>
      <c r="E4958" t="str">
        <f t="shared" si="77"/>
        <v>dns1830008437</v>
      </c>
    </row>
    <row r="4959" spans="1:5" x14ac:dyDescent="0.3">
      <c r="A4959" t="s">
        <v>5427</v>
      </c>
      <c r="B4959">
        <v>1830008503</v>
      </c>
      <c r="C4959" t="s">
        <v>1647</v>
      </c>
      <c r="D4959" t="s">
        <v>5534</v>
      </c>
      <c r="E4959" t="str">
        <f t="shared" si="77"/>
        <v>dns1830008503</v>
      </c>
    </row>
    <row r="4960" spans="1:5" x14ac:dyDescent="0.3">
      <c r="A4960" t="s">
        <v>5427</v>
      </c>
      <c r="B4960">
        <v>1830008463</v>
      </c>
      <c r="C4960" t="s">
        <v>1665</v>
      </c>
      <c r="D4960" t="s">
        <v>5535</v>
      </c>
      <c r="E4960" t="str">
        <f t="shared" si="77"/>
        <v>dns1830008463</v>
      </c>
    </row>
    <row r="4961" spans="1:5" x14ac:dyDescent="0.3">
      <c r="A4961" t="s">
        <v>5229</v>
      </c>
      <c r="B4961">
        <v>9100004194</v>
      </c>
      <c r="C4961" t="s">
        <v>466</v>
      </c>
      <c r="D4961" t="s">
        <v>5132</v>
      </c>
      <c r="E4961" t="str">
        <f t="shared" si="77"/>
        <v>d2c9100004194</v>
      </c>
    </row>
    <row r="4962" spans="1:5" x14ac:dyDescent="0.3">
      <c r="A4962" t="s">
        <v>5229</v>
      </c>
      <c r="B4962">
        <v>9100004193</v>
      </c>
      <c r="C4962" t="s">
        <v>468</v>
      </c>
      <c r="D4962" t="s">
        <v>5131</v>
      </c>
      <c r="E4962" t="str">
        <f t="shared" si="77"/>
        <v>d2c9100004193</v>
      </c>
    </row>
    <row r="4963" spans="1:5" x14ac:dyDescent="0.3">
      <c r="A4963" t="s">
        <v>5229</v>
      </c>
      <c r="B4963">
        <v>1830006775</v>
      </c>
      <c r="C4963" t="s">
        <v>1785</v>
      </c>
      <c r="D4963" t="s">
        <v>4932</v>
      </c>
      <c r="E4963" t="str">
        <f t="shared" si="77"/>
        <v>d2c1830006775</v>
      </c>
    </row>
    <row r="4964" spans="1:5" x14ac:dyDescent="0.3">
      <c r="A4964" t="s">
        <v>5229</v>
      </c>
      <c r="B4964">
        <v>1830007698</v>
      </c>
      <c r="C4964" t="s">
        <v>1172</v>
      </c>
      <c r="D4964" t="s">
        <v>5536</v>
      </c>
      <c r="E4964" t="str">
        <f t="shared" si="77"/>
        <v>d2c1830007698</v>
      </c>
    </row>
    <row r="4965" spans="1:5" x14ac:dyDescent="0.3">
      <c r="A4965" t="s">
        <v>5229</v>
      </c>
      <c r="B4965">
        <v>2100121738</v>
      </c>
      <c r="C4965" t="s">
        <v>616</v>
      </c>
      <c r="D4965" t="s">
        <v>5194</v>
      </c>
      <c r="E4965" t="str">
        <f t="shared" si="77"/>
        <v>d2c2100121738</v>
      </c>
    </row>
    <row r="4966" spans="1:5" x14ac:dyDescent="0.3">
      <c r="A4966" t="s">
        <v>5229</v>
      </c>
      <c r="B4966">
        <v>9100004179</v>
      </c>
      <c r="C4966" t="s">
        <v>472</v>
      </c>
      <c r="D4966" t="s">
        <v>5129</v>
      </c>
      <c r="E4966" t="str">
        <f t="shared" si="77"/>
        <v>d2c9100004179</v>
      </c>
    </row>
    <row r="4967" spans="1:5" x14ac:dyDescent="0.3">
      <c r="A4967" t="s">
        <v>5231</v>
      </c>
      <c r="B4967">
        <v>0</v>
      </c>
      <c r="C4967">
        <v>0</v>
      </c>
      <c r="D4967" t="s">
        <v>1624</v>
      </c>
      <c r="E4967" t="str">
        <f t="shared" si="77"/>
        <v>sulpak0</v>
      </c>
    </row>
    <row r="4968" spans="1:5" x14ac:dyDescent="0.3">
      <c r="A4968" t="s">
        <v>5178</v>
      </c>
      <c r="B4968">
        <v>1830008849</v>
      </c>
      <c r="C4968" t="s">
        <v>5518</v>
      </c>
      <c r="D4968" t="s">
        <v>5502</v>
      </c>
      <c r="E4968" t="str">
        <f t="shared" si="77"/>
        <v>mechta1830008849</v>
      </c>
    </row>
    <row r="4969" spans="1:5" x14ac:dyDescent="0.3">
      <c r="A4969" t="s">
        <v>5427</v>
      </c>
      <c r="B4969">
        <v>1830008583</v>
      </c>
      <c r="C4969" t="s">
        <v>1623</v>
      </c>
      <c r="D4969" t="s">
        <v>5528</v>
      </c>
      <c r="E4969" t="str">
        <f t="shared" si="77"/>
        <v>dns1830008583</v>
      </c>
    </row>
    <row r="4970" spans="1:5" x14ac:dyDescent="0.3">
      <c r="A4970" t="s">
        <v>5229</v>
      </c>
      <c r="B4970">
        <v>7211001107</v>
      </c>
      <c r="C4970" t="s">
        <v>2364</v>
      </c>
      <c r="D4970" t="s">
        <v>5537</v>
      </c>
      <c r="E4970" t="str">
        <f t="shared" si="77"/>
        <v>d2c7211001107</v>
      </c>
    </row>
    <row r="4971" spans="1:5" x14ac:dyDescent="0.3">
      <c r="A4971" t="s">
        <v>5229</v>
      </c>
      <c r="B4971">
        <v>2100093085</v>
      </c>
      <c r="C4971" t="s">
        <v>576</v>
      </c>
      <c r="D4971" t="s">
        <v>5538</v>
      </c>
      <c r="E4971" t="str">
        <f t="shared" si="77"/>
        <v>d2c2100093085</v>
      </c>
    </row>
    <row r="4972" spans="1:5" x14ac:dyDescent="0.3">
      <c r="A4972" t="s">
        <v>5229</v>
      </c>
      <c r="B4972">
        <v>2211400063</v>
      </c>
      <c r="C4972" t="s">
        <v>594</v>
      </c>
      <c r="D4972" t="s">
        <v>5539</v>
      </c>
      <c r="E4972" t="str">
        <f t="shared" si="77"/>
        <v>d2c2211400063</v>
      </c>
    </row>
    <row r="4973" spans="1:5" x14ac:dyDescent="0.3">
      <c r="A4973" t="s">
        <v>5229</v>
      </c>
      <c r="B4973">
        <v>1830007146</v>
      </c>
      <c r="C4973" t="s">
        <v>5</v>
      </c>
      <c r="D4973" t="s">
        <v>5540</v>
      </c>
      <c r="E4973" t="str">
        <f t="shared" si="77"/>
        <v>d2c1830007146</v>
      </c>
    </row>
    <row r="4974" spans="1:5" x14ac:dyDescent="0.3">
      <c r="A4974" t="s">
        <v>5229</v>
      </c>
      <c r="B4974">
        <v>9100042513</v>
      </c>
      <c r="C4974">
        <v>4206122</v>
      </c>
      <c r="D4974" t="s">
        <v>5541</v>
      </c>
      <c r="E4974" t="str">
        <f t="shared" si="77"/>
        <v>d2c9100042513</v>
      </c>
    </row>
    <row r="4975" spans="1:5" x14ac:dyDescent="0.3">
      <c r="A4975" t="s">
        <v>5229</v>
      </c>
      <c r="B4975">
        <v>1830008887</v>
      </c>
      <c r="C4975" t="s">
        <v>5446</v>
      </c>
      <c r="D4975" t="s">
        <v>5542</v>
      </c>
      <c r="E4975" t="str">
        <f t="shared" si="77"/>
        <v>d2c1830008887</v>
      </c>
    </row>
    <row r="4976" spans="1:5" x14ac:dyDescent="0.3">
      <c r="A4976" t="s">
        <v>5543</v>
      </c>
      <c r="B4976">
        <v>2211400887</v>
      </c>
      <c r="C4976" t="s">
        <v>1132</v>
      </c>
      <c r="D4976" t="s">
        <v>1132</v>
      </c>
      <c r="E4976" t="str">
        <f t="shared" si="77"/>
        <v>EVRIKA2211400887</v>
      </c>
    </row>
    <row r="4977" spans="1:5" x14ac:dyDescent="0.3">
      <c r="A4977" t="s">
        <v>5178</v>
      </c>
      <c r="B4977">
        <v>2211401177</v>
      </c>
      <c r="C4977" t="s">
        <v>440</v>
      </c>
      <c r="D4977" t="s">
        <v>5544</v>
      </c>
      <c r="E4977" t="str">
        <f t="shared" si="77"/>
        <v>mechta2211401177</v>
      </c>
    </row>
    <row r="4978" spans="1:5" x14ac:dyDescent="0.3">
      <c r="A4978" t="s">
        <v>5178</v>
      </c>
      <c r="B4978">
        <v>2211400867</v>
      </c>
      <c r="C4978" t="s">
        <v>4383</v>
      </c>
      <c r="D4978" t="s">
        <v>5545</v>
      </c>
      <c r="E4978" t="str">
        <f t="shared" si="77"/>
        <v>mechta2211400867</v>
      </c>
    </row>
    <row r="4979" spans="1:5" x14ac:dyDescent="0.3">
      <c r="A4979" t="s">
        <v>5229</v>
      </c>
      <c r="B4979">
        <v>7211005012</v>
      </c>
      <c r="C4979" t="s">
        <v>1581</v>
      </c>
      <c r="D4979" t="s">
        <v>5546</v>
      </c>
      <c r="E4979" t="str">
        <f t="shared" si="77"/>
        <v>d2c7211005012</v>
      </c>
    </row>
    <row r="4980" spans="1:5" x14ac:dyDescent="0.3">
      <c r="A4980" t="s">
        <v>5229</v>
      </c>
      <c r="B4980">
        <v>2100112782</v>
      </c>
      <c r="C4980" t="s">
        <v>1577</v>
      </c>
      <c r="D4980" t="s">
        <v>5547</v>
      </c>
      <c r="E4980" t="str">
        <f t="shared" si="77"/>
        <v>d2c2100112782</v>
      </c>
    </row>
    <row r="4981" spans="1:5" x14ac:dyDescent="0.3">
      <c r="A4981" t="s">
        <v>5229</v>
      </c>
      <c r="B4981">
        <v>2211400967</v>
      </c>
      <c r="C4981" t="s">
        <v>360</v>
      </c>
      <c r="D4981" t="s">
        <v>5548</v>
      </c>
      <c r="E4981" t="str">
        <f t="shared" si="77"/>
        <v>d2c2211400967</v>
      </c>
    </row>
    <row r="4982" spans="1:5" x14ac:dyDescent="0.3">
      <c r="A4982" t="s">
        <v>447</v>
      </c>
      <c r="B4982">
        <v>1830008852</v>
      </c>
      <c r="C4982" t="s">
        <v>5549</v>
      </c>
      <c r="D4982" t="s">
        <v>5550</v>
      </c>
      <c r="E4982" t="str">
        <f t="shared" si="77"/>
        <v>Mechta1830008852</v>
      </c>
    </row>
    <row r="4983" spans="1:5" x14ac:dyDescent="0.3">
      <c r="A4983" t="s">
        <v>447</v>
      </c>
      <c r="B4983">
        <v>1830008417</v>
      </c>
      <c r="C4983" t="s">
        <v>4860</v>
      </c>
      <c r="D4983" t="s">
        <v>5551</v>
      </c>
      <c r="E4983" t="str">
        <f t="shared" si="77"/>
        <v>Mechta1830008417</v>
      </c>
    </row>
    <row r="4984" spans="1:5" x14ac:dyDescent="0.3">
      <c r="A4984" t="s">
        <v>447</v>
      </c>
      <c r="B4984">
        <v>7211002805</v>
      </c>
      <c r="C4984" t="s">
        <v>714</v>
      </c>
      <c r="D4984" t="s">
        <v>5552</v>
      </c>
      <c r="E4984" t="str">
        <f t="shared" si="77"/>
        <v>Mechta7211002805</v>
      </c>
    </row>
    <row r="4985" spans="1:5" x14ac:dyDescent="0.3">
      <c r="A4985" t="s">
        <v>4017</v>
      </c>
      <c r="B4985">
        <v>2211400752</v>
      </c>
      <c r="C4985" t="s">
        <v>2345</v>
      </c>
      <c r="D4985" t="s">
        <v>5553</v>
      </c>
      <c r="E4985" t="str">
        <f t="shared" si="77"/>
        <v>DNS2211400752</v>
      </c>
    </row>
    <row r="4986" spans="1:5" x14ac:dyDescent="0.3">
      <c r="A4986" t="s">
        <v>4017</v>
      </c>
      <c r="B4986">
        <v>1600005133</v>
      </c>
      <c r="C4986" t="s">
        <v>4501</v>
      </c>
      <c r="D4986" t="s">
        <v>5554</v>
      </c>
      <c r="E4986" t="str">
        <f t="shared" si="77"/>
        <v>DNS1600005133</v>
      </c>
    </row>
    <row r="4987" spans="1:5" x14ac:dyDescent="0.3">
      <c r="A4987" t="s">
        <v>4017</v>
      </c>
      <c r="B4987">
        <v>2211400513</v>
      </c>
      <c r="C4987" t="s">
        <v>3107</v>
      </c>
      <c r="D4987" t="s">
        <v>5555</v>
      </c>
      <c r="E4987" t="str">
        <f t="shared" si="77"/>
        <v>DNS2211400513</v>
      </c>
    </row>
    <row r="4988" spans="1:5" x14ac:dyDescent="0.3">
      <c r="A4988" t="s">
        <v>4017</v>
      </c>
      <c r="B4988">
        <v>2841851000</v>
      </c>
      <c r="C4988" t="s">
        <v>1874</v>
      </c>
      <c r="D4988" t="s">
        <v>5556</v>
      </c>
      <c r="E4988" t="str">
        <f t="shared" si="77"/>
        <v>DNS2841851000</v>
      </c>
    </row>
    <row r="4989" spans="1:5" x14ac:dyDescent="0.3">
      <c r="A4989" t="s">
        <v>4017</v>
      </c>
      <c r="B4989">
        <v>1830006374</v>
      </c>
      <c r="C4989" t="s">
        <v>16</v>
      </c>
      <c r="D4989" t="s">
        <v>5557</v>
      </c>
      <c r="E4989" t="str">
        <f t="shared" si="77"/>
        <v>DNS1830006374</v>
      </c>
    </row>
    <row r="4990" spans="1:5" x14ac:dyDescent="0.3">
      <c r="A4990" t="s">
        <v>4858</v>
      </c>
      <c r="B4990">
        <v>7211001810</v>
      </c>
      <c r="C4990" t="s">
        <v>527</v>
      </c>
      <c r="D4990" t="s">
        <v>5558</v>
      </c>
      <c r="E4990" t="str">
        <f t="shared" si="77"/>
        <v>D2C7211001810</v>
      </c>
    </row>
    <row r="4991" spans="1:5" x14ac:dyDescent="0.3">
      <c r="A4991" t="s">
        <v>4858</v>
      </c>
      <c r="B4991">
        <v>2100122333</v>
      </c>
      <c r="C4991" t="s">
        <v>5559</v>
      </c>
      <c r="D4991" t="s">
        <v>5560</v>
      </c>
      <c r="E4991" t="str">
        <f t="shared" si="77"/>
        <v>D2C2100122333</v>
      </c>
    </row>
    <row r="4992" spans="1:5" x14ac:dyDescent="0.3">
      <c r="A4992" t="s">
        <v>4858</v>
      </c>
      <c r="B4992">
        <v>1830008504</v>
      </c>
      <c r="C4992" t="s">
        <v>1667</v>
      </c>
      <c r="D4992" t="s">
        <v>5561</v>
      </c>
      <c r="E4992" t="str">
        <f t="shared" si="77"/>
        <v>D2C1830008504</v>
      </c>
    </row>
    <row r="4993" spans="1:5" x14ac:dyDescent="0.3">
      <c r="A4993" t="s">
        <v>445</v>
      </c>
      <c r="B4993">
        <v>9100049052</v>
      </c>
      <c r="C4993">
        <v>4220124</v>
      </c>
      <c r="D4993" t="s">
        <v>5562</v>
      </c>
      <c r="E4993" t="str">
        <f t="shared" si="77"/>
        <v>Technodom9100049052</v>
      </c>
    </row>
    <row r="4994" spans="1:5" x14ac:dyDescent="0.3">
      <c r="A4994" t="s">
        <v>445</v>
      </c>
      <c r="B4994">
        <v>9100049053</v>
      </c>
      <c r="C4994">
        <v>4220126</v>
      </c>
      <c r="D4994" t="s">
        <v>5563</v>
      </c>
      <c r="E4994" t="str">
        <f t="shared" si="77"/>
        <v>Technodom9100049053</v>
      </c>
    </row>
    <row r="4995" spans="1:5" x14ac:dyDescent="0.3">
      <c r="A4995" t="s">
        <v>445</v>
      </c>
      <c r="B4995">
        <v>9100049054</v>
      </c>
      <c r="C4995">
        <v>4220128</v>
      </c>
      <c r="D4995" t="s">
        <v>5564</v>
      </c>
      <c r="E4995" t="str">
        <f t="shared" ref="E4995:E5058" si="78">A4995&amp;B4995</f>
        <v>Technodom9100049054</v>
      </c>
    </row>
    <row r="4996" spans="1:5" x14ac:dyDescent="0.3">
      <c r="A4996" t="s">
        <v>445</v>
      </c>
      <c r="B4996">
        <v>9100049056</v>
      </c>
      <c r="C4996">
        <v>4220628</v>
      </c>
      <c r="D4996" t="s">
        <v>5565</v>
      </c>
      <c r="E4996" t="str">
        <f t="shared" si="78"/>
        <v>Technodom9100049056</v>
      </c>
    </row>
    <row r="4997" spans="1:5" x14ac:dyDescent="0.3">
      <c r="A4997" t="s">
        <v>445</v>
      </c>
      <c r="B4997">
        <v>2211401177</v>
      </c>
      <c r="C4997" t="s">
        <v>440</v>
      </c>
      <c r="D4997" t="s">
        <v>5566</v>
      </c>
      <c r="E4997" t="str">
        <f t="shared" si="78"/>
        <v>Technodom2211401177</v>
      </c>
    </row>
    <row r="4998" spans="1:5" x14ac:dyDescent="0.3">
      <c r="A4998" t="s">
        <v>447</v>
      </c>
      <c r="B4998">
        <v>7211002805</v>
      </c>
      <c r="C4998" t="s">
        <v>714</v>
      </c>
      <c r="D4998" t="s">
        <v>5567</v>
      </c>
      <c r="E4998" t="str">
        <f t="shared" si="78"/>
        <v>Mechta7211002805</v>
      </c>
    </row>
    <row r="4999" spans="1:5" x14ac:dyDescent="0.3">
      <c r="A4999" t="s">
        <v>4858</v>
      </c>
      <c r="B4999">
        <v>0</v>
      </c>
      <c r="C4999">
        <v>0</v>
      </c>
      <c r="D4999" t="s">
        <v>5082</v>
      </c>
      <c r="E4999" t="str">
        <f t="shared" si="78"/>
        <v>D2C0</v>
      </c>
    </row>
    <row r="5000" spans="1:5" x14ac:dyDescent="0.3">
      <c r="A5000" t="s">
        <v>4858</v>
      </c>
      <c r="B5000">
        <v>2211401039</v>
      </c>
      <c r="C5000" t="s">
        <v>31</v>
      </c>
      <c r="D5000" t="s">
        <v>5568</v>
      </c>
      <c r="E5000" t="str">
        <f t="shared" si="78"/>
        <v>D2C2211401039</v>
      </c>
    </row>
    <row r="5001" spans="1:5" x14ac:dyDescent="0.3">
      <c r="A5001" t="s">
        <v>4858</v>
      </c>
      <c r="B5001">
        <v>9100045478</v>
      </c>
      <c r="C5001">
        <v>4206924</v>
      </c>
      <c r="D5001" t="s">
        <v>5569</v>
      </c>
      <c r="E5001" t="str">
        <f t="shared" si="78"/>
        <v>D2C9100045478</v>
      </c>
    </row>
    <row r="5002" spans="1:5" x14ac:dyDescent="0.3">
      <c r="A5002" t="s">
        <v>4858</v>
      </c>
      <c r="B5002">
        <v>9100046914</v>
      </c>
      <c r="C5002">
        <v>4209850</v>
      </c>
      <c r="D5002" t="s">
        <v>5570</v>
      </c>
      <c r="E5002" t="str">
        <f t="shared" si="78"/>
        <v>D2C9100046914</v>
      </c>
    </row>
    <row r="5003" spans="1:5" x14ac:dyDescent="0.3">
      <c r="A5003" t="s">
        <v>4858</v>
      </c>
      <c r="B5003">
        <v>1830008526</v>
      </c>
      <c r="C5003" t="s">
        <v>358</v>
      </c>
      <c r="D5003" t="s">
        <v>5571</v>
      </c>
      <c r="E5003" t="str">
        <f t="shared" si="78"/>
        <v>D2C1830008526</v>
      </c>
    </row>
    <row r="5004" spans="1:5" x14ac:dyDescent="0.3">
      <c r="A5004" t="s">
        <v>4858</v>
      </c>
      <c r="B5004">
        <v>1830008642</v>
      </c>
      <c r="C5004" t="s">
        <v>5572</v>
      </c>
      <c r="D5004" t="s">
        <v>5573</v>
      </c>
      <c r="E5004" t="str">
        <f t="shared" si="78"/>
        <v>D2C1830008642</v>
      </c>
    </row>
    <row r="5005" spans="1:5" x14ac:dyDescent="0.3">
      <c r="A5005" t="s">
        <v>5543</v>
      </c>
      <c r="B5005">
        <v>1830008185</v>
      </c>
      <c r="C5005" t="s">
        <v>357</v>
      </c>
      <c r="D5005" t="s">
        <v>357</v>
      </c>
      <c r="E5005" t="str">
        <f t="shared" si="78"/>
        <v>EVRIKA1830008185</v>
      </c>
    </row>
    <row r="5006" spans="1:5" x14ac:dyDescent="0.3">
      <c r="A5006" t="s">
        <v>5543</v>
      </c>
      <c r="B5006">
        <v>1830008551</v>
      </c>
      <c r="C5006" t="s">
        <v>5574</v>
      </c>
      <c r="D5006" t="s">
        <v>5574</v>
      </c>
      <c r="E5006" t="str">
        <f t="shared" si="78"/>
        <v>EVRIKA1830008551</v>
      </c>
    </row>
    <row r="5007" spans="1:5" x14ac:dyDescent="0.3">
      <c r="A5007" t="s">
        <v>5543</v>
      </c>
      <c r="B5007">
        <v>1830008765</v>
      </c>
      <c r="C5007" t="s">
        <v>441</v>
      </c>
      <c r="D5007" t="s">
        <v>441</v>
      </c>
      <c r="E5007" t="str">
        <f t="shared" si="78"/>
        <v>EVRIKA1830008765</v>
      </c>
    </row>
    <row r="5008" spans="1:5" x14ac:dyDescent="0.3">
      <c r="A5008" t="s">
        <v>5543</v>
      </c>
      <c r="B5008">
        <v>1830008237</v>
      </c>
      <c r="C5008" t="s">
        <v>5575</v>
      </c>
      <c r="D5008" t="s">
        <v>5575</v>
      </c>
      <c r="E5008" t="str">
        <f t="shared" si="78"/>
        <v>EVRIKA1830008237</v>
      </c>
    </row>
    <row r="5009" spans="1:5" x14ac:dyDescent="0.3">
      <c r="A5009" t="s">
        <v>5543</v>
      </c>
      <c r="B5009">
        <v>1830008470</v>
      </c>
      <c r="C5009" t="s">
        <v>1637</v>
      </c>
      <c r="D5009" t="s">
        <v>1637</v>
      </c>
      <c r="E5009" t="str">
        <f t="shared" si="78"/>
        <v>EVRIKA1830008470</v>
      </c>
    </row>
    <row r="5010" spans="1:5" x14ac:dyDescent="0.3">
      <c r="A5010" t="s">
        <v>5543</v>
      </c>
      <c r="B5010">
        <v>0</v>
      </c>
      <c r="C5010" t="s">
        <v>5576</v>
      </c>
      <c r="D5010" t="s">
        <v>5576</v>
      </c>
      <c r="E5010" t="str">
        <f t="shared" si="78"/>
        <v>EVRIKA0</v>
      </c>
    </row>
    <row r="5011" spans="1:5" x14ac:dyDescent="0.3">
      <c r="A5011" t="s">
        <v>5543</v>
      </c>
      <c r="B5011">
        <v>7211003150</v>
      </c>
      <c r="C5011" t="s">
        <v>5577</v>
      </c>
      <c r="D5011" t="s">
        <v>5577</v>
      </c>
      <c r="E5011" t="str">
        <f t="shared" si="78"/>
        <v>EVRIKA7211003150</v>
      </c>
    </row>
    <row r="5012" spans="1:5" x14ac:dyDescent="0.3">
      <c r="A5012" t="s">
        <v>5543</v>
      </c>
      <c r="B5012">
        <v>7211002851</v>
      </c>
      <c r="C5012" t="s">
        <v>954</v>
      </c>
      <c r="D5012" t="s">
        <v>954</v>
      </c>
      <c r="E5012" t="str">
        <f t="shared" si="78"/>
        <v>EVRIKA7211002851</v>
      </c>
    </row>
    <row r="5013" spans="1:5" x14ac:dyDescent="0.3">
      <c r="A5013" t="s">
        <v>5543</v>
      </c>
      <c r="B5013">
        <v>7211001086</v>
      </c>
      <c r="C5013" t="s">
        <v>2547</v>
      </c>
      <c r="D5013" t="s">
        <v>2547</v>
      </c>
      <c r="E5013" t="str">
        <f t="shared" si="78"/>
        <v>EVRIKA7211001086</v>
      </c>
    </row>
    <row r="5014" spans="1:5" x14ac:dyDescent="0.3">
      <c r="A5014" t="s">
        <v>5543</v>
      </c>
      <c r="B5014">
        <v>8010000465</v>
      </c>
      <c r="C5014" t="s">
        <v>894</v>
      </c>
      <c r="D5014" t="s">
        <v>894</v>
      </c>
      <c r="E5014" t="str">
        <f t="shared" si="78"/>
        <v>EVRIKA8010000465</v>
      </c>
    </row>
    <row r="5015" spans="1:5" x14ac:dyDescent="0.3">
      <c r="A5015" t="s">
        <v>5543</v>
      </c>
      <c r="B5015">
        <v>1830008587</v>
      </c>
      <c r="C5015" t="s">
        <v>1625</v>
      </c>
      <c r="D5015" t="s">
        <v>1625</v>
      </c>
      <c r="E5015" t="str">
        <f t="shared" si="78"/>
        <v>EVRIKA1830008587</v>
      </c>
    </row>
    <row r="5016" spans="1:5" x14ac:dyDescent="0.3">
      <c r="A5016" t="s">
        <v>5543</v>
      </c>
      <c r="B5016">
        <v>1830008581</v>
      </c>
      <c r="C5016" t="s">
        <v>1627</v>
      </c>
      <c r="D5016" t="s">
        <v>1627</v>
      </c>
      <c r="E5016" t="str">
        <f t="shared" si="78"/>
        <v>EVRIKA1830008581</v>
      </c>
    </row>
    <row r="5017" spans="1:5" x14ac:dyDescent="0.3">
      <c r="A5017" t="s">
        <v>5543</v>
      </c>
      <c r="B5017">
        <v>1830008704</v>
      </c>
      <c r="C5017" t="s">
        <v>5578</v>
      </c>
      <c r="D5017" t="s">
        <v>5578</v>
      </c>
      <c r="E5017" t="str">
        <f t="shared" si="78"/>
        <v>EVRIKA1830008704</v>
      </c>
    </row>
    <row r="5018" spans="1:5" x14ac:dyDescent="0.3">
      <c r="A5018" t="s">
        <v>5543</v>
      </c>
      <c r="B5018">
        <v>1830008703</v>
      </c>
      <c r="C5018" t="s">
        <v>5579</v>
      </c>
      <c r="D5018" t="s">
        <v>5579</v>
      </c>
      <c r="E5018" t="str">
        <f t="shared" si="78"/>
        <v>EVRIKA1830008703</v>
      </c>
    </row>
    <row r="5019" spans="1:5" x14ac:dyDescent="0.3">
      <c r="A5019" t="s">
        <v>5543</v>
      </c>
      <c r="B5019">
        <v>1830008747</v>
      </c>
      <c r="C5019" t="s">
        <v>5580</v>
      </c>
      <c r="D5019" t="s">
        <v>5580</v>
      </c>
      <c r="E5019" t="str">
        <f t="shared" si="78"/>
        <v>EVRIKA1830008747</v>
      </c>
    </row>
    <row r="5020" spans="1:5" x14ac:dyDescent="0.3">
      <c r="A5020" t="s">
        <v>5543</v>
      </c>
      <c r="B5020">
        <v>1500578228</v>
      </c>
      <c r="C5020" t="s">
        <v>519</v>
      </c>
      <c r="D5020" t="s">
        <v>519</v>
      </c>
      <c r="E5020" t="str">
        <f t="shared" si="78"/>
        <v>EVRIKA1500578228</v>
      </c>
    </row>
    <row r="5021" spans="1:5" x14ac:dyDescent="0.3">
      <c r="A5021" t="s">
        <v>5543</v>
      </c>
      <c r="B5021">
        <v>2211401177</v>
      </c>
      <c r="C5021" t="s">
        <v>440</v>
      </c>
      <c r="D5021" t="s">
        <v>440</v>
      </c>
      <c r="E5021" t="str">
        <f t="shared" si="78"/>
        <v>EVRIKA2211401177</v>
      </c>
    </row>
    <row r="5022" spans="1:5" x14ac:dyDescent="0.3">
      <c r="A5022" t="s">
        <v>4666</v>
      </c>
      <c r="B5022">
        <v>1830008851</v>
      </c>
      <c r="C5022" t="s">
        <v>5581</v>
      </c>
      <c r="D5022" t="s">
        <v>5582</v>
      </c>
      <c r="E5022" t="str">
        <f t="shared" si="78"/>
        <v>technodom1830008851</v>
      </c>
    </row>
    <row r="5023" spans="1:5" x14ac:dyDescent="0.3">
      <c r="A5023" t="s">
        <v>4666</v>
      </c>
      <c r="B5023">
        <v>1830008852</v>
      </c>
      <c r="C5023" t="s">
        <v>5549</v>
      </c>
      <c r="D5023" t="s">
        <v>5583</v>
      </c>
      <c r="E5023" t="str">
        <f t="shared" si="78"/>
        <v>technodom1830008852</v>
      </c>
    </row>
    <row r="5024" spans="1:5" x14ac:dyDescent="0.3">
      <c r="A5024" t="s">
        <v>4666</v>
      </c>
      <c r="B5024">
        <v>1830008417</v>
      </c>
      <c r="C5024" t="s">
        <v>4860</v>
      </c>
      <c r="D5024" t="s">
        <v>5584</v>
      </c>
      <c r="E5024" t="str">
        <f t="shared" si="78"/>
        <v>technodom1830008417</v>
      </c>
    </row>
    <row r="5025" spans="1:5" x14ac:dyDescent="0.3">
      <c r="A5025" t="s">
        <v>4666</v>
      </c>
      <c r="B5025">
        <v>9100049055</v>
      </c>
      <c r="C5025">
        <v>4220525</v>
      </c>
      <c r="D5025" t="s">
        <v>5585</v>
      </c>
      <c r="E5025" t="str">
        <f t="shared" si="78"/>
        <v>technodom9100049055</v>
      </c>
    </row>
    <row r="5026" spans="1:5" x14ac:dyDescent="0.3">
      <c r="A5026" t="s">
        <v>4666</v>
      </c>
      <c r="B5026">
        <v>1830007101</v>
      </c>
      <c r="C5026" t="s">
        <v>5586</v>
      </c>
      <c r="D5026" t="s">
        <v>5587</v>
      </c>
      <c r="E5026" t="str">
        <f t="shared" si="78"/>
        <v>technodom1830007101</v>
      </c>
    </row>
    <row r="5027" spans="1:5" x14ac:dyDescent="0.3">
      <c r="A5027" t="s">
        <v>5229</v>
      </c>
      <c r="B5027">
        <v>2211401061</v>
      </c>
      <c r="C5027" t="s">
        <v>1598</v>
      </c>
      <c r="D5027" t="s">
        <v>1598</v>
      </c>
      <c r="E5027" t="str">
        <f t="shared" si="78"/>
        <v>d2c2211401061</v>
      </c>
    </row>
    <row r="5028" spans="1:5" x14ac:dyDescent="0.3">
      <c r="A5028" t="s">
        <v>5229</v>
      </c>
      <c r="B5028">
        <v>9100046102</v>
      </c>
      <c r="C5028">
        <v>4211928</v>
      </c>
      <c r="D5028">
        <v>4211928</v>
      </c>
      <c r="E5028" t="str">
        <f t="shared" si="78"/>
        <v>d2c9100046102</v>
      </c>
    </row>
    <row r="5029" spans="1:5" x14ac:dyDescent="0.3">
      <c r="A5029" t="s">
        <v>5229</v>
      </c>
      <c r="B5029">
        <v>2100121263</v>
      </c>
      <c r="C5029" t="s">
        <v>3419</v>
      </c>
      <c r="D5029" t="s">
        <v>3419</v>
      </c>
      <c r="E5029" t="str">
        <f t="shared" si="78"/>
        <v>d2c2100121263</v>
      </c>
    </row>
    <row r="5030" spans="1:5" x14ac:dyDescent="0.3">
      <c r="A5030" t="s">
        <v>5229</v>
      </c>
      <c r="B5030">
        <v>9100046094</v>
      </c>
      <c r="C5030">
        <v>4211124</v>
      </c>
      <c r="D5030">
        <v>4211124</v>
      </c>
      <c r="E5030" t="str">
        <f t="shared" si="78"/>
        <v>d2c9100046094</v>
      </c>
    </row>
    <row r="5031" spans="1:5" x14ac:dyDescent="0.3">
      <c r="A5031" t="s">
        <v>5229</v>
      </c>
      <c r="B5031">
        <v>7211002851</v>
      </c>
      <c r="C5031" t="s">
        <v>954</v>
      </c>
      <c r="D5031" t="s">
        <v>954</v>
      </c>
      <c r="E5031" t="str">
        <f t="shared" si="78"/>
        <v>d2c7211002851</v>
      </c>
    </row>
    <row r="5032" spans="1:5" x14ac:dyDescent="0.3">
      <c r="A5032" t="s">
        <v>5229</v>
      </c>
      <c r="B5032">
        <v>7211002271</v>
      </c>
      <c r="C5032" t="s">
        <v>556</v>
      </c>
      <c r="D5032" t="s">
        <v>556</v>
      </c>
      <c r="E5032" t="str">
        <f t="shared" si="78"/>
        <v>d2c7211002271</v>
      </c>
    </row>
    <row r="5033" spans="1:5" x14ac:dyDescent="0.3">
      <c r="A5033" t="s">
        <v>5229</v>
      </c>
      <c r="B5033">
        <v>1830008581</v>
      </c>
      <c r="C5033" t="s">
        <v>1627</v>
      </c>
      <c r="D5033" t="s">
        <v>1627</v>
      </c>
      <c r="E5033" t="str">
        <f t="shared" si="78"/>
        <v>d2c1830008581</v>
      </c>
    </row>
    <row r="5034" spans="1:5" x14ac:dyDescent="0.3">
      <c r="A5034" t="s">
        <v>5229</v>
      </c>
      <c r="B5034">
        <v>1830008227</v>
      </c>
      <c r="C5034" t="s">
        <v>10</v>
      </c>
      <c r="D5034" t="s">
        <v>10</v>
      </c>
      <c r="E5034" t="str">
        <f t="shared" si="78"/>
        <v>d2c1830008227</v>
      </c>
    </row>
    <row r="5035" spans="1:5" x14ac:dyDescent="0.3">
      <c r="A5035" t="s">
        <v>5229</v>
      </c>
      <c r="B5035">
        <v>1830007760</v>
      </c>
      <c r="C5035" t="s">
        <v>17</v>
      </c>
      <c r="D5035" t="s">
        <v>17</v>
      </c>
      <c r="E5035" t="str">
        <f t="shared" si="78"/>
        <v>d2c1830007760</v>
      </c>
    </row>
    <row r="5036" spans="1:5" x14ac:dyDescent="0.3">
      <c r="A5036" t="s">
        <v>5229</v>
      </c>
      <c r="B5036">
        <v>1830008239</v>
      </c>
      <c r="C5036" t="s">
        <v>408</v>
      </c>
      <c r="D5036" t="s">
        <v>408</v>
      </c>
      <c r="E5036" t="str">
        <f t="shared" si="78"/>
        <v>d2c1830008239</v>
      </c>
    </row>
    <row r="5037" spans="1:5" x14ac:dyDescent="0.3">
      <c r="A5037" t="s">
        <v>5229</v>
      </c>
      <c r="B5037">
        <v>1830007520</v>
      </c>
      <c r="C5037" t="s">
        <v>7</v>
      </c>
      <c r="D5037" t="s">
        <v>7</v>
      </c>
      <c r="E5037" t="str">
        <f t="shared" si="78"/>
        <v>d2c1830007520</v>
      </c>
    </row>
    <row r="5038" spans="1:5" x14ac:dyDescent="0.3">
      <c r="A5038" t="s">
        <v>5229</v>
      </c>
      <c r="B5038">
        <v>2100121732</v>
      </c>
      <c r="C5038" t="s">
        <v>434</v>
      </c>
      <c r="D5038" t="s">
        <v>652</v>
      </c>
      <c r="E5038" t="str">
        <f t="shared" si="78"/>
        <v>d2c2100121732</v>
      </c>
    </row>
    <row r="5039" spans="1:5" x14ac:dyDescent="0.3">
      <c r="A5039" t="s">
        <v>5229</v>
      </c>
      <c r="B5039">
        <v>1830008512</v>
      </c>
      <c r="C5039" t="s">
        <v>113</v>
      </c>
      <c r="D5039" t="s">
        <v>113</v>
      </c>
      <c r="E5039" t="str">
        <f t="shared" si="78"/>
        <v>d2c1830008512</v>
      </c>
    </row>
    <row r="5040" spans="1:5" x14ac:dyDescent="0.3">
      <c r="A5040" t="s">
        <v>5229</v>
      </c>
      <c r="B5040">
        <v>7211004729</v>
      </c>
      <c r="C5040" t="s">
        <v>430</v>
      </c>
      <c r="D5040" t="s">
        <v>430</v>
      </c>
      <c r="E5040" t="str">
        <f t="shared" si="78"/>
        <v>d2c7211004729</v>
      </c>
    </row>
    <row r="5041" spans="1:5" x14ac:dyDescent="0.3">
      <c r="A5041" t="s">
        <v>5229</v>
      </c>
      <c r="B5041">
        <v>2211401143</v>
      </c>
      <c r="C5041" t="s">
        <v>389</v>
      </c>
      <c r="D5041" t="s">
        <v>389</v>
      </c>
      <c r="E5041" t="str">
        <f t="shared" si="78"/>
        <v>d2c2211401143</v>
      </c>
    </row>
    <row r="5042" spans="1:5" x14ac:dyDescent="0.3">
      <c r="A5042" t="s">
        <v>5229</v>
      </c>
      <c r="B5042">
        <v>9100042518</v>
      </c>
      <c r="C5042">
        <v>4206628</v>
      </c>
      <c r="D5042">
        <v>4206628</v>
      </c>
      <c r="E5042" t="str">
        <f t="shared" si="78"/>
        <v>d2c9100042518</v>
      </c>
    </row>
    <row r="5043" spans="1:5" x14ac:dyDescent="0.3">
      <c r="A5043" t="s">
        <v>5229</v>
      </c>
      <c r="B5043">
        <v>2100117987</v>
      </c>
      <c r="C5043" t="s">
        <v>1287</v>
      </c>
      <c r="D5043" t="s">
        <v>1287</v>
      </c>
      <c r="E5043" t="str">
        <f t="shared" si="78"/>
        <v>d2c2100117987</v>
      </c>
    </row>
    <row r="5044" spans="1:5" x14ac:dyDescent="0.3">
      <c r="A5044" t="s">
        <v>5229</v>
      </c>
      <c r="B5044">
        <v>7211002491</v>
      </c>
      <c r="C5044" t="s">
        <v>600</v>
      </c>
      <c r="D5044" t="s">
        <v>600</v>
      </c>
      <c r="E5044" t="str">
        <f t="shared" si="78"/>
        <v>d2c7211002491</v>
      </c>
    </row>
    <row r="5045" spans="1:5" x14ac:dyDescent="0.3">
      <c r="A5045" t="s">
        <v>5229</v>
      </c>
      <c r="B5045">
        <v>8010000031</v>
      </c>
      <c r="C5045" t="s">
        <v>1686</v>
      </c>
      <c r="D5045" t="s">
        <v>1686</v>
      </c>
      <c r="E5045" t="str">
        <f t="shared" si="78"/>
        <v>d2c8010000031</v>
      </c>
    </row>
    <row r="5046" spans="1:5" x14ac:dyDescent="0.3">
      <c r="A5046" t="s">
        <v>5229</v>
      </c>
      <c r="B5046">
        <v>8010000152</v>
      </c>
      <c r="C5046" t="s">
        <v>1260</v>
      </c>
      <c r="D5046" t="s">
        <v>1260</v>
      </c>
      <c r="E5046" t="str">
        <f t="shared" si="78"/>
        <v>d2c8010000152</v>
      </c>
    </row>
    <row r="5047" spans="1:5" x14ac:dyDescent="0.3">
      <c r="A5047" t="s">
        <v>5229</v>
      </c>
      <c r="B5047">
        <v>1830008261</v>
      </c>
      <c r="C5047" t="s">
        <v>101</v>
      </c>
      <c r="D5047" t="s">
        <v>101</v>
      </c>
      <c r="E5047" t="str">
        <f t="shared" si="78"/>
        <v>d2c1830008261</v>
      </c>
    </row>
    <row r="5048" spans="1:5" x14ac:dyDescent="0.3">
      <c r="A5048" t="s">
        <v>5229</v>
      </c>
      <c r="B5048">
        <v>2100121738</v>
      </c>
      <c r="C5048" t="s">
        <v>435</v>
      </c>
      <c r="D5048" t="s">
        <v>616</v>
      </c>
      <c r="E5048" t="str">
        <f t="shared" si="78"/>
        <v>d2c2100121738</v>
      </c>
    </row>
    <row r="5049" spans="1:5" x14ac:dyDescent="0.3">
      <c r="A5049" t="s">
        <v>5229</v>
      </c>
      <c r="B5049">
        <v>1830008642</v>
      </c>
      <c r="C5049" t="s">
        <v>5572</v>
      </c>
      <c r="D5049" t="s">
        <v>5572</v>
      </c>
      <c r="E5049" t="str">
        <f t="shared" si="78"/>
        <v>d2c1830008642</v>
      </c>
    </row>
    <row r="5050" spans="1:5" x14ac:dyDescent="0.3">
      <c r="A5050" t="s">
        <v>5229</v>
      </c>
      <c r="B5050">
        <v>2100121731</v>
      </c>
      <c r="C5050" t="s">
        <v>3365</v>
      </c>
      <c r="D5050" t="s">
        <v>646</v>
      </c>
      <c r="E5050" t="str">
        <f t="shared" si="78"/>
        <v>d2c2100121731</v>
      </c>
    </row>
    <row r="5051" spans="1:5" x14ac:dyDescent="0.3">
      <c r="A5051" t="s">
        <v>5229</v>
      </c>
      <c r="B5051">
        <v>2211401039</v>
      </c>
      <c r="C5051" t="s">
        <v>31</v>
      </c>
      <c r="D5051" t="s">
        <v>31</v>
      </c>
      <c r="E5051" t="str">
        <f t="shared" si="78"/>
        <v>d2c2211401039</v>
      </c>
    </row>
    <row r="5052" spans="1:5" x14ac:dyDescent="0.3">
      <c r="A5052" t="s">
        <v>5229</v>
      </c>
      <c r="B5052">
        <v>7211002511</v>
      </c>
      <c r="C5052" t="s">
        <v>3167</v>
      </c>
      <c r="D5052" t="s">
        <v>3167</v>
      </c>
      <c r="E5052" t="str">
        <f t="shared" si="78"/>
        <v>d2c7211002511</v>
      </c>
    </row>
    <row r="5053" spans="1:5" x14ac:dyDescent="0.3">
      <c r="A5053" t="s">
        <v>5229</v>
      </c>
      <c r="B5053">
        <v>2100118286</v>
      </c>
      <c r="C5053" t="s">
        <v>90</v>
      </c>
      <c r="D5053" t="s">
        <v>90</v>
      </c>
      <c r="E5053" t="str">
        <f t="shared" si="78"/>
        <v>d2c2100118286</v>
      </c>
    </row>
    <row r="5054" spans="1:5" x14ac:dyDescent="0.3">
      <c r="A5054" t="s">
        <v>5229</v>
      </c>
      <c r="B5054">
        <v>9100042513</v>
      </c>
      <c r="C5054">
        <v>4206122</v>
      </c>
      <c r="D5054">
        <v>4206122</v>
      </c>
      <c r="E5054" t="str">
        <f t="shared" si="78"/>
        <v>d2c9100042513</v>
      </c>
    </row>
    <row r="5055" spans="1:5" x14ac:dyDescent="0.3">
      <c r="A5055" t="s">
        <v>5229</v>
      </c>
      <c r="B5055">
        <v>2100118288</v>
      </c>
      <c r="C5055" t="s">
        <v>87</v>
      </c>
      <c r="D5055" t="s">
        <v>87</v>
      </c>
      <c r="E5055" t="str">
        <f t="shared" si="78"/>
        <v>d2c2100118288</v>
      </c>
    </row>
    <row r="5056" spans="1:5" x14ac:dyDescent="0.3">
      <c r="A5056" t="s">
        <v>5229</v>
      </c>
      <c r="B5056">
        <v>2100118290</v>
      </c>
      <c r="C5056" t="s">
        <v>89</v>
      </c>
      <c r="D5056" t="s">
        <v>89</v>
      </c>
      <c r="E5056" t="str">
        <f t="shared" si="78"/>
        <v>d2c2100118290</v>
      </c>
    </row>
    <row r="5057" spans="1:5" x14ac:dyDescent="0.3">
      <c r="A5057" t="s">
        <v>5229</v>
      </c>
      <c r="B5057">
        <v>2100060368</v>
      </c>
      <c r="C5057" t="s">
        <v>1798</v>
      </c>
      <c r="D5057" t="s">
        <v>1798</v>
      </c>
      <c r="E5057" t="str">
        <f t="shared" si="78"/>
        <v>d2c2100060368</v>
      </c>
    </row>
    <row r="5058" spans="1:5" x14ac:dyDescent="0.3">
      <c r="A5058" t="s">
        <v>5229</v>
      </c>
      <c r="B5058">
        <v>1830008506</v>
      </c>
      <c r="C5058" t="s">
        <v>1639</v>
      </c>
      <c r="D5058" t="s">
        <v>1639</v>
      </c>
      <c r="E5058" t="str">
        <f t="shared" si="78"/>
        <v>d2c1830008506</v>
      </c>
    </row>
    <row r="5059" spans="1:5" x14ac:dyDescent="0.3">
      <c r="A5059" t="s">
        <v>5229</v>
      </c>
      <c r="B5059">
        <v>7211001078</v>
      </c>
      <c r="C5059" t="s">
        <v>566</v>
      </c>
      <c r="D5059" t="s">
        <v>566</v>
      </c>
      <c r="E5059" t="str">
        <f t="shared" ref="E5059:E5122" si="79">A5059&amp;B5059</f>
        <v>d2c7211001078</v>
      </c>
    </row>
    <row r="5060" spans="1:5" x14ac:dyDescent="0.3">
      <c r="A5060" t="s">
        <v>5229</v>
      </c>
      <c r="B5060">
        <v>7211002374</v>
      </c>
      <c r="C5060" t="s">
        <v>813</v>
      </c>
      <c r="D5060" t="s">
        <v>813</v>
      </c>
      <c r="E5060" t="str">
        <f t="shared" si="79"/>
        <v>d2c7211002374</v>
      </c>
    </row>
    <row r="5061" spans="1:5" x14ac:dyDescent="0.3">
      <c r="A5061" t="s">
        <v>5229</v>
      </c>
      <c r="B5061">
        <v>1510001153</v>
      </c>
      <c r="C5061" t="s">
        <v>68</v>
      </c>
      <c r="D5061" t="s">
        <v>68</v>
      </c>
      <c r="E5061" t="str">
        <f t="shared" si="79"/>
        <v>d2c1510001153</v>
      </c>
    </row>
    <row r="5062" spans="1:5" x14ac:dyDescent="0.3">
      <c r="A5062" t="s">
        <v>5229</v>
      </c>
      <c r="B5062">
        <v>1510001319</v>
      </c>
      <c r="C5062" t="s">
        <v>69</v>
      </c>
      <c r="D5062" t="s">
        <v>69</v>
      </c>
      <c r="E5062" t="str">
        <f t="shared" si="79"/>
        <v>d2c1510001319</v>
      </c>
    </row>
    <row r="5063" spans="1:5" x14ac:dyDescent="0.3">
      <c r="A5063" t="s">
        <v>5229</v>
      </c>
      <c r="B5063">
        <v>1510001948</v>
      </c>
      <c r="C5063" t="s">
        <v>857</v>
      </c>
      <c r="D5063" t="s">
        <v>857</v>
      </c>
      <c r="E5063" t="str">
        <f t="shared" si="79"/>
        <v>d2c1510001948</v>
      </c>
    </row>
    <row r="5064" spans="1:5" x14ac:dyDescent="0.3">
      <c r="A5064" t="s">
        <v>5229</v>
      </c>
      <c r="B5064">
        <v>7211003316</v>
      </c>
      <c r="C5064" t="s">
        <v>60</v>
      </c>
      <c r="D5064" t="s">
        <v>60</v>
      </c>
      <c r="E5064" t="str">
        <f t="shared" si="79"/>
        <v>d2c7211003316</v>
      </c>
    </row>
    <row r="5065" spans="1:5" x14ac:dyDescent="0.3">
      <c r="A5065" t="s">
        <v>5229</v>
      </c>
      <c r="B5065">
        <v>7211003938</v>
      </c>
      <c r="C5065" t="s">
        <v>73</v>
      </c>
      <c r="D5065" t="s">
        <v>73</v>
      </c>
      <c r="E5065" t="str">
        <f t="shared" si="79"/>
        <v>d2c7211003938</v>
      </c>
    </row>
    <row r="5066" spans="1:5" x14ac:dyDescent="0.3">
      <c r="A5066" t="s">
        <v>5229</v>
      </c>
      <c r="B5066">
        <v>7211003245</v>
      </c>
      <c r="C5066" t="s">
        <v>72</v>
      </c>
      <c r="D5066" t="s">
        <v>72</v>
      </c>
      <c r="E5066" t="str">
        <f t="shared" si="79"/>
        <v>d2c7211003245</v>
      </c>
    </row>
    <row r="5067" spans="1:5" x14ac:dyDescent="0.3">
      <c r="A5067" t="s">
        <v>5229</v>
      </c>
      <c r="B5067">
        <v>1830008214</v>
      </c>
      <c r="C5067" t="s">
        <v>1557</v>
      </c>
      <c r="D5067" t="s">
        <v>1557</v>
      </c>
      <c r="E5067" t="str">
        <f t="shared" si="79"/>
        <v>d2c1830008214</v>
      </c>
    </row>
    <row r="5068" spans="1:5" x14ac:dyDescent="0.3">
      <c r="A5068" t="s">
        <v>5229</v>
      </c>
      <c r="B5068">
        <v>1830007919</v>
      </c>
      <c r="C5068" t="s">
        <v>422</v>
      </c>
      <c r="D5068" t="s">
        <v>422</v>
      </c>
      <c r="E5068" t="str">
        <f t="shared" si="79"/>
        <v>d2c1830007919</v>
      </c>
    </row>
    <row r="5069" spans="1:5" x14ac:dyDescent="0.3">
      <c r="A5069" t="s">
        <v>5229</v>
      </c>
      <c r="B5069">
        <v>1830007933</v>
      </c>
      <c r="C5069" t="s">
        <v>98</v>
      </c>
      <c r="D5069" t="s">
        <v>98</v>
      </c>
      <c r="E5069" t="str">
        <f t="shared" si="79"/>
        <v>d2c1830007933</v>
      </c>
    </row>
    <row r="5070" spans="1:5" x14ac:dyDescent="0.3">
      <c r="A5070" t="s">
        <v>5229</v>
      </c>
      <c r="B5070">
        <v>1830008760</v>
      </c>
      <c r="C5070" t="s">
        <v>5399</v>
      </c>
      <c r="D5070" t="s">
        <v>5399</v>
      </c>
      <c r="E5070" t="str">
        <f t="shared" si="79"/>
        <v>d2c1830008760</v>
      </c>
    </row>
    <row r="5071" spans="1:5" x14ac:dyDescent="0.3">
      <c r="A5071" t="s">
        <v>5229</v>
      </c>
      <c r="B5071">
        <v>1830008260</v>
      </c>
      <c r="C5071" t="s">
        <v>102</v>
      </c>
      <c r="D5071" t="s">
        <v>102</v>
      </c>
      <c r="E5071" t="str">
        <f t="shared" si="79"/>
        <v>d2c1830008260</v>
      </c>
    </row>
    <row r="5072" spans="1:5" x14ac:dyDescent="0.3">
      <c r="A5072" t="s">
        <v>5229</v>
      </c>
      <c r="B5072">
        <v>9100004192</v>
      </c>
      <c r="C5072">
        <v>4090124</v>
      </c>
      <c r="D5072">
        <v>4090124</v>
      </c>
      <c r="E5072" t="str">
        <f t="shared" si="79"/>
        <v>d2c9100004192</v>
      </c>
    </row>
    <row r="5073" spans="1:5" x14ac:dyDescent="0.3">
      <c r="A5073" t="s">
        <v>5229</v>
      </c>
      <c r="B5073">
        <v>9100004194</v>
      </c>
      <c r="C5073">
        <v>4090128</v>
      </c>
      <c r="D5073">
        <v>4090128</v>
      </c>
      <c r="E5073" t="str">
        <f t="shared" si="79"/>
        <v>d2c9100004194</v>
      </c>
    </row>
    <row r="5074" spans="1:5" x14ac:dyDescent="0.3">
      <c r="A5074" t="s">
        <v>5229</v>
      </c>
      <c r="B5074">
        <v>1110030532</v>
      </c>
      <c r="C5074" t="s">
        <v>1617</v>
      </c>
      <c r="D5074" t="s">
        <v>1617</v>
      </c>
      <c r="E5074" t="str">
        <f t="shared" si="79"/>
        <v>d2c1110030532</v>
      </c>
    </row>
    <row r="5075" spans="1:5" x14ac:dyDescent="0.3">
      <c r="A5075" t="s">
        <v>5229</v>
      </c>
      <c r="B5075">
        <v>2100087320</v>
      </c>
      <c r="C5075" t="s">
        <v>1299</v>
      </c>
      <c r="D5075" t="s">
        <v>1299</v>
      </c>
      <c r="E5075" t="str">
        <f t="shared" si="79"/>
        <v>d2c2100087320</v>
      </c>
    </row>
    <row r="5076" spans="1:5" x14ac:dyDescent="0.3">
      <c r="A5076" t="s">
        <v>5229</v>
      </c>
      <c r="B5076">
        <v>7211005011</v>
      </c>
      <c r="C5076" t="s">
        <v>1118</v>
      </c>
      <c r="D5076" t="s">
        <v>1118</v>
      </c>
      <c r="E5076" t="str">
        <f t="shared" si="79"/>
        <v>d2c7211005011</v>
      </c>
    </row>
    <row r="5077" spans="1:5" x14ac:dyDescent="0.3">
      <c r="A5077" t="s">
        <v>5229</v>
      </c>
      <c r="B5077">
        <v>1500635821</v>
      </c>
      <c r="C5077" t="s">
        <v>1373</v>
      </c>
      <c r="D5077" t="s">
        <v>1373</v>
      </c>
      <c r="E5077" t="str">
        <f t="shared" si="79"/>
        <v>d2c1500635821</v>
      </c>
    </row>
    <row r="5078" spans="1:5" x14ac:dyDescent="0.3">
      <c r="A5078" t="s">
        <v>5229</v>
      </c>
      <c r="B5078">
        <v>1830007679</v>
      </c>
      <c r="C5078" t="s">
        <v>1246</v>
      </c>
      <c r="D5078" t="s">
        <v>1246</v>
      </c>
      <c r="E5078" t="str">
        <f t="shared" si="79"/>
        <v>d2c1830007679</v>
      </c>
    </row>
    <row r="5079" spans="1:5" x14ac:dyDescent="0.3">
      <c r="A5079" t="s">
        <v>5229</v>
      </c>
      <c r="B5079">
        <v>1830006775</v>
      </c>
      <c r="C5079" t="s">
        <v>2701</v>
      </c>
      <c r="D5079" t="s">
        <v>1785</v>
      </c>
      <c r="E5079" t="str">
        <f t="shared" si="79"/>
        <v>d2c1830006775</v>
      </c>
    </row>
    <row r="5080" spans="1:5" x14ac:dyDescent="0.3">
      <c r="A5080" t="s">
        <v>5229</v>
      </c>
      <c r="B5080">
        <v>1830007584</v>
      </c>
      <c r="C5080" t="s">
        <v>1029</v>
      </c>
      <c r="D5080" t="s">
        <v>1029</v>
      </c>
      <c r="E5080" t="str">
        <f t="shared" si="79"/>
        <v>d2c1830007584</v>
      </c>
    </row>
    <row r="5081" spans="1:5" x14ac:dyDescent="0.3">
      <c r="A5081" t="s">
        <v>5229</v>
      </c>
      <c r="B5081">
        <v>2100110589</v>
      </c>
      <c r="C5081" t="s">
        <v>1488</v>
      </c>
      <c r="D5081" t="s">
        <v>1488</v>
      </c>
      <c r="E5081" t="str">
        <f t="shared" si="79"/>
        <v>d2c2100110589</v>
      </c>
    </row>
    <row r="5082" spans="1:5" x14ac:dyDescent="0.3">
      <c r="A5082" t="s">
        <v>5229</v>
      </c>
      <c r="B5082">
        <v>1830008849</v>
      </c>
      <c r="C5082" t="s">
        <v>5518</v>
      </c>
      <c r="D5082" t="s">
        <v>5518</v>
      </c>
      <c r="E5082" t="str">
        <f t="shared" si="79"/>
        <v>d2c1830008849</v>
      </c>
    </row>
    <row r="5083" spans="1:5" x14ac:dyDescent="0.3">
      <c r="A5083" t="s">
        <v>5229</v>
      </c>
      <c r="B5083">
        <v>2211401128</v>
      </c>
      <c r="C5083" t="s">
        <v>372</v>
      </c>
      <c r="D5083" t="s">
        <v>372</v>
      </c>
      <c r="E5083" t="str">
        <f t="shared" si="79"/>
        <v>d2c2211401128</v>
      </c>
    </row>
    <row r="5084" spans="1:5" x14ac:dyDescent="0.3">
      <c r="A5084" t="s">
        <v>5229</v>
      </c>
      <c r="B5084">
        <v>2211400962</v>
      </c>
      <c r="C5084" t="s">
        <v>1425</v>
      </c>
      <c r="D5084" t="s">
        <v>1425</v>
      </c>
      <c r="E5084" t="str">
        <f t="shared" si="79"/>
        <v>d2c2211400962</v>
      </c>
    </row>
    <row r="5085" spans="1:5" x14ac:dyDescent="0.3">
      <c r="A5085" t="s">
        <v>5229</v>
      </c>
      <c r="B5085">
        <v>2211401092</v>
      </c>
      <c r="C5085" t="s">
        <v>393</v>
      </c>
      <c r="D5085" t="s">
        <v>393</v>
      </c>
      <c r="E5085" t="str">
        <f t="shared" si="79"/>
        <v>d2c2211401092</v>
      </c>
    </row>
    <row r="5086" spans="1:5" x14ac:dyDescent="0.3">
      <c r="A5086" t="s">
        <v>5229</v>
      </c>
      <c r="B5086">
        <v>1830008504</v>
      </c>
      <c r="C5086" t="s">
        <v>1667</v>
      </c>
      <c r="D5086" t="s">
        <v>1667</v>
      </c>
      <c r="E5086" t="str">
        <f t="shared" si="79"/>
        <v>d2c1830008504</v>
      </c>
    </row>
    <row r="5087" spans="1:5" x14ac:dyDescent="0.3">
      <c r="A5087" t="s">
        <v>5229</v>
      </c>
      <c r="B5087">
        <v>2100121266</v>
      </c>
      <c r="C5087" t="s">
        <v>3374</v>
      </c>
      <c r="D5087" t="s">
        <v>3374</v>
      </c>
      <c r="E5087" t="str">
        <f t="shared" si="79"/>
        <v>d2c2100121266</v>
      </c>
    </row>
    <row r="5088" spans="1:5" x14ac:dyDescent="0.3">
      <c r="A5088" t="s">
        <v>5229</v>
      </c>
      <c r="B5088">
        <v>8010000095</v>
      </c>
      <c r="C5088" t="s">
        <v>819</v>
      </c>
      <c r="D5088" t="s">
        <v>819</v>
      </c>
      <c r="E5088" t="str">
        <f t="shared" si="79"/>
        <v>d2c8010000095</v>
      </c>
    </row>
    <row r="5089" spans="1:5" x14ac:dyDescent="0.3">
      <c r="A5089" t="s">
        <v>5229</v>
      </c>
      <c r="B5089">
        <v>1830008192</v>
      </c>
      <c r="C5089" t="s">
        <v>1359</v>
      </c>
      <c r="D5089" t="s">
        <v>1359</v>
      </c>
      <c r="E5089" t="str">
        <f t="shared" si="79"/>
        <v>d2c1830008192</v>
      </c>
    </row>
    <row r="5090" spans="1:5" x14ac:dyDescent="0.3">
      <c r="A5090" t="s">
        <v>5229</v>
      </c>
      <c r="B5090">
        <v>2211400888</v>
      </c>
      <c r="C5090" t="s">
        <v>38</v>
      </c>
      <c r="D5090" t="s">
        <v>38</v>
      </c>
      <c r="E5090" t="str">
        <f t="shared" si="79"/>
        <v>d2c2211400888</v>
      </c>
    </row>
    <row r="5091" spans="1:5" x14ac:dyDescent="0.3">
      <c r="A5091" t="s">
        <v>5229</v>
      </c>
      <c r="B5091">
        <v>1830008521</v>
      </c>
      <c r="C5091" t="s">
        <v>1651</v>
      </c>
      <c r="D5091" t="s">
        <v>1651</v>
      </c>
      <c r="E5091" t="str">
        <f t="shared" si="79"/>
        <v>d2c1830008521</v>
      </c>
    </row>
    <row r="5092" spans="1:5" x14ac:dyDescent="0.3">
      <c r="A5092" t="s">
        <v>5229</v>
      </c>
      <c r="B5092">
        <v>2100117533</v>
      </c>
      <c r="C5092" t="s">
        <v>997</v>
      </c>
      <c r="D5092" t="s">
        <v>997</v>
      </c>
      <c r="E5092" t="str">
        <f t="shared" si="79"/>
        <v>d2c2100117533</v>
      </c>
    </row>
    <row r="5093" spans="1:5" x14ac:dyDescent="0.3">
      <c r="A5093" t="s">
        <v>5229</v>
      </c>
      <c r="B5093">
        <v>2100118291</v>
      </c>
      <c r="C5093" t="s">
        <v>3338</v>
      </c>
      <c r="D5093" t="s">
        <v>3338</v>
      </c>
      <c r="E5093" t="str">
        <f t="shared" si="79"/>
        <v>d2c2100118291</v>
      </c>
    </row>
    <row r="5094" spans="1:5" x14ac:dyDescent="0.3">
      <c r="A5094" t="s">
        <v>5229</v>
      </c>
      <c r="B5094">
        <v>1500637540</v>
      </c>
      <c r="C5094" t="s">
        <v>859</v>
      </c>
      <c r="D5094" t="s">
        <v>859</v>
      </c>
      <c r="E5094" t="str">
        <f t="shared" si="79"/>
        <v>d2c1500637540</v>
      </c>
    </row>
    <row r="5095" spans="1:5" x14ac:dyDescent="0.3">
      <c r="A5095" t="s">
        <v>5229</v>
      </c>
      <c r="B5095">
        <v>7211001107</v>
      </c>
      <c r="C5095" t="s">
        <v>2364</v>
      </c>
      <c r="D5095" t="s">
        <v>2364</v>
      </c>
      <c r="E5095" t="str">
        <f t="shared" si="79"/>
        <v>d2c7211001107</v>
      </c>
    </row>
    <row r="5096" spans="1:5" x14ac:dyDescent="0.3">
      <c r="A5096" t="s">
        <v>5229</v>
      </c>
      <c r="B5096">
        <v>8010000864</v>
      </c>
      <c r="C5096" t="s">
        <v>3047</v>
      </c>
      <c r="D5096" t="s">
        <v>3047</v>
      </c>
      <c r="E5096" t="str">
        <f t="shared" si="79"/>
        <v>d2c8010000864</v>
      </c>
    </row>
    <row r="5097" spans="1:5" x14ac:dyDescent="0.3">
      <c r="A5097" t="s">
        <v>5229</v>
      </c>
      <c r="B5097">
        <v>1830008470</v>
      </c>
      <c r="C5097" t="s">
        <v>1637</v>
      </c>
      <c r="D5097" t="s">
        <v>1637</v>
      </c>
      <c r="E5097" t="str">
        <f t="shared" si="79"/>
        <v>d2c1830008470</v>
      </c>
    </row>
    <row r="5098" spans="1:5" x14ac:dyDescent="0.3">
      <c r="A5098" t="s">
        <v>5229</v>
      </c>
      <c r="B5098">
        <v>1830008493</v>
      </c>
      <c r="C5098" t="s">
        <v>1621</v>
      </c>
      <c r="D5098" t="s">
        <v>1621</v>
      </c>
      <c r="E5098" t="str">
        <f t="shared" si="79"/>
        <v>d2c1830008493</v>
      </c>
    </row>
    <row r="5099" spans="1:5" x14ac:dyDescent="0.3">
      <c r="A5099" t="s">
        <v>5229</v>
      </c>
      <c r="B5099">
        <v>1830008359</v>
      </c>
      <c r="C5099" t="s">
        <v>4881</v>
      </c>
      <c r="D5099" t="s">
        <v>4881</v>
      </c>
      <c r="E5099" t="str">
        <f t="shared" si="79"/>
        <v>d2c1830008359</v>
      </c>
    </row>
    <row r="5100" spans="1:5" x14ac:dyDescent="0.3">
      <c r="A5100" t="s">
        <v>5229</v>
      </c>
      <c r="B5100">
        <v>1830008583</v>
      </c>
      <c r="C5100" t="s">
        <v>1623</v>
      </c>
      <c r="D5100" t="s">
        <v>1623</v>
      </c>
      <c r="E5100" t="str">
        <f t="shared" si="79"/>
        <v>d2c1830008583</v>
      </c>
    </row>
    <row r="5101" spans="1:5" x14ac:dyDescent="0.3">
      <c r="A5101" t="s">
        <v>5229</v>
      </c>
      <c r="B5101">
        <v>2211401074</v>
      </c>
      <c r="C5101" t="s">
        <v>128</v>
      </c>
      <c r="D5101" t="s">
        <v>128</v>
      </c>
      <c r="E5101" t="str">
        <f t="shared" si="79"/>
        <v>d2c2211401074</v>
      </c>
    </row>
    <row r="5102" spans="1:5" x14ac:dyDescent="0.3">
      <c r="A5102" t="s">
        <v>5229</v>
      </c>
      <c r="B5102">
        <v>1830007854</v>
      </c>
      <c r="C5102" t="s">
        <v>497</v>
      </c>
      <c r="D5102" t="s">
        <v>497</v>
      </c>
      <c r="E5102" t="str">
        <f t="shared" si="79"/>
        <v>d2c1830007854</v>
      </c>
    </row>
    <row r="5103" spans="1:5" x14ac:dyDescent="0.3">
      <c r="A5103" t="s">
        <v>5229</v>
      </c>
      <c r="B5103">
        <v>1830007725</v>
      </c>
      <c r="C5103" t="s">
        <v>21</v>
      </c>
      <c r="D5103" t="s">
        <v>21</v>
      </c>
      <c r="E5103" t="str">
        <f t="shared" si="79"/>
        <v>d2c1830007725</v>
      </c>
    </row>
    <row r="5104" spans="1:5" x14ac:dyDescent="0.3">
      <c r="A5104" t="s">
        <v>5229</v>
      </c>
      <c r="B5104">
        <v>7211005023</v>
      </c>
      <c r="C5104" t="s">
        <v>432</v>
      </c>
      <c r="D5104" t="s">
        <v>432</v>
      </c>
      <c r="E5104" t="str">
        <f t="shared" si="79"/>
        <v>d2c7211005023</v>
      </c>
    </row>
    <row r="5105" spans="1:5" x14ac:dyDescent="0.3">
      <c r="A5105" t="s">
        <v>5229</v>
      </c>
      <c r="B5105">
        <v>7211004586</v>
      </c>
      <c r="C5105" t="s">
        <v>5396</v>
      </c>
      <c r="D5105" t="s">
        <v>5396</v>
      </c>
      <c r="E5105" t="str">
        <f t="shared" si="79"/>
        <v>d2c7211004586</v>
      </c>
    </row>
    <row r="5106" spans="1:5" x14ac:dyDescent="0.3">
      <c r="A5106" t="s">
        <v>5229</v>
      </c>
      <c r="B5106">
        <v>1830007629</v>
      </c>
      <c r="C5106" t="s">
        <v>1073</v>
      </c>
      <c r="D5106" t="s">
        <v>1073</v>
      </c>
      <c r="E5106" t="str">
        <f t="shared" si="79"/>
        <v>d2c1830007629</v>
      </c>
    </row>
    <row r="5107" spans="1:5" x14ac:dyDescent="0.3">
      <c r="A5107" t="s">
        <v>5229</v>
      </c>
      <c r="B5107">
        <v>1830007909</v>
      </c>
      <c r="C5107" t="s">
        <v>1383</v>
      </c>
      <c r="D5107" t="s">
        <v>1383</v>
      </c>
      <c r="E5107" t="str">
        <f t="shared" si="79"/>
        <v>d2c1830007909</v>
      </c>
    </row>
    <row r="5108" spans="1:5" x14ac:dyDescent="0.3">
      <c r="A5108" t="s">
        <v>5229</v>
      </c>
      <c r="B5108">
        <v>9100039978</v>
      </c>
      <c r="C5108">
        <v>4180860</v>
      </c>
      <c r="D5108">
        <v>4180860</v>
      </c>
      <c r="E5108" t="str">
        <f t="shared" si="79"/>
        <v>d2c9100039978</v>
      </c>
    </row>
    <row r="5109" spans="1:5" x14ac:dyDescent="0.3">
      <c r="A5109" t="s">
        <v>5229</v>
      </c>
      <c r="B5109">
        <v>2100104356</v>
      </c>
      <c r="C5109" t="s">
        <v>1688</v>
      </c>
      <c r="D5109" t="s">
        <v>1688</v>
      </c>
      <c r="E5109" t="str">
        <f t="shared" si="79"/>
        <v>d2c2100104356</v>
      </c>
    </row>
    <row r="5110" spans="1:5" x14ac:dyDescent="0.3">
      <c r="A5110" t="s">
        <v>5229</v>
      </c>
      <c r="B5110">
        <v>9100046098</v>
      </c>
      <c r="C5110">
        <v>4211628</v>
      </c>
      <c r="D5110">
        <v>4211628</v>
      </c>
      <c r="E5110" t="str">
        <f t="shared" si="79"/>
        <v>d2c9100046098</v>
      </c>
    </row>
    <row r="5111" spans="1:5" x14ac:dyDescent="0.3">
      <c r="A5111" t="s">
        <v>5229</v>
      </c>
      <c r="B5111">
        <v>1830007905</v>
      </c>
      <c r="C5111" t="s">
        <v>1867</v>
      </c>
      <c r="D5111" t="s">
        <v>1867</v>
      </c>
      <c r="E5111" t="str">
        <f t="shared" si="79"/>
        <v>d2c1830007905</v>
      </c>
    </row>
    <row r="5112" spans="1:5" x14ac:dyDescent="0.3">
      <c r="A5112" t="s">
        <v>5229</v>
      </c>
      <c r="B5112">
        <v>8000035584</v>
      </c>
      <c r="C5112" t="s">
        <v>5460</v>
      </c>
      <c r="D5112" t="s">
        <v>5460</v>
      </c>
      <c r="E5112" t="str">
        <f t="shared" si="79"/>
        <v>d2c8000035584</v>
      </c>
    </row>
    <row r="5113" spans="1:5" x14ac:dyDescent="0.3">
      <c r="A5113" t="s">
        <v>5229</v>
      </c>
      <c r="B5113">
        <v>7211003827</v>
      </c>
      <c r="C5113" t="s">
        <v>81</v>
      </c>
      <c r="D5113" t="s">
        <v>81</v>
      </c>
      <c r="E5113" t="str">
        <f t="shared" si="79"/>
        <v>d2c7211003827</v>
      </c>
    </row>
    <row r="5114" spans="1:5" x14ac:dyDescent="0.3">
      <c r="A5114" t="s">
        <v>5229</v>
      </c>
      <c r="B5114">
        <v>2100115982</v>
      </c>
      <c r="C5114" t="s">
        <v>85</v>
      </c>
      <c r="D5114" t="s">
        <v>85</v>
      </c>
      <c r="E5114" t="str">
        <f t="shared" si="79"/>
        <v>d2c2100115982</v>
      </c>
    </row>
    <row r="5115" spans="1:5" x14ac:dyDescent="0.3">
      <c r="A5115" t="s">
        <v>5229</v>
      </c>
      <c r="B5115">
        <v>1830008176</v>
      </c>
      <c r="C5115" t="s">
        <v>8</v>
      </c>
      <c r="D5115" t="s">
        <v>8</v>
      </c>
      <c r="E5115" t="str">
        <f t="shared" si="79"/>
        <v>d2c1830008176</v>
      </c>
    </row>
    <row r="5116" spans="1:5" x14ac:dyDescent="0.3">
      <c r="A5116" t="s">
        <v>5427</v>
      </c>
      <c r="B5116">
        <v>2211400879</v>
      </c>
      <c r="C5116" t="s">
        <v>1122</v>
      </c>
      <c r="D5116" t="s">
        <v>5588</v>
      </c>
      <c r="E5116" t="str">
        <f t="shared" si="79"/>
        <v>dns2211400879</v>
      </c>
    </row>
    <row r="5117" spans="1:5" x14ac:dyDescent="0.3">
      <c r="A5117" t="s">
        <v>5427</v>
      </c>
      <c r="B5117">
        <v>2211400775</v>
      </c>
      <c r="C5117" t="s">
        <v>4391</v>
      </c>
      <c r="D5117" t="s">
        <v>5589</v>
      </c>
      <c r="E5117" t="str">
        <f t="shared" si="79"/>
        <v>dns2211400775</v>
      </c>
    </row>
    <row r="5118" spans="1:5" x14ac:dyDescent="0.3">
      <c r="A5118" t="s">
        <v>5427</v>
      </c>
      <c r="B5118">
        <v>2211400615</v>
      </c>
      <c r="C5118" t="s">
        <v>1064</v>
      </c>
      <c r="D5118" t="s">
        <v>5590</v>
      </c>
      <c r="E5118" t="str">
        <f t="shared" si="79"/>
        <v>dns2211400615</v>
      </c>
    </row>
    <row r="5119" spans="1:5" x14ac:dyDescent="0.3">
      <c r="A5119" t="s">
        <v>5167</v>
      </c>
      <c r="B5119">
        <v>1830008851</v>
      </c>
      <c r="C5119" t="s">
        <v>5591</v>
      </c>
      <c r="D5119" t="s">
        <v>5592</v>
      </c>
      <c r="E5119" t="str">
        <f t="shared" si="79"/>
        <v>alser1830008851</v>
      </c>
    </row>
    <row r="5120" spans="1:5" x14ac:dyDescent="0.3">
      <c r="A5120" t="s">
        <v>5167</v>
      </c>
      <c r="B5120">
        <v>1830008641</v>
      </c>
      <c r="C5120" t="s">
        <v>5440</v>
      </c>
      <c r="D5120" t="s">
        <v>5593</v>
      </c>
      <c r="E5120" t="str">
        <f t="shared" si="79"/>
        <v>alser1830008641</v>
      </c>
    </row>
    <row r="5121" spans="1:5" x14ac:dyDescent="0.3">
      <c r="A5121" t="s">
        <v>4666</v>
      </c>
      <c r="B5121">
        <v>1830008619</v>
      </c>
      <c r="C5121" t="s">
        <v>5442</v>
      </c>
      <c r="D5121" t="s">
        <v>5594</v>
      </c>
      <c r="E5121" t="str">
        <f t="shared" si="79"/>
        <v>technodom1830008619</v>
      </c>
    </row>
    <row r="5122" spans="1:5" x14ac:dyDescent="0.3">
      <c r="A5122" t="s">
        <v>4666</v>
      </c>
      <c r="B5122">
        <v>1830007152</v>
      </c>
      <c r="C5122" t="s">
        <v>5595</v>
      </c>
      <c r="D5122" t="s">
        <v>5596</v>
      </c>
      <c r="E5122" t="str">
        <f t="shared" si="79"/>
        <v>technodom1830007152</v>
      </c>
    </row>
    <row r="5123" spans="1:5" x14ac:dyDescent="0.3">
      <c r="A5123" t="s">
        <v>5229</v>
      </c>
      <c r="B5123">
        <v>9100004195</v>
      </c>
      <c r="C5123">
        <v>4090130</v>
      </c>
      <c r="D5123">
        <v>4090130</v>
      </c>
      <c r="E5123" t="str">
        <f t="shared" ref="E5123:E5186" si="80">A5123&amp;B5123</f>
        <v>d2c9100004195</v>
      </c>
    </row>
    <row r="5124" spans="1:5" x14ac:dyDescent="0.3">
      <c r="A5124" t="s">
        <v>5229</v>
      </c>
      <c r="B5124">
        <v>9100027685</v>
      </c>
      <c r="C5124">
        <v>4181810</v>
      </c>
      <c r="D5124">
        <v>4181810</v>
      </c>
      <c r="E5124" t="str">
        <f t="shared" si="80"/>
        <v>d2c9100027685</v>
      </c>
    </row>
    <row r="5125" spans="1:5" x14ac:dyDescent="0.3">
      <c r="A5125" t="s">
        <v>5229</v>
      </c>
      <c r="B5125">
        <v>9100036466</v>
      </c>
      <c r="C5125">
        <v>4192126</v>
      </c>
      <c r="D5125">
        <v>4192126</v>
      </c>
      <c r="E5125" t="str">
        <f t="shared" si="80"/>
        <v>d2c9100036466</v>
      </c>
    </row>
    <row r="5126" spans="1:5" x14ac:dyDescent="0.3">
      <c r="A5126" t="s">
        <v>5229</v>
      </c>
      <c r="B5126">
        <v>9100036467</v>
      </c>
      <c r="C5126">
        <v>4192128</v>
      </c>
      <c r="D5126">
        <v>4192128</v>
      </c>
      <c r="E5126" t="str">
        <f t="shared" si="80"/>
        <v>d2c9100036467</v>
      </c>
    </row>
    <row r="5127" spans="1:5" x14ac:dyDescent="0.3">
      <c r="A5127" t="s">
        <v>5229</v>
      </c>
      <c r="B5127">
        <v>9100036470</v>
      </c>
      <c r="C5127">
        <v>4192224</v>
      </c>
      <c r="D5127">
        <v>4192224</v>
      </c>
      <c r="E5127" t="str">
        <f t="shared" si="80"/>
        <v>d2c9100036470</v>
      </c>
    </row>
    <row r="5128" spans="1:5" x14ac:dyDescent="0.3">
      <c r="A5128" t="s">
        <v>5229</v>
      </c>
      <c r="B5128">
        <v>9100045480</v>
      </c>
      <c r="C5128">
        <v>4206928</v>
      </c>
      <c r="D5128">
        <v>4206928</v>
      </c>
      <c r="E5128" t="str">
        <f t="shared" si="80"/>
        <v>d2c9100045480</v>
      </c>
    </row>
    <row r="5129" spans="1:5" x14ac:dyDescent="0.3">
      <c r="A5129" t="s">
        <v>5229</v>
      </c>
      <c r="B5129">
        <v>9100046097</v>
      </c>
      <c r="C5129">
        <v>4211522</v>
      </c>
      <c r="D5129">
        <v>4211522</v>
      </c>
      <c r="E5129" t="str">
        <f t="shared" si="80"/>
        <v>d2c9100046097</v>
      </c>
    </row>
    <row r="5130" spans="1:5" x14ac:dyDescent="0.3">
      <c r="A5130" t="s">
        <v>5229</v>
      </c>
      <c r="B5130">
        <v>9100046100</v>
      </c>
      <c r="C5130">
        <v>4211924</v>
      </c>
      <c r="D5130">
        <v>4211924</v>
      </c>
      <c r="E5130" t="str">
        <f t="shared" si="80"/>
        <v>d2c9100046100</v>
      </c>
    </row>
    <row r="5131" spans="1:5" x14ac:dyDescent="0.3">
      <c r="A5131" t="s">
        <v>5229</v>
      </c>
      <c r="B5131">
        <v>9100046101</v>
      </c>
      <c r="C5131">
        <v>4211926</v>
      </c>
      <c r="D5131">
        <v>4211926</v>
      </c>
      <c r="E5131" t="str">
        <f t="shared" si="80"/>
        <v>d2c9100046101</v>
      </c>
    </row>
    <row r="5132" spans="1:5" x14ac:dyDescent="0.3">
      <c r="A5132" t="s">
        <v>5229</v>
      </c>
      <c r="B5132">
        <v>1510001898</v>
      </c>
      <c r="C5132" t="s">
        <v>1240</v>
      </c>
      <c r="D5132" t="s">
        <v>1240</v>
      </c>
      <c r="E5132" t="str">
        <f t="shared" si="80"/>
        <v>d2c1510001898</v>
      </c>
    </row>
    <row r="5133" spans="1:5" x14ac:dyDescent="0.3">
      <c r="A5133" t="s">
        <v>5229</v>
      </c>
      <c r="B5133">
        <v>1830008425</v>
      </c>
      <c r="C5133" t="s">
        <v>5385</v>
      </c>
      <c r="D5133" t="s">
        <v>5385</v>
      </c>
      <c r="E5133" t="str">
        <f t="shared" si="80"/>
        <v>d2c1830008425</v>
      </c>
    </row>
    <row r="5134" spans="1:5" x14ac:dyDescent="0.3">
      <c r="A5134" t="s">
        <v>5229</v>
      </c>
      <c r="B5134">
        <v>1830008500</v>
      </c>
      <c r="C5134" t="s">
        <v>5597</v>
      </c>
      <c r="D5134" t="s">
        <v>5597</v>
      </c>
      <c r="E5134" t="str">
        <f t="shared" si="80"/>
        <v>d2c1830008500</v>
      </c>
    </row>
    <row r="5135" spans="1:5" x14ac:dyDescent="0.3">
      <c r="A5135" t="s">
        <v>5229</v>
      </c>
      <c r="B5135">
        <v>2100093086</v>
      </c>
      <c r="C5135" t="s">
        <v>1579</v>
      </c>
      <c r="D5135" t="s">
        <v>1579</v>
      </c>
      <c r="E5135" t="str">
        <f t="shared" si="80"/>
        <v>d2c2100093086</v>
      </c>
    </row>
    <row r="5136" spans="1:5" x14ac:dyDescent="0.3">
      <c r="A5136" t="s">
        <v>5229</v>
      </c>
      <c r="B5136">
        <v>1830008508</v>
      </c>
      <c r="C5136" t="s">
        <v>1669</v>
      </c>
      <c r="D5136" t="s">
        <v>1669</v>
      </c>
      <c r="E5136" t="str">
        <f t="shared" si="80"/>
        <v>d2c1830008508</v>
      </c>
    </row>
    <row r="5137" spans="1:5" x14ac:dyDescent="0.3">
      <c r="A5137" t="s">
        <v>5229</v>
      </c>
      <c r="B5137">
        <v>1830003934</v>
      </c>
      <c r="C5137" t="s">
        <v>921</v>
      </c>
      <c r="D5137" t="s">
        <v>921</v>
      </c>
      <c r="E5137" t="str">
        <f t="shared" si="80"/>
        <v>d2c1830003934</v>
      </c>
    </row>
    <row r="5138" spans="1:5" x14ac:dyDescent="0.3">
      <c r="A5138" t="s">
        <v>5229</v>
      </c>
      <c r="B5138">
        <v>1830008185</v>
      </c>
      <c r="C5138" t="s">
        <v>357</v>
      </c>
      <c r="D5138" t="s">
        <v>357</v>
      </c>
      <c r="E5138" t="str">
        <f t="shared" si="80"/>
        <v>d2c1830008185</v>
      </c>
    </row>
    <row r="5139" spans="1:5" x14ac:dyDescent="0.3">
      <c r="A5139" t="s">
        <v>5229</v>
      </c>
      <c r="B5139">
        <v>1830008710</v>
      </c>
      <c r="C5139" t="s">
        <v>442</v>
      </c>
      <c r="D5139" t="s">
        <v>442</v>
      </c>
      <c r="E5139" t="str">
        <f t="shared" si="80"/>
        <v>d2c1830008710</v>
      </c>
    </row>
    <row r="5140" spans="1:5" x14ac:dyDescent="0.3">
      <c r="A5140" t="s">
        <v>5229</v>
      </c>
      <c r="B5140">
        <v>1830006273</v>
      </c>
      <c r="C5140" t="s">
        <v>704</v>
      </c>
      <c r="D5140" t="s">
        <v>704</v>
      </c>
      <c r="E5140" t="str">
        <f t="shared" si="80"/>
        <v>d2c1830006273</v>
      </c>
    </row>
    <row r="5141" spans="1:5" x14ac:dyDescent="0.3">
      <c r="A5141" t="s">
        <v>5229</v>
      </c>
      <c r="B5141">
        <v>1830008526</v>
      </c>
      <c r="C5141" t="s">
        <v>358</v>
      </c>
      <c r="D5141" t="s">
        <v>358</v>
      </c>
      <c r="E5141" t="str">
        <f t="shared" si="80"/>
        <v>d2c1830008526</v>
      </c>
    </row>
    <row r="5142" spans="1:5" x14ac:dyDescent="0.3">
      <c r="A5142" t="s">
        <v>5229</v>
      </c>
      <c r="B5142">
        <v>1830008759</v>
      </c>
      <c r="C5142" t="s">
        <v>4883</v>
      </c>
      <c r="D5142" t="s">
        <v>4883</v>
      </c>
      <c r="E5142" t="str">
        <f t="shared" si="80"/>
        <v>d2c1830008759</v>
      </c>
    </row>
    <row r="5143" spans="1:5" x14ac:dyDescent="0.3">
      <c r="A5143" t="s">
        <v>5229</v>
      </c>
      <c r="B5143">
        <v>1830007698</v>
      </c>
      <c r="C5143" t="s">
        <v>1172</v>
      </c>
      <c r="D5143" t="s">
        <v>1172</v>
      </c>
      <c r="E5143" t="str">
        <f t="shared" si="80"/>
        <v>d2c1830007698</v>
      </c>
    </row>
    <row r="5144" spans="1:5" x14ac:dyDescent="0.3">
      <c r="A5144" t="s">
        <v>5229</v>
      </c>
      <c r="B5144">
        <v>1830008557</v>
      </c>
      <c r="C5144" t="s">
        <v>1631</v>
      </c>
      <c r="D5144" t="s">
        <v>1631</v>
      </c>
      <c r="E5144" t="str">
        <f t="shared" si="80"/>
        <v>d2c1830008557</v>
      </c>
    </row>
    <row r="5145" spans="1:5" x14ac:dyDescent="0.3">
      <c r="A5145" t="s">
        <v>5229</v>
      </c>
      <c r="B5145">
        <v>7211003399</v>
      </c>
      <c r="C5145" t="s">
        <v>50</v>
      </c>
      <c r="D5145" t="s">
        <v>50</v>
      </c>
      <c r="E5145" t="str">
        <f t="shared" si="80"/>
        <v>d2c7211003399</v>
      </c>
    </row>
    <row r="5146" spans="1:5" x14ac:dyDescent="0.3">
      <c r="A5146" t="s">
        <v>5229</v>
      </c>
      <c r="B5146">
        <v>7211003925</v>
      </c>
      <c r="C5146" t="s">
        <v>59</v>
      </c>
      <c r="D5146" t="s">
        <v>59</v>
      </c>
      <c r="E5146" t="str">
        <f t="shared" si="80"/>
        <v>d2c7211003925</v>
      </c>
    </row>
    <row r="5147" spans="1:5" x14ac:dyDescent="0.3">
      <c r="A5147" t="s">
        <v>5229</v>
      </c>
      <c r="B5147">
        <v>7211004244</v>
      </c>
      <c r="C5147" t="s">
        <v>61</v>
      </c>
      <c r="D5147" t="s">
        <v>61</v>
      </c>
      <c r="E5147" t="str">
        <f t="shared" si="80"/>
        <v>d2c7211004244</v>
      </c>
    </row>
    <row r="5148" spans="1:5" x14ac:dyDescent="0.3">
      <c r="A5148" t="s">
        <v>5229</v>
      </c>
      <c r="B5148">
        <v>1510001655</v>
      </c>
      <c r="C5148" t="s">
        <v>412</v>
      </c>
      <c r="D5148" t="s">
        <v>412</v>
      </c>
      <c r="E5148" t="str">
        <f t="shared" si="80"/>
        <v>d2c1510001655</v>
      </c>
    </row>
    <row r="5149" spans="1:5" x14ac:dyDescent="0.3">
      <c r="A5149" t="s">
        <v>5229</v>
      </c>
      <c r="B5149">
        <v>1830008851</v>
      </c>
      <c r="C5149" t="s">
        <v>5581</v>
      </c>
      <c r="D5149" t="s">
        <v>5581</v>
      </c>
      <c r="E5149" t="str">
        <f t="shared" si="80"/>
        <v>d2c1830008851</v>
      </c>
    </row>
    <row r="5150" spans="1:5" x14ac:dyDescent="0.3">
      <c r="A5150" t="s">
        <v>5229</v>
      </c>
      <c r="B5150">
        <v>1830008776</v>
      </c>
      <c r="C5150" t="s">
        <v>5598</v>
      </c>
      <c r="D5150" t="s">
        <v>5598</v>
      </c>
      <c r="E5150" t="str">
        <f t="shared" si="80"/>
        <v>d2c1830008776</v>
      </c>
    </row>
    <row r="5151" spans="1:5" x14ac:dyDescent="0.3">
      <c r="A5151" t="s">
        <v>5229</v>
      </c>
      <c r="B5151">
        <v>1830008417</v>
      </c>
      <c r="C5151" t="s">
        <v>4860</v>
      </c>
      <c r="D5151" t="s">
        <v>4860</v>
      </c>
      <c r="E5151" t="str">
        <f t="shared" si="80"/>
        <v>d2c1830008417</v>
      </c>
    </row>
    <row r="5152" spans="1:5" x14ac:dyDescent="0.3">
      <c r="A5152" t="s">
        <v>5229</v>
      </c>
      <c r="B5152">
        <v>1830008196</v>
      </c>
      <c r="C5152" t="s">
        <v>2035</v>
      </c>
      <c r="D5152" t="s">
        <v>2035</v>
      </c>
      <c r="E5152" t="str">
        <f t="shared" si="80"/>
        <v>d2c1830008196</v>
      </c>
    </row>
    <row r="5153" spans="1:5" x14ac:dyDescent="0.3">
      <c r="A5153" t="s">
        <v>5229</v>
      </c>
      <c r="B5153">
        <v>1830007269</v>
      </c>
      <c r="C5153" t="s">
        <v>1092</v>
      </c>
      <c r="D5153" t="s">
        <v>1092</v>
      </c>
      <c r="E5153" t="str">
        <f t="shared" si="80"/>
        <v>d2c1830007269</v>
      </c>
    </row>
    <row r="5154" spans="1:5" x14ac:dyDescent="0.3">
      <c r="A5154" t="s">
        <v>5229</v>
      </c>
      <c r="B5154">
        <v>8000036182</v>
      </c>
      <c r="C5154" t="s">
        <v>80</v>
      </c>
      <c r="D5154" t="s">
        <v>80</v>
      </c>
      <c r="E5154" t="str">
        <f t="shared" si="80"/>
        <v>d2c8000036182</v>
      </c>
    </row>
    <row r="5155" spans="1:5" x14ac:dyDescent="0.3">
      <c r="A5155" t="s">
        <v>5229</v>
      </c>
      <c r="B5155">
        <v>1830008199</v>
      </c>
      <c r="C5155" t="s">
        <v>1347</v>
      </c>
      <c r="D5155" t="s">
        <v>1347</v>
      </c>
      <c r="E5155" t="str">
        <f t="shared" si="80"/>
        <v>d2c1830008199</v>
      </c>
    </row>
    <row r="5156" spans="1:5" x14ac:dyDescent="0.3">
      <c r="A5156" t="s">
        <v>5229</v>
      </c>
      <c r="B5156">
        <v>1830007569</v>
      </c>
      <c r="C5156" t="s">
        <v>1612</v>
      </c>
      <c r="D5156" t="s">
        <v>1612</v>
      </c>
      <c r="E5156" t="str">
        <f t="shared" si="80"/>
        <v>d2c1830007569</v>
      </c>
    </row>
    <row r="5157" spans="1:5" x14ac:dyDescent="0.3">
      <c r="A5157" t="s">
        <v>5229</v>
      </c>
      <c r="B5157">
        <v>1830007715</v>
      </c>
      <c r="C5157" t="s">
        <v>409</v>
      </c>
      <c r="D5157" t="s">
        <v>409</v>
      </c>
      <c r="E5157" t="str">
        <f t="shared" si="80"/>
        <v>d2c1830007715</v>
      </c>
    </row>
    <row r="5158" spans="1:5" x14ac:dyDescent="0.3">
      <c r="A5158" t="s">
        <v>5229</v>
      </c>
      <c r="B5158">
        <v>1830007809</v>
      </c>
      <c r="C5158" t="s">
        <v>410</v>
      </c>
      <c r="D5158" t="s">
        <v>410</v>
      </c>
      <c r="E5158" t="str">
        <f t="shared" si="80"/>
        <v>d2c1830007809</v>
      </c>
    </row>
    <row r="5159" spans="1:5" x14ac:dyDescent="0.3">
      <c r="A5159" t="s">
        <v>5229</v>
      </c>
      <c r="B5159">
        <v>1830008887</v>
      </c>
      <c r="C5159" t="s">
        <v>5446</v>
      </c>
      <c r="D5159" t="s">
        <v>5446</v>
      </c>
      <c r="E5159" t="str">
        <f t="shared" si="80"/>
        <v>d2c1830008887</v>
      </c>
    </row>
    <row r="5160" spans="1:5" x14ac:dyDescent="0.3">
      <c r="A5160" t="s">
        <v>5229</v>
      </c>
      <c r="B5160">
        <v>1830008649</v>
      </c>
      <c r="C5160" t="s">
        <v>5444</v>
      </c>
      <c r="D5160" t="s">
        <v>5444</v>
      </c>
      <c r="E5160" t="str">
        <f t="shared" si="80"/>
        <v>d2c1830008649</v>
      </c>
    </row>
    <row r="5161" spans="1:5" x14ac:dyDescent="0.3">
      <c r="A5161" t="s">
        <v>5229</v>
      </c>
      <c r="B5161">
        <v>1830007142</v>
      </c>
      <c r="C5161" t="s">
        <v>2286</v>
      </c>
      <c r="D5161" t="s">
        <v>2286</v>
      </c>
      <c r="E5161" t="str">
        <f t="shared" si="80"/>
        <v>d2c1830007142</v>
      </c>
    </row>
    <row r="5162" spans="1:5" x14ac:dyDescent="0.3">
      <c r="A5162" t="s">
        <v>5229</v>
      </c>
      <c r="B5162">
        <v>1830007152</v>
      </c>
      <c r="C5162" t="s">
        <v>5595</v>
      </c>
      <c r="D5162" t="s">
        <v>5595</v>
      </c>
      <c r="E5162" t="str">
        <f t="shared" si="80"/>
        <v>d2c1830007152</v>
      </c>
    </row>
    <row r="5163" spans="1:5" x14ac:dyDescent="0.3">
      <c r="A5163" t="s">
        <v>5229</v>
      </c>
      <c r="B5163">
        <v>2100118289</v>
      </c>
      <c r="C5163" t="s">
        <v>88</v>
      </c>
      <c r="D5163" t="s">
        <v>88</v>
      </c>
      <c r="E5163" t="str">
        <f t="shared" si="80"/>
        <v>d2c2100118289</v>
      </c>
    </row>
    <row r="5164" spans="1:5" x14ac:dyDescent="0.3">
      <c r="A5164" t="s">
        <v>5229</v>
      </c>
      <c r="B5164">
        <v>2100118460</v>
      </c>
      <c r="C5164" t="s">
        <v>3318</v>
      </c>
      <c r="D5164" t="s">
        <v>3318</v>
      </c>
      <c r="E5164" t="str">
        <f t="shared" si="80"/>
        <v>d2c2100118460</v>
      </c>
    </row>
    <row r="5165" spans="1:5" x14ac:dyDescent="0.3">
      <c r="A5165" t="s">
        <v>5229</v>
      </c>
      <c r="B5165">
        <v>2100118309</v>
      </c>
      <c r="C5165" t="s">
        <v>2161</v>
      </c>
      <c r="D5165" t="s">
        <v>2161</v>
      </c>
      <c r="E5165" t="str">
        <f t="shared" si="80"/>
        <v>d2c2100118309</v>
      </c>
    </row>
    <row r="5166" spans="1:5" x14ac:dyDescent="0.3">
      <c r="A5166" t="s">
        <v>5229</v>
      </c>
      <c r="B5166">
        <v>2100118307</v>
      </c>
      <c r="C5166" t="s">
        <v>1209</v>
      </c>
      <c r="D5166" t="s">
        <v>1209</v>
      </c>
      <c r="E5166" t="str">
        <f t="shared" si="80"/>
        <v>d2c2100118307</v>
      </c>
    </row>
    <row r="5167" spans="1:5" x14ac:dyDescent="0.3">
      <c r="A5167" t="s">
        <v>5229</v>
      </c>
      <c r="B5167">
        <v>2100121273</v>
      </c>
      <c r="C5167" t="s">
        <v>3370</v>
      </c>
      <c r="D5167" t="s">
        <v>3370</v>
      </c>
      <c r="E5167" t="str">
        <f t="shared" si="80"/>
        <v>d2c2100121273</v>
      </c>
    </row>
    <row r="5168" spans="1:5" x14ac:dyDescent="0.3">
      <c r="A5168" t="s">
        <v>5229</v>
      </c>
      <c r="B5168">
        <v>2100121262</v>
      </c>
      <c r="C5168" t="s">
        <v>3417</v>
      </c>
      <c r="D5168" t="s">
        <v>3417</v>
      </c>
      <c r="E5168" t="str">
        <f t="shared" si="80"/>
        <v>d2c2100121262</v>
      </c>
    </row>
    <row r="5169" spans="1:5" x14ac:dyDescent="0.3">
      <c r="A5169" t="s">
        <v>5229</v>
      </c>
      <c r="B5169">
        <v>2100121270</v>
      </c>
      <c r="C5169" t="s">
        <v>4871</v>
      </c>
      <c r="D5169" t="s">
        <v>4871</v>
      </c>
      <c r="E5169" t="str">
        <f t="shared" si="80"/>
        <v>d2c2100121270</v>
      </c>
    </row>
    <row r="5170" spans="1:5" x14ac:dyDescent="0.3">
      <c r="A5170" t="s">
        <v>5229</v>
      </c>
      <c r="B5170">
        <v>8000035958</v>
      </c>
      <c r="C5170" t="s">
        <v>1112</v>
      </c>
      <c r="D5170" t="s">
        <v>1112</v>
      </c>
      <c r="E5170" t="str">
        <f t="shared" si="80"/>
        <v>d2c8000035958</v>
      </c>
    </row>
    <row r="5171" spans="1:5" x14ac:dyDescent="0.3">
      <c r="A5171" t="s">
        <v>5229</v>
      </c>
      <c r="B5171">
        <v>8010000405</v>
      </c>
      <c r="C5171" t="s">
        <v>1110</v>
      </c>
      <c r="D5171" t="s">
        <v>1110</v>
      </c>
      <c r="E5171" t="str">
        <f t="shared" si="80"/>
        <v>d2c8010000405</v>
      </c>
    </row>
    <row r="5172" spans="1:5" x14ac:dyDescent="0.3">
      <c r="A5172" t="s">
        <v>5229</v>
      </c>
      <c r="B5172">
        <v>1500636334</v>
      </c>
      <c r="C5172" t="s">
        <v>1106</v>
      </c>
      <c r="D5172" t="s">
        <v>1106</v>
      </c>
      <c r="E5172" t="str">
        <f t="shared" si="80"/>
        <v>d2c1500636334</v>
      </c>
    </row>
    <row r="5173" spans="1:5" x14ac:dyDescent="0.3">
      <c r="A5173" t="s">
        <v>5229</v>
      </c>
      <c r="B5173">
        <v>7211002441</v>
      </c>
      <c r="C5173" t="s">
        <v>40</v>
      </c>
      <c r="D5173" t="s">
        <v>40</v>
      </c>
      <c r="E5173" t="str">
        <f t="shared" si="80"/>
        <v>d2c7211002441</v>
      </c>
    </row>
    <row r="5174" spans="1:5" x14ac:dyDescent="0.3">
      <c r="A5174" t="s">
        <v>5229</v>
      </c>
      <c r="B5174">
        <v>7211002749</v>
      </c>
      <c r="C5174" t="s">
        <v>397</v>
      </c>
      <c r="D5174" t="s">
        <v>397</v>
      </c>
      <c r="E5174" t="str">
        <f t="shared" si="80"/>
        <v>d2c7211002749</v>
      </c>
    </row>
    <row r="5175" spans="1:5" x14ac:dyDescent="0.3">
      <c r="A5175" t="s">
        <v>5229</v>
      </c>
      <c r="B5175">
        <v>7211002459</v>
      </c>
      <c r="C5175" t="s">
        <v>41</v>
      </c>
      <c r="D5175" t="s">
        <v>41</v>
      </c>
      <c r="E5175" t="str">
        <f t="shared" si="80"/>
        <v>d2c7211002459</v>
      </c>
    </row>
    <row r="5176" spans="1:5" x14ac:dyDescent="0.3">
      <c r="A5176" t="s">
        <v>5229</v>
      </c>
      <c r="B5176">
        <v>7211002932</v>
      </c>
      <c r="C5176" t="s">
        <v>44</v>
      </c>
      <c r="D5176" t="s">
        <v>44</v>
      </c>
      <c r="E5176" t="str">
        <f t="shared" si="80"/>
        <v>d2c7211002932</v>
      </c>
    </row>
    <row r="5177" spans="1:5" x14ac:dyDescent="0.3">
      <c r="A5177" t="s">
        <v>5229</v>
      </c>
      <c r="B5177">
        <v>7211003740</v>
      </c>
      <c r="C5177" t="s">
        <v>42</v>
      </c>
      <c r="D5177" t="s">
        <v>42</v>
      </c>
      <c r="E5177" t="str">
        <f t="shared" si="80"/>
        <v>d2c7211003740</v>
      </c>
    </row>
    <row r="5178" spans="1:5" x14ac:dyDescent="0.3">
      <c r="A5178" t="s">
        <v>5229</v>
      </c>
      <c r="B5178">
        <v>7211004078</v>
      </c>
      <c r="C5178" t="s">
        <v>43</v>
      </c>
      <c r="D5178" t="s">
        <v>43</v>
      </c>
      <c r="E5178" t="str">
        <f t="shared" si="80"/>
        <v>d2c7211004078</v>
      </c>
    </row>
    <row r="5179" spans="1:5" x14ac:dyDescent="0.3">
      <c r="A5179" t="s">
        <v>5229</v>
      </c>
      <c r="B5179">
        <v>1830008513</v>
      </c>
      <c r="C5179" t="s">
        <v>112</v>
      </c>
      <c r="D5179" t="s">
        <v>112</v>
      </c>
      <c r="E5179" t="str">
        <f t="shared" si="80"/>
        <v>d2c1830008513</v>
      </c>
    </row>
    <row r="5180" spans="1:5" x14ac:dyDescent="0.3">
      <c r="A5180" t="s">
        <v>5229</v>
      </c>
      <c r="B5180">
        <v>1830008518</v>
      </c>
      <c r="C5180" t="s">
        <v>111</v>
      </c>
      <c r="D5180" t="s">
        <v>111</v>
      </c>
      <c r="E5180" t="str">
        <f t="shared" si="80"/>
        <v>d2c1830008518</v>
      </c>
    </row>
    <row r="5181" spans="1:5" x14ac:dyDescent="0.3">
      <c r="A5181" t="s">
        <v>5229</v>
      </c>
      <c r="B5181">
        <v>1830008233</v>
      </c>
      <c r="C5181" t="s">
        <v>13</v>
      </c>
      <c r="D5181" t="s">
        <v>13</v>
      </c>
      <c r="E5181" t="str">
        <f t="shared" si="80"/>
        <v>d2c1830008233</v>
      </c>
    </row>
    <row r="5182" spans="1:5" x14ac:dyDescent="0.3">
      <c r="A5182" t="s">
        <v>5229</v>
      </c>
      <c r="B5182">
        <v>8010001069</v>
      </c>
      <c r="C5182" t="s">
        <v>3</v>
      </c>
      <c r="D5182" t="s">
        <v>3</v>
      </c>
      <c r="E5182" t="str">
        <f t="shared" si="80"/>
        <v>d2c8010001069</v>
      </c>
    </row>
    <row r="5183" spans="1:5" x14ac:dyDescent="0.3">
      <c r="A5183" t="s">
        <v>5229</v>
      </c>
      <c r="B5183">
        <v>8000036062</v>
      </c>
      <c r="C5183" t="s">
        <v>1252</v>
      </c>
      <c r="D5183" t="s">
        <v>1252</v>
      </c>
      <c r="E5183" t="str">
        <f t="shared" si="80"/>
        <v>d2c8000036062</v>
      </c>
    </row>
    <row r="5184" spans="1:5" x14ac:dyDescent="0.3">
      <c r="A5184" t="s">
        <v>5229</v>
      </c>
      <c r="B5184">
        <v>1110030485</v>
      </c>
      <c r="C5184" t="s">
        <v>835</v>
      </c>
      <c r="D5184" t="s">
        <v>835</v>
      </c>
      <c r="E5184" t="str">
        <f t="shared" si="80"/>
        <v>d2c1110030485</v>
      </c>
    </row>
    <row r="5185" spans="1:5" x14ac:dyDescent="0.3">
      <c r="A5185" t="s">
        <v>5229</v>
      </c>
      <c r="B5185">
        <v>1830006984</v>
      </c>
      <c r="C5185" t="s">
        <v>869</v>
      </c>
      <c r="D5185" t="s">
        <v>869</v>
      </c>
      <c r="E5185" t="str">
        <f t="shared" si="80"/>
        <v>d2c1830006984</v>
      </c>
    </row>
    <row r="5186" spans="1:5" x14ac:dyDescent="0.3">
      <c r="A5186" t="s">
        <v>5229</v>
      </c>
      <c r="B5186">
        <v>1830007156</v>
      </c>
      <c r="C5186" t="s">
        <v>411</v>
      </c>
      <c r="D5186" t="s">
        <v>411</v>
      </c>
      <c r="E5186" t="str">
        <f t="shared" si="80"/>
        <v>d2c1830007156</v>
      </c>
    </row>
    <row r="5187" spans="1:5" x14ac:dyDescent="0.3">
      <c r="A5187" t="s">
        <v>5229</v>
      </c>
      <c r="B5187">
        <v>1830007659</v>
      </c>
      <c r="C5187" t="s">
        <v>1062</v>
      </c>
      <c r="D5187" t="s">
        <v>1062</v>
      </c>
      <c r="E5187" t="str">
        <f t="shared" ref="E5187:E5250" si="81">A5187&amp;B5187</f>
        <v>d2c1830007659</v>
      </c>
    </row>
    <row r="5188" spans="1:5" x14ac:dyDescent="0.3">
      <c r="A5188" t="s">
        <v>5229</v>
      </c>
      <c r="B5188">
        <v>2100121739</v>
      </c>
      <c r="C5188" t="s">
        <v>433</v>
      </c>
      <c r="D5188" t="s">
        <v>650</v>
      </c>
      <c r="E5188" t="str">
        <f t="shared" si="81"/>
        <v>d2c2100121739</v>
      </c>
    </row>
    <row r="5189" spans="1:5" x14ac:dyDescent="0.3">
      <c r="A5189" t="s">
        <v>5229</v>
      </c>
      <c r="B5189">
        <v>2100121762</v>
      </c>
      <c r="C5189" t="s">
        <v>1496</v>
      </c>
      <c r="D5189" t="s">
        <v>1496</v>
      </c>
      <c r="E5189" t="str">
        <f t="shared" si="81"/>
        <v>d2c2100121762</v>
      </c>
    </row>
    <row r="5190" spans="1:5" x14ac:dyDescent="0.3">
      <c r="A5190" t="s">
        <v>5229</v>
      </c>
      <c r="B5190">
        <v>2100121761</v>
      </c>
      <c r="C5190" t="s">
        <v>1498</v>
      </c>
      <c r="D5190" t="s">
        <v>1498</v>
      </c>
      <c r="E5190" t="str">
        <f t="shared" si="81"/>
        <v>d2c2100121761</v>
      </c>
    </row>
    <row r="5191" spans="1:5" x14ac:dyDescent="0.3">
      <c r="A5191" t="s">
        <v>5229</v>
      </c>
      <c r="B5191">
        <v>1510002143</v>
      </c>
      <c r="C5191" t="s">
        <v>1600</v>
      </c>
      <c r="D5191" t="s">
        <v>1600</v>
      </c>
      <c r="E5191" t="str">
        <f t="shared" si="81"/>
        <v>d2c1510002143</v>
      </c>
    </row>
    <row r="5192" spans="1:5" x14ac:dyDescent="0.3">
      <c r="A5192" t="s">
        <v>5229</v>
      </c>
      <c r="B5192">
        <v>8010000022</v>
      </c>
      <c r="C5192" t="s">
        <v>125</v>
      </c>
      <c r="D5192" t="s">
        <v>125</v>
      </c>
      <c r="E5192" t="str">
        <f t="shared" si="81"/>
        <v>d2c8010000022</v>
      </c>
    </row>
    <row r="5193" spans="1:5" x14ac:dyDescent="0.3">
      <c r="A5193" t="s">
        <v>5229</v>
      </c>
      <c r="B5193">
        <v>1510001881</v>
      </c>
      <c r="C5193" t="s">
        <v>1330</v>
      </c>
      <c r="D5193" t="s">
        <v>1330</v>
      </c>
      <c r="E5193" t="str">
        <f t="shared" si="81"/>
        <v>d2c1510001881</v>
      </c>
    </row>
    <row r="5194" spans="1:5" x14ac:dyDescent="0.3">
      <c r="A5194" t="s">
        <v>5229</v>
      </c>
      <c r="B5194">
        <v>7211001544</v>
      </c>
      <c r="C5194" t="s">
        <v>2379</v>
      </c>
      <c r="D5194" t="s">
        <v>2379</v>
      </c>
      <c r="E5194" t="str">
        <f t="shared" si="81"/>
        <v>d2c7211001544</v>
      </c>
    </row>
    <row r="5195" spans="1:5" x14ac:dyDescent="0.3">
      <c r="A5195" t="s">
        <v>5229</v>
      </c>
      <c r="B5195">
        <v>7211002980</v>
      </c>
      <c r="C5195" t="s">
        <v>2777</v>
      </c>
      <c r="D5195" t="s">
        <v>2777</v>
      </c>
      <c r="E5195" t="str">
        <f t="shared" si="81"/>
        <v>d2c7211002980</v>
      </c>
    </row>
    <row r="5196" spans="1:5" x14ac:dyDescent="0.3">
      <c r="A5196" t="s">
        <v>5229</v>
      </c>
      <c r="B5196">
        <v>8010000465</v>
      </c>
      <c r="C5196" t="s">
        <v>894</v>
      </c>
      <c r="D5196" t="s">
        <v>894</v>
      </c>
      <c r="E5196" t="str">
        <f t="shared" si="81"/>
        <v>d2c8010000465</v>
      </c>
    </row>
    <row r="5197" spans="1:5" x14ac:dyDescent="0.3">
      <c r="A5197" t="s">
        <v>5229</v>
      </c>
      <c r="B5197">
        <v>7211004315</v>
      </c>
      <c r="C5197" t="s">
        <v>82</v>
      </c>
      <c r="D5197" t="s">
        <v>82</v>
      </c>
      <c r="E5197" t="str">
        <f t="shared" si="81"/>
        <v>d2c7211004315</v>
      </c>
    </row>
    <row r="5198" spans="1:5" x14ac:dyDescent="0.3">
      <c r="A5198" t="s">
        <v>5229</v>
      </c>
      <c r="B5198">
        <v>7211004366</v>
      </c>
      <c r="C5198" t="s">
        <v>1381</v>
      </c>
      <c r="D5198" t="s">
        <v>1381</v>
      </c>
      <c r="E5198" t="str">
        <f t="shared" si="81"/>
        <v>d2c7211004366</v>
      </c>
    </row>
    <row r="5199" spans="1:5" x14ac:dyDescent="0.3">
      <c r="A5199" t="s">
        <v>5229</v>
      </c>
      <c r="B5199">
        <v>7211003234</v>
      </c>
      <c r="C5199" t="s">
        <v>925</v>
      </c>
      <c r="D5199" t="s">
        <v>925</v>
      </c>
      <c r="E5199" t="str">
        <f t="shared" si="81"/>
        <v>d2c7211003234</v>
      </c>
    </row>
    <row r="5200" spans="1:5" x14ac:dyDescent="0.3">
      <c r="A5200" t="s">
        <v>5229</v>
      </c>
      <c r="B5200">
        <v>7211004612</v>
      </c>
      <c r="C5200" t="s">
        <v>1748</v>
      </c>
      <c r="D5200" t="s">
        <v>1748</v>
      </c>
      <c r="E5200" t="str">
        <f t="shared" si="81"/>
        <v>d2c7211004612</v>
      </c>
    </row>
    <row r="5201" spans="1:5" x14ac:dyDescent="0.3">
      <c r="A5201" t="s">
        <v>5229</v>
      </c>
      <c r="B5201">
        <v>7211002608</v>
      </c>
      <c r="C5201" t="s">
        <v>54</v>
      </c>
      <c r="D5201" t="s">
        <v>54</v>
      </c>
      <c r="E5201" t="str">
        <f t="shared" si="81"/>
        <v>d2c7211002608</v>
      </c>
    </row>
    <row r="5202" spans="1:5" x14ac:dyDescent="0.3">
      <c r="A5202" t="s">
        <v>5229</v>
      </c>
      <c r="B5202">
        <v>1510002155</v>
      </c>
      <c r="C5202" t="s">
        <v>417</v>
      </c>
      <c r="D5202" t="s">
        <v>417</v>
      </c>
      <c r="E5202" t="str">
        <f t="shared" si="81"/>
        <v>d2c1510002155</v>
      </c>
    </row>
    <row r="5203" spans="1:5" x14ac:dyDescent="0.3">
      <c r="A5203" t="s">
        <v>5229</v>
      </c>
      <c r="B5203">
        <v>8010000794</v>
      </c>
      <c r="C5203" t="s">
        <v>63</v>
      </c>
      <c r="D5203" t="s">
        <v>63</v>
      </c>
      <c r="E5203" t="str">
        <f t="shared" si="81"/>
        <v>d2c8010000794</v>
      </c>
    </row>
    <row r="5204" spans="1:5" x14ac:dyDescent="0.3">
      <c r="A5204" t="s">
        <v>5229</v>
      </c>
      <c r="B5204">
        <v>7211001810</v>
      </c>
      <c r="C5204" t="s">
        <v>527</v>
      </c>
      <c r="D5204" t="s">
        <v>527</v>
      </c>
      <c r="E5204" t="str">
        <f t="shared" si="81"/>
        <v>d2c7211001810</v>
      </c>
    </row>
    <row r="5205" spans="1:5" x14ac:dyDescent="0.3">
      <c r="A5205" t="s">
        <v>5229</v>
      </c>
      <c r="B5205">
        <v>7211002289</v>
      </c>
      <c r="C5205" t="s">
        <v>1081</v>
      </c>
      <c r="D5205" t="s">
        <v>1081</v>
      </c>
      <c r="E5205" t="str">
        <f t="shared" si="81"/>
        <v>d2c7211002289</v>
      </c>
    </row>
    <row r="5206" spans="1:5" x14ac:dyDescent="0.3">
      <c r="A5206" t="s">
        <v>5229</v>
      </c>
      <c r="B5206">
        <v>1830007838</v>
      </c>
      <c r="C5206" t="s">
        <v>1531</v>
      </c>
      <c r="D5206" t="s">
        <v>1531</v>
      </c>
      <c r="E5206" t="str">
        <f t="shared" si="81"/>
        <v>d2c1830007838</v>
      </c>
    </row>
    <row r="5207" spans="1:5" x14ac:dyDescent="0.3">
      <c r="A5207" t="s">
        <v>5229</v>
      </c>
      <c r="B5207">
        <v>7211004682</v>
      </c>
      <c r="C5207" t="s">
        <v>119</v>
      </c>
      <c r="D5207" t="s">
        <v>119</v>
      </c>
      <c r="E5207" t="str">
        <f t="shared" si="81"/>
        <v>d2c7211004682</v>
      </c>
    </row>
    <row r="5208" spans="1:5" x14ac:dyDescent="0.3">
      <c r="A5208" t="s">
        <v>5229</v>
      </c>
      <c r="B5208">
        <v>7211004683</v>
      </c>
      <c r="C5208" t="s">
        <v>118</v>
      </c>
      <c r="D5208" t="s">
        <v>118</v>
      </c>
      <c r="E5208" t="str">
        <f t="shared" si="81"/>
        <v>d2c7211004683</v>
      </c>
    </row>
    <row r="5209" spans="1:5" x14ac:dyDescent="0.3">
      <c r="A5209" t="s">
        <v>5229</v>
      </c>
      <c r="B5209">
        <v>2211400967</v>
      </c>
      <c r="C5209" t="s">
        <v>360</v>
      </c>
      <c r="D5209" t="s">
        <v>360</v>
      </c>
      <c r="E5209" t="str">
        <f t="shared" si="81"/>
        <v>d2c2211400967</v>
      </c>
    </row>
    <row r="5210" spans="1:5" x14ac:dyDescent="0.3">
      <c r="A5210" t="s">
        <v>5229</v>
      </c>
      <c r="B5210">
        <v>2211400921</v>
      </c>
      <c r="C5210" t="s">
        <v>33</v>
      </c>
      <c r="D5210" t="s">
        <v>33</v>
      </c>
      <c r="E5210" t="str">
        <f t="shared" si="81"/>
        <v>d2c2211400921</v>
      </c>
    </row>
    <row r="5211" spans="1:5" x14ac:dyDescent="0.3">
      <c r="A5211" t="s">
        <v>5229</v>
      </c>
      <c r="B5211">
        <v>2211401038</v>
      </c>
      <c r="C5211" t="s">
        <v>32</v>
      </c>
      <c r="D5211" t="s">
        <v>32</v>
      </c>
      <c r="E5211" t="str">
        <f t="shared" si="81"/>
        <v>d2c2211401038</v>
      </c>
    </row>
    <row r="5212" spans="1:5" x14ac:dyDescent="0.3">
      <c r="A5212" t="s">
        <v>5229</v>
      </c>
      <c r="B5212">
        <v>2211401094</v>
      </c>
      <c r="C5212" t="s">
        <v>391</v>
      </c>
      <c r="D5212" t="s">
        <v>391</v>
      </c>
      <c r="E5212" t="str">
        <f t="shared" si="81"/>
        <v>d2c2211401094</v>
      </c>
    </row>
    <row r="5213" spans="1:5" x14ac:dyDescent="0.3">
      <c r="A5213" t="s">
        <v>5229</v>
      </c>
      <c r="B5213">
        <v>2211401084</v>
      </c>
      <c r="C5213" t="s">
        <v>5223</v>
      </c>
      <c r="D5213" t="s">
        <v>5223</v>
      </c>
      <c r="E5213" t="str">
        <f t="shared" si="81"/>
        <v>d2c2211401084</v>
      </c>
    </row>
    <row r="5214" spans="1:5" x14ac:dyDescent="0.3">
      <c r="A5214" t="s">
        <v>5229</v>
      </c>
      <c r="B5214">
        <v>7211002287</v>
      </c>
      <c r="C5214" t="s">
        <v>2578</v>
      </c>
      <c r="D5214" t="s">
        <v>2578</v>
      </c>
      <c r="E5214" t="str">
        <f t="shared" si="81"/>
        <v>d2c7211002287</v>
      </c>
    </row>
    <row r="5215" spans="1:5" x14ac:dyDescent="0.3">
      <c r="A5215" t="s">
        <v>5229</v>
      </c>
      <c r="B5215">
        <v>1830008496</v>
      </c>
      <c r="C5215" t="s">
        <v>1619</v>
      </c>
      <c r="D5215" t="s">
        <v>1619</v>
      </c>
      <c r="E5215" t="str">
        <f t="shared" si="81"/>
        <v>d2c1830008496</v>
      </c>
    </row>
    <row r="5216" spans="1:5" x14ac:dyDescent="0.3">
      <c r="A5216" t="s">
        <v>5229</v>
      </c>
      <c r="B5216">
        <v>1830008184</v>
      </c>
      <c r="C5216" t="s">
        <v>1427</v>
      </c>
      <c r="D5216" t="s">
        <v>1427</v>
      </c>
      <c r="E5216" t="str">
        <f t="shared" si="81"/>
        <v>d2c1830008184</v>
      </c>
    </row>
    <row r="5217" spans="1:5" x14ac:dyDescent="0.3">
      <c r="A5217" t="s">
        <v>5229</v>
      </c>
      <c r="B5217">
        <v>1830008582</v>
      </c>
      <c r="C5217" t="s">
        <v>1700</v>
      </c>
      <c r="D5217" t="s">
        <v>1700</v>
      </c>
      <c r="E5217" t="str">
        <f t="shared" si="81"/>
        <v>d2c1830008582</v>
      </c>
    </row>
    <row r="5218" spans="1:5" x14ac:dyDescent="0.3">
      <c r="A5218" t="s">
        <v>5229</v>
      </c>
      <c r="B5218">
        <v>1830008587</v>
      </c>
      <c r="C5218" t="s">
        <v>1625</v>
      </c>
      <c r="D5218" t="s">
        <v>1625</v>
      </c>
      <c r="E5218" t="str">
        <f t="shared" si="81"/>
        <v>d2c1830008587</v>
      </c>
    </row>
    <row r="5219" spans="1:5" x14ac:dyDescent="0.3">
      <c r="A5219" t="s">
        <v>5229</v>
      </c>
      <c r="B5219">
        <v>1830007903</v>
      </c>
      <c r="C5219" t="s">
        <v>3693</v>
      </c>
      <c r="D5219" t="s">
        <v>3693</v>
      </c>
      <c r="E5219" t="str">
        <f t="shared" si="81"/>
        <v>d2c1830007903</v>
      </c>
    </row>
    <row r="5220" spans="1:5" x14ac:dyDescent="0.3">
      <c r="A5220" t="s">
        <v>5229</v>
      </c>
      <c r="B5220">
        <v>1830008641</v>
      </c>
      <c r="C5220" t="s">
        <v>5440</v>
      </c>
      <c r="D5220" t="s">
        <v>5440</v>
      </c>
      <c r="E5220" t="str">
        <f t="shared" si="81"/>
        <v>d2c1830008641</v>
      </c>
    </row>
    <row r="5221" spans="1:5" x14ac:dyDescent="0.3">
      <c r="A5221" t="s">
        <v>5229</v>
      </c>
      <c r="B5221">
        <v>1830007978</v>
      </c>
      <c r="C5221" t="s">
        <v>4490</v>
      </c>
      <c r="D5221" t="s">
        <v>4490</v>
      </c>
      <c r="E5221" t="str">
        <f t="shared" si="81"/>
        <v>d2c1830007978</v>
      </c>
    </row>
    <row r="5222" spans="1:5" x14ac:dyDescent="0.3">
      <c r="A5222" t="s">
        <v>5229</v>
      </c>
      <c r="B5222">
        <v>2211401062</v>
      </c>
      <c r="C5222" t="s">
        <v>1596</v>
      </c>
      <c r="D5222" t="s">
        <v>1596</v>
      </c>
      <c r="E5222" t="str">
        <f t="shared" si="81"/>
        <v>d2c2211401062</v>
      </c>
    </row>
    <row r="5223" spans="1:5" x14ac:dyDescent="0.3">
      <c r="A5223" t="s">
        <v>5229</v>
      </c>
      <c r="B5223">
        <v>2211400649</v>
      </c>
      <c r="C5223" t="s">
        <v>432</v>
      </c>
      <c r="D5223" t="s">
        <v>432</v>
      </c>
      <c r="E5223" t="str">
        <f t="shared" si="81"/>
        <v>d2c2211400649</v>
      </c>
    </row>
    <row r="5224" spans="1:5" x14ac:dyDescent="0.3">
      <c r="A5224" t="s">
        <v>5229</v>
      </c>
      <c r="B5224">
        <v>2211400796</v>
      </c>
      <c r="C5224" t="s">
        <v>1118</v>
      </c>
      <c r="D5224" t="s">
        <v>1118</v>
      </c>
      <c r="E5224" t="str">
        <f t="shared" si="81"/>
        <v>d2c2211400796</v>
      </c>
    </row>
    <row r="5225" spans="1:5" x14ac:dyDescent="0.3">
      <c r="A5225" t="s">
        <v>5229</v>
      </c>
      <c r="B5225">
        <v>2211400797</v>
      </c>
      <c r="C5225" t="s">
        <v>1581</v>
      </c>
      <c r="D5225" t="s">
        <v>1581</v>
      </c>
      <c r="E5225" t="str">
        <f t="shared" si="81"/>
        <v>d2c2211400797</v>
      </c>
    </row>
    <row r="5226" spans="1:5" x14ac:dyDescent="0.3">
      <c r="A5226" t="s">
        <v>5229</v>
      </c>
      <c r="B5226">
        <v>2211400854</v>
      </c>
      <c r="C5226" t="s">
        <v>29</v>
      </c>
      <c r="D5226" t="s">
        <v>29</v>
      </c>
      <c r="E5226" t="str">
        <f t="shared" si="81"/>
        <v>d2c2211400854</v>
      </c>
    </row>
    <row r="5227" spans="1:5" x14ac:dyDescent="0.3">
      <c r="A5227" t="s">
        <v>5229</v>
      </c>
      <c r="B5227">
        <v>2211400811</v>
      </c>
      <c r="C5227" t="s">
        <v>28</v>
      </c>
      <c r="D5227" t="s">
        <v>28</v>
      </c>
      <c r="E5227" t="str">
        <f t="shared" si="81"/>
        <v>d2c2211400811</v>
      </c>
    </row>
    <row r="5228" spans="1:5" x14ac:dyDescent="0.3">
      <c r="A5228" t="s">
        <v>5229</v>
      </c>
      <c r="B5228">
        <v>2211400844</v>
      </c>
      <c r="C5228" t="s">
        <v>27</v>
      </c>
      <c r="D5228" t="s">
        <v>27</v>
      </c>
      <c r="E5228" t="str">
        <f t="shared" si="81"/>
        <v>d2c2211400844</v>
      </c>
    </row>
    <row r="5229" spans="1:5" x14ac:dyDescent="0.3">
      <c r="A5229" t="s">
        <v>5229</v>
      </c>
      <c r="B5229">
        <v>2211400810</v>
      </c>
      <c r="C5229" t="s">
        <v>25</v>
      </c>
      <c r="D5229" t="s">
        <v>25</v>
      </c>
      <c r="E5229" t="str">
        <f t="shared" si="81"/>
        <v>d2c2211400810</v>
      </c>
    </row>
    <row r="5230" spans="1:5" x14ac:dyDescent="0.3">
      <c r="A5230" t="s">
        <v>5229</v>
      </c>
      <c r="B5230">
        <v>2211400233</v>
      </c>
      <c r="C5230" t="s">
        <v>849</v>
      </c>
      <c r="D5230" t="s">
        <v>849</v>
      </c>
      <c r="E5230" t="str">
        <f t="shared" si="81"/>
        <v>d2c2211400233</v>
      </c>
    </row>
    <row r="5231" spans="1:5" x14ac:dyDescent="0.3">
      <c r="A5231" t="s">
        <v>5229</v>
      </c>
      <c r="B5231">
        <v>2211400886</v>
      </c>
      <c r="C5231" t="s">
        <v>1128</v>
      </c>
      <c r="D5231" t="s">
        <v>1128</v>
      </c>
      <c r="E5231" t="str">
        <f t="shared" si="81"/>
        <v>d2c2211400886</v>
      </c>
    </row>
    <row r="5232" spans="1:5" x14ac:dyDescent="0.3">
      <c r="A5232" t="s">
        <v>5229</v>
      </c>
      <c r="B5232">
        <v>2211401132</v>
      </c>
      <c r="C5232" t="s">
        <v>373</v>
      </c>
      <c r="D5232" t="s">
        <v>373</v>
      </c>
      <c r="E5232" t="str">
        <f t="shared" si="81"/>
        <v>d2c2211401132</v>
      </c>
    </row>
    <row r="5233" spans="1:5" x14ac:dyDescent="0.3">
      <c r="A5233" t="s">
        <v>5229</v>
      </c>
      <c r="B5233">
        <v>2211401142</v>
      </c>
      <c r="C5233" t="s">
        <v>390</v>
      </c>
      <c r="D5233" t="s">
        <v>390</v>
      </c>
      <c r="E5233" t="str">
        <f t="shared" si="81"/>
        <v>d2c2211401142</v>
      </c>
    </row>
    <row r="5234" spans="1:5" x14ac:dyDescent="0.3">
      <c r="A5234" t="s">
        <v>5229</v>
      </c>
      <c r="B5234">
        <v>1830008313</v>
      </c>
      <c r="C5234" t="s">
        <v>214</v>
      </c>
      <c r="D5234" t="s">
        <v>214</v>
      </c>
      <c r="E5234" t="str">
        <f t="shared" si="81"/>
        <v>d2c1830008313</v>
      </c>
    </row>
    <row r="5235" spans="1:5" x14ac:dyDescent="0.3">
      <c r="A5235" t="s">
        <v>5229</v>
      </c>
      <c r="B5235">
        <v>2211400987</v>
      </c>
      <c r="C5235" t="s">
        <v>4874</v>
      </c>
      <c r="D5235" t="s">
        <v>4874</v>
      </c>
      <c r="E5235" t="str">
        <f t="shared" si="81"/>
        <v>d2c2211400987</v>
      </c>
    </row>
    <row r="5236" spans="1:5" x14ac:dyDescent="0.3">
      <c r="A5236" t="s">
        <v>5151</v>
      </c>
      <c r="B5236">
        <v>1110031648</v>
      </c>
      <c r="C5236" t="s">
        <v>5576</v>
      </c>
      <c r="D5236" t="s">
        <v>5576</v>
      </c>
      <c r="E5236" t="str">
        <f t="shared" si="81"/>
        <v>evrika1110031648</v>
      </c>
    </row>
    <row r="5237" spans="1:5" x14ac:dyDescent="0.3">
      <c r="A5237" t="s">
        <v>5178</v>
      </c>
      <c r="B5237">
        <v>0</v>
      </c>
      <c r="C5237">
        <v>0</v>
      </c>
      <c r="D5237" t="s">
        <v>5599</v>
      </c>
      <c r="E5237" t="str">
        <f t="shared" si="81"/>
        <v>mechta0</v>
      </c>
    </row>
    <row r="5238" spans="1:5" x14ac:dyDescent="0.3">
      <c r="A5238" t="s">
        <v>5178</v>
      </c>
      <c r="B5238">
        <v>0</v>
      </c>
      <c r="C5238">
        <v>0</v>
      </c>
      <c r="D5238" t="s">
        <v>5600</v>
      </c>
      <c r="E5238" t="str">
        <f t="shared" si="81"/>
        <v>mechta0</v>
      </c>
    </row>
    <row r="5239" spans="1:5" x14ac:dyDescent="0.3">
      <c r="A5239" t="s">
        <v>5178</v>
      </c>
      <c r="B5239">
        <v>0</v>
      </c>
      <c r="C5239">
        <v>0</v>
      </c>
      <c r="D5239" t="s">
        <v>5601</v>
      </c>
      <c r="E5239" t="str">
        <f t="shared" si="81"/>
        <v>mechta0</v>
      </c>
    </row>
    <row r="5240" spans="1:5" x14ac:dyDescent="0.3">
      <c r="A5240" t="s">
        <v>5229</v>
      </c>
      <c r="B5240">
        <v>9100004193</v>
      </c>
      <c r="C5240">
        <v>4090126</v>
      </c>
      <c r="D5240">
        <v>4090126</v>
      </c>
      <c r="E5240" t="str">
        <f t="shared" si="81"/>
        <v>d2c9100004193</v>
      </c>
    </row>
    <row r="5241" spans="1:5" x14ac:dyDescent="0.3">
      <c r="A5241" t="s">
        <v>5229</v>
      </c>
      <c r="B5241">
        <v>9100033278</v>
      </c>
      <c r="C5241">
        <v>4180850</v>
      </c>
      <c r="D5241">
        <v>4180850</v>
      </c>
      <c r="E5241" t="str">
        <f t="shared" si="81"/>
        <v>d2c9100033278</v>
      </c>
    </row>
    <row r="5242" spans="1:5" x14ac:dyDescent="0.3">
      <c r="A5242" t="s">
        <v>5229</v>
      </c>
      <c r="B5242">
        <v>9100042516</v>
      </c>
      <c r="C5242">
        <v>4206128</v>
      </c>
      <c r="D5242">
        <v>4206128</v>
      </c>
      <c r="E5242" t="str">
        <f t="shared" si="81"/>
        <v>d2c9100042516</v>
      </c>
    </row>
    <row r="5243" spans="1:5" x14ac:dyDescent="0.3">
      <c r="A5243" t="s">
        <v>5229</v>
      </c>
      <c r="B5243">
        <v>9100046093</v>
      </c>
      <c r="C5243">
        <v>4211122</v>
      </c>
      <c r="D5243">
        <v>4211122</v>
      </c>
      <c r="E5243" t="str">
        <f t="shared" si="81"/>
        <v>d2c9100046093</v>
      </c>
    </row>
    <row r="5244" spans="1:5" x14ac:dyDescent="0.3">
      <c r="A5244" t="s">
        <v>5229</v>
      </c>
      <c r="B5244">
        <v>1830008430</v>
      </c>
      <c r="C5244" t="s">
        <v>5386</v>
      </c>
      <c r="D5244" t="s">
        <v>5386</v>
      </c>
      <c r="E5244" t="str">
        <f t="shared" si="81"/>
        <v>d2c1830008430</v>
      </c>
    </row>
    <row r="5245" spans="1:5" x14ac:dyDescent="0.3">
      <c r="A5245" t="s">
        <v>5229</v>
      </c>
      <c r="B5245">
        <v>7211003968</v>
      </c>
      <c r="C5245" t="s">
        <v>47</v>
      </c>
      <c r="D5245" t="s">
        <v>47</v>
      </c>
      <c r="E5245" t="str">
        <f t="shared" si="81"/>
        <v>d2c7211003968</v>
      </c>
    </row>
    <row r="5246" spans="1:5" x14ac:dyDescent="0.3">
      <c r="A5246" t="s">
        <v>5229</v>
      </c>
      <c r="B5246">
        <v>1830008705</v>
      </c>
      <c r="C5246" t="s">
        <v>5602</v>
      </c>
      <c r="D5246" t="s">
        <v>5602</v>
      </c>
      <c r="E5246" t="str">
        <f t="shared" si="81"/>
        <v>d2c1830008705</v>
      </c>
    </row>
    <row r="5247" spans="1:5" x14ac:dyDescent="0.3">
      <c r="A5247" t="s">
        <v>5229</v>
      </c>
      <c r="B5247">
        <v>1830008527</v>
      </c>
      <c r="C5247" t="s">
        <v>1649</v>
      </c>
      <c r="D5247" t="s">
        <v>1649</v>
      </c>
      <c r="E5247" t="str">
        <f t="shared" si="81"/>
        <v>d2c1830008527</v>
      </c>
    </row>
    <row r="5248" spans="1:5" x14ac:dyDescent="0.3">
      <c r="A5248" t="s">
        <v>5229</v>
      </c>
      <c r="B5248">
        <v>1830008712</v>
      </c>
      <c r="C5248" t="s">
        <v>5474</v>
      </c>
      <c r="D5248" t="s">
        <v>5474</v>
      </c>
      <c r="E5248" t="str">
        <f t="shared" si="81"/>
        <v>d2c1830008712</v>
      </c>
    </row>
    <row r="5249" spans="1:5" x14ac:dyDescent="0.3">
      <c r="A5249" t="s">
        <v>5229</v>
      </c>
      <c r="B5249">
        <v>1830008554</v>
      </c>
      <c r="C5249" t="s">
        <v>1635</v>
      </c>
      <c r="D5249" t="s">
        <v>1635</v>
      </c>
      <c r="E5249" t="str">
        <f t="shared" si="81"/>
        <v>d2c1830008554</v>
      </c>
    </row>
    <row r="5250" spans="1:5" x14ac:dyDescent="0.3">
      <c r="A5250" t="s">
        <v>5229</v>
      </c>
      <c r="B5250">
        <v>7211003955</v>
      </c>
      <c r="C5250" t="s">
        <v>1244</v>
      </c>
      <c r="D5250" t="s">
        <v>1244</v>
      </c>
      <c r="E5250" t="str">
        <f t="shared" si="81"/>
        <v>d2c7211003955</v>
      </c>
    </row>
    <row r="5251" spans="1:5" x14ac:dyDescent="0.3">
      <c r="A5251" t="s">
        <v>5229</v>
      </c>
      <c r="B5251">
        <v>8000036018</v>
      </c>
      <c r="C5251" t="s">
        <v>716</v>
      </c>
      <c r="D5251" t="s">
        <v>716</v>
      </c>
      <c r="E5251" t="str">
        <f t="shared" ref="E5251:E5314" si="82">A5251&amp;B5251</f>
        <v>d2c8000036018</v>
      </c>
    </row>
    <row r="5252" spans="1:5" x14ac:dyDescent="0.3">
      <c r="A5252" t="s">
        <v>5229</v>
      </c>
      <c r="B5252">
        <v>7211004054</v>
      </c>
      <c r="C5252" t="s">
        <v>58</v>
      </c>
      <c r="D5252" t="s">
        <v>58</v>
      </c>
      <c r="E5252" t="str">
        <f t="shared" si="82"/>
        <v>d2c7211004054</v>
      </c>
    </row>
    <row r="5253" spans="1:5" x14ac:dyDescent="0.3">
      <c r="A5253" t="s">
        <v>5229</v>
      </c>
      <c r="B5253">
        <v>1830008850</v>
      </c>
      <c r="C5253" t="s">
        <v>5603</v>
      </c>
      <c r="D5253" t="s">
        <v>5603</v>
      </c>
      <c r="E5253" t="str">
        <f t="shared" si="82"/>
        <v>d2c1830008850</v>
      </c>
    </row>
    <row r="5254" spans="1:5" x14ac:dyDescent="0.3">
      <c r="A5254" t="s">
        <v>5229</v>
      </c>
      <c r="B5254">
        <v>1830008852</v>
      </c>
      <c r="C5254" t="s">
        <v>5549</v>
      </c>
      <c r="D5254" t="s">
        <v>5549</v>
      </c>
      <c r="E5254" t="str">
        <f t="shared" si="82"/>
        <v>d2c1830008852</v>
      </c>
    </row>
    <row r="5255" spans="1:5" x14ac:dyDescent="0.3">
      <c r="A5255" t="s">
        <v>5229</v>
      </c>
      <c r="B5255">
        <v>1830007750</v>
      </c>
      <c r="C5255" t="s">
        <v>1090</v>
      </c>
      <c r="D5255" t="s">
        <v>1090</v>
      </c>
      <c r="E5255" t="str">
        <f t="shared" si="82"/>
        <v>d2c1830007750</v>
      </c>
    </row>
    <row r="5256" spans="1:5" x14ac:dyDescent="0.3">
      <c r="A5256" t="s">
        <v>5229</v>
      </c>
      <c r="B5256">
        <v>1830008692</v>
      </c>
      <c r="C5256" t="s">
        <v>5604</v>
      </c>
      <c r="D5256" t="s">
        <v>5604</v>
      </c>
      <c r="E5256" t="str">
        <f t="shared" si="82"/>
        <v>d2c1830008692</v>
      </c>
    </row>
    <row r="5257" spans="1:5" x14ac:dyDescent="0.3">
      <c r="A5257" t="s">
        <v>5229</v>
      </c>
      <c r="B5257">
        <v>1830007160</v>
      </c>
      <c r="C5257" t="s">
        <v>1096</v>
      </c>
      <c r="D5257" t="s">
        <v>1096</v>
      </c>
      <c r="E5257" t="str">
        <f t="shared" si="82"/>
        <v>d2c1830007160</v>
      </c>
    </row>
    <row r="5258" spans="1:5" x14ac:dyDescent="0.3">
      <c r="A5258" t="s">
        <v>5229</v>
      </c>
      <c r="B5258">
        <v>1110031646</v>
      </c>
      <c r="C5258" t="s">
        <v>5605</v>
      </c>
      <c r="D5258" t="s">
        <v>5605</v>
      </c>
      <c r="E5258" t="str">
        <f t="shared" si="82"/>
        <v>d2c1110031646</v>
      </c>
    </row>
    <row r="5259" spans="1:5" x14ac:dyDescent="0.3">
      <c r="A5259" t="s">
        <v>5229</v>
      </c>
      <c r="B5259">
        <v>2100118216</v>
      </c>
      <c r="C5259" t="s">
        <v>5606</v>
      </c>
      <c r="D5259" t="s">
        <v>5606</v>
      </c>
      <c r="E5259" t="str">
        <f t="shared" si="82"/>
        <v>d2c2100118216</v>
      </c>
    </row>
    <row r="5260" spans="1:5" x14ac:dyDescent="0.3">
      <c r="A5260" t="s">
        <v>5229</v>
      </c>
      <c r="B5260">
        <v>2100117988</v>
      </c>
      <c r="C5260" t="s">
        <v>999</v>
      </c>
      <c r="D5260" t="s">
        <v>999</v>
      </c>
      <c r="E5260" t="str">
        <f t="shared" si="82"/>
        <v>d2c2100117988</v>
      </c>
    </row>
    <row r="5261" spans="1:5" x14ac:dyDescent="0.3">
      <c r="A5261" t="s">
        <v>5229</v>
      </c>
      <c r="B5261">
        <v>2100122930</v>
      </c>
      <c r="C5261" t="s">
        <v>401</v>
      </c>
      <c r="D5261" t="s">
        <v>401</v>
      </c>
      <c r="E5261" t="str">
        <f t="shared" si="82"/>
        <v>d2c2100122930</v>
      </c>
    </row>
    <row r="5262" spans="1:5" x14ac:dyDescent="0.3">
      <c r="A5262" t="s">
        <v>5229</v>
      </c>
      <c r="B5262">
        <v>2100117992</v>
      </c>
      <c r="C5262" t="s">
        <v>4116</v>
      </c>
      <c r="D5262" t="s">
        <v>4116</v>
      </c>
      <c r="E5262" t="str">
        <f t="shared" si="82"/>
        <v>d2c2100117992</v>
      </c>
    </row>
    <row r="5263" spans="1:5" x14ac:dyDescent="0.3">
      <c r="A5263" t="s">
        <v>5229</v>
      </c>
      <c r="B5263">
        <v>2100118829</v>
      </c>
      <c r="C5263" t="s">
        <v>427</v>
      </c>
      <c r="D5263" t="s">
        <v>427</v>
      </c>
      <c r="E5263" t="str">
        <f t="shared" si="82"/>
        <v>d2c2100118829</v>
      </c>
    </row>
    <row r="5264" spans="1:5" x14ac:dyDescent="0.3">
      <c r="A5264" t="s">
        <v>5229</v>
      </c>
      <c r="B5264">
        <v>7211003983</v>
      </c>
      <c r="C5264" t="s">
        <v>1436</v>
      </c>
      <c r="D5264" t="s">
        <v>1436</v>
      </c>
      <c r="E5264" t="str">
        <f t="shared" si="82"/>
        <v>d2c7211003983</v>
      </c>
    </row>
    <row r="5265" spans="1:5" x14ac:dyDescent="0.3">
      <c r="A5265" t="s">
        <v>5229</v>
      </c>
      <c r="B5265">
        <v>1830007810</v>
      </c>
      <c r="C5265" t="s">
        <v>1162</v>
      </c>
      <c r="D5265" t="s">
        <v>1162</v>
      </c>
      <c r="E5265" t="str">
        <f t="shared" si="82"/>
        <v>d2c1830007810</v>
      </c>
    </row>
    <row r="5266" spans="1:5" x14ac:dyDescent="0.3">
      <c r="A5266" t="s">
        <v>5229</v>
      </c>
      <c r="B5266">
        <v>2100118287</v>
      </c>
      <c r="C5266" t="s">
        <v>3336</v>
      </c>
      <c r="D5266" t="s">
        <v>3336</v>
      </c>
      <c r="E5266" t="str">
        <f t="shared" si="82"/>
        <v>d2c2100118287</v>
      </c>
    </row>
    <row r="5267" spans="1:5" x14ac:dyDescent="0.3">
      <c r="A5267" t="s">
        <v>5229</v>
      </c>
      <c r="B5267">
        <v>2100118310</v>
      </c>
      <c r="C5267" t="s">
        <v>1201</v>
      </c>
      <c r="D5267" t="s">
        <v>1201</v>
      </c>
      <c r="E5267" t="str">
        <f t="shared" si="82"/>
        <v>d2c2100118310</v>
      </c>
    </row>
    <row r="5268" spans="1:5" x14ac:dyDescent="0.3">
      <c r="A5268" t="s">
        <v>5229</v>
      </c>
      <c r="B5268">
        <v>2100118312</v>
      </c>
      <c r="C5268" t="s">
        <v>1205</v>
      </c>
      <c r="D5268" t="s">
        <v>1205</v>
      </c>
      <c r="E5268" t="str">
        <f t="shared" si="82"/>
        <v>d2c2100118312</v>
      </c>
    </row>
    <row r="5269" spans="1:5" x14ac:dyDescent="0.3">
      <c r="A5269" t="s">
        <v>5229</v>
      </c>
      <c r="B5269">
        <v>2100121256</v>
      </c>
      <c r="C5269" t="s">
        <v>4870</v>
      </c>
      <c r="D5269" t="s">
        <v>4870</v>
      </c>
      <c r="E5269" t="str">
        <f t="shared" si="82"/>
        <v>d2c2100121256</v>
      </c>
    </row>
    <row r="5270" spans="1:5" x14ac:dyDescent="0.3">
      <c r="A5270" t="s">
        <v>5229</v>
      </c>
      <c r="B5270">
        <v>2100121257</v>
      </c>
      <c r="C5270" t="s">
        <v>3451</v>
      </c>
      <c r="D5270" t="s">
        <v>3451</v>
      </c>
      <c r="E5270" t="str">
        <f t="shared" si="82"/>
        <v>d2c2100121257</v>
      </c>
    </row>
    <row r="5271" spans="1:5" x14ac:dyDescent="0.3">
      <c r="A5271" t="s">
        <v>5229</v>
      </c>
      <c r="B5271">
        <v>2100121258</v>
      </c>
      <c r="C5271" t="s">
        <v>3429</v>
      </c>
      <c r="D5271" t="s">
        <v>3429</v>
      </c>
      <c r="E5271" t="str">
        <f t="shared" si="82"/>
        <v>d2c2100121258</v>
      </c>
    </row>
    <row r="5272" spans="1:5" x14ac:dyDescent="0.3">
      <c r="A5272" t="s">
        <v>5229</v>
      </c>
      <c r="B5272">
        <v>2100121373</v>
      </c>
      <c r="C5272" t="s">
        <v>400</v>
      </c>
      <c r="D5272" t="s">
        <v>400</v>
      </c>
      <c r="E5272" t="str">
        <f t="shared" si="82"/>
        <v>d2c2100121373</v>
      </c>
    </row>
    <row r="5273" spans="1:5" x14ac:dyDescent="0.3">
      <c r="A5273" t="s">
        <v>5229</v>
      </c>
      <c r="B5273">
        <v>2100116195</v>
      </c>
      <c r="C5273" t="s">
        <v>84</v>
      </c>
      <c r="D5273" t="s">
        <v>84</v>
      </c>
      <c r="E5273" t="str">
        <f t="shared" si="82"/>
        <v>d2c2100116195</v>
      </c>
    </row>
    <row r="5274" spans="1:5" x14ac:dyDescent="0.3">
      <c r="A5274" t="s">
        <v>5229</v>
      </c>
      <c r="B5274">
        <v>2100121261</v>
      </c>
      <c r="C5274" t="s">
        <v>3372</v>
      </c>
      <c r="D5274" t="s">
        <v>3372</v>
      </c>
      <c r="E5274" t="str">
        <f t="shared" si="82"/>
        <v>d2c2100121261</v>
      </c>
    </row>
    <row r="5275" spans="1:5" x14ac:dyDescent="0.3">
      <c r="A5275" t="s">
        <v>5229</v>
      </c>
      <c r="B5275">
        <v>1830007359</v>
      </c>
      <c r="C5275" t="s">
        <v>19</v>
      </c>
      <c r="D5275" t="s">
        <v>19</v>
      </c>
      <c r="E5275" t="str">
        <f t="shared" si="82"/>
        <v>d2c1830007359</v>
      </c>
    </row>
    <row r="5276" spans="1:5" x14ac:dyDescent="0.3">
      <c r="A5276" t="s">
        <v>5229</v>
      </c>
      <c r="B5276">
        <v>1830008290</v>
      </c>
      <c r="C5276" t="s">
        <v>15</v>
      </c>
      <c r="D5276" t="s">
        <v>15</v>
      </c>
      <c r="E5276" t="str">
        <f t="shared" si="82"/>
        <v>d2c1830008290</v>
      </c>
    </row>
    <row r="5277" spans="1:5" x14ac:dyDescent="0.3">
      <c r="A5277" t="s">
        <v>5229</v>
      </c>
      <c r="B5277">
        <v>2100119880</v>
      </c>
      <c r="C5277" t="s">
        <v>1490</v>
      </c>
      <c r="D5277" t="s">
        <v>1490</v>
      </c>
      <c r="E5277" t="str">
        <f t="shared" si="82"/>
        <v>d2c2100119880</v>
      </c>
    </row>
    <row r="5278" spans="1:5" x14ac:dyDescent="0.3">
      <c r="A5278" t="s">
        <v>5229</v>
      </c>
      <c r="B5278">
        <v>7211003356</v>
      </c>
      <c r="C5278" t="s">
        <v>975</v>
      </c>
      <c r="D5278" t="s">
        <v>975</v>
      </c>
      <c r="E5278" t="str">
        <f t="shared" si="82"/>
        <v>d2c7211003356</v>
      </c>
    </row>
    <row r="5279" spans="1:5" x14ac:dyDescent="0.3">
      <c r="A5279" t="s">
        <v>5229</v>
      </c>
      <c r="B5279">
        <v>1510001318</v>
      </c>
      <c r="C5279" t="s">
        <v>67</v>
      </c>
      <c r="D5279" t="s">
        <v>67</v>
      </c>
      <c r="E5279" t="str">
        <f t="shared" si="82"/>
        <v>d2c1510001318</v>
      </c>
    </row>
    <row r="5280" spans="1:5" x14ac:dyDescent="0.3">
      <c r="A5280" t="s">
        <v>5229</v>
      </c>
      <c r="B5280">
        <v>1830007886</v>
      </c>
      <c r="C5280" t="s">
        <v>1529</v>
      </c>
      <c r="D5280" t="s">
        <v>1529</v>
      </c>
      <c r="E5280" t="str">
        <f t="shared" si="82"/>
        <v>d2c1830007886</v>
      </c>
    </row>
    <row r="5281" spans="1:5" x14ac:dyDescent="0.3">
      <c r="A5281" t="s">
        <v>5229</v>
      </c>
      <c r="B5281">
        <v>1830008091</v>
      </c>
      <c r="C5281" t="s">
        <v>3473</v>
      </c>
      <c r="D5281" t="s">
        <v>3473</v>
      </c>
      <c r="E5281" t="str">
        <f t="shared" si="82"/>
        <v>d2c1830008091</v>
      </c>
    </row>
    <row r="5282" spans="1:5" x14ac:dyDescent="0.3">
      <c r="A5282" t="s">
        <v>5229</v>
      </c>
      <c r="B5282">
        <v>7211004672</v>
      </c>
      <c r="C5282" t="s">
        <v>363</v>
      </c>
      <c r="D5282" t="s">
        <v>363</v>
      </c>
      <c r="E5282" t="str">
        <f t="shared" si="82"/>
        <v>d2c7211004672</v>
      </c>
    </row>
    <row r="5283" spans="1:5" x14ac:dyDescent="0.3">
      <c r="A5283" t="s">
        <v>5229</v>
      </c>
      <c r="B5283">
        <v>7211004670</v>
      </c>
      <c r="C5283" t="s">
        <v>404</v>
      </c>
      <c r="D5283" t="s">
        <v>404</v>
      </c>
      <c r="E5283" t="str">
        <f t="shared" si="82"/>
        <v>d2c7211004670</v>
      </c>
    </row>
    <row r="5284" spans="1:5" x14ac:dyDescent="0.3">
      <c r="A5284" t="s">
        <v>5229</v>
      </c>
      <c r="B5284">
        <v>2211401093</v>
      </c>
      <c r="C5284" t="s">
        <v>392</v>
      </c>
      <c r="D5284" t="s">
        <v>392</v>
      </c>
      <c r="E5284" t="str">
        <f t="shared" si="82"/>
        <v>d2c2211401093</v>
      </c>
    </row>
    <row r="5285" spans="1:5" x14ac:dyDescent="0.3">
      <c r="A5285" t="s">
        <v>5229</v>
      </c>
      <c r="B5285">
        <v>7211004463</v>
      </c>
      <c r="C5285" t="s">
        <v>110</v>
      </c>
      <c r="D5285" t="s">
        <v>110</v>
      </c>
      <c r="E5285" t="str">
        <f t="shared" si="82"/>
        <v>d2c7211004463</v>
      </c>
    </row>
    <row r="5286" spans="1:5" x14ac:dyDescent="0.3">
      <c r="A5286" t="s">
        <v>5229</v>
      </c>
      <c r="B5286">
        <v>1830007548</v>
      </c>
      <c r="C5286" t="s">
        <v>3570</v>
      </c>
      <c r="D5286" t="s">
        <v>3570</v>
      </c>
      <c r="E5286" t="str">
        <f t="shared" si="82"/>
        <v>d2c1830007548</v>
      </c>
    </row>
    <row r="5287" spans="1:5" x14ac:dyDescent="0.3">
      <c r="A5287" t="s">
        <v>5229</v>
      </c>
      <c r="B5287">
        <v>1830008619</v>
      </c>
      <c r="C5287" t="s">
        <v>5442</v>
      </c>
      <c r="D5287" t="s">
        <v>5442</v>
      </c>
      <c r="E5287" t="str">
        <f t="shared" si="82"/>
        <v>d2c1830008619</v>
      </c>
    </row>
    <row r="5288" spans="1:5" x14ac:dyDescent="0.3">
      <c r="A5288" t="s">
        <v>5229</v>
      </c>
      <c r="B5288">
        <v>1830008218</v>
      </c>
      <c r="C5288" t="s">
        <v>3552</v>
      </c>
      <c r="D5288" t="s">
        <v>3552</v>
      </c>
      <c r="E5288" t="str">
        <f t="shared" si="82"/>
        <v>d2c1830008218</v>
      </c>
    </row>
    <row r="5289" spans="1:5" x14ac:dyDescent="0.3">
      <c r="A5289" t="s">
        <v>5229</v>
      </c>
      <c r="B5289">
        <v>7211003294</v>
      </c>
      <c r="C5289" t="s">
        <v>1279</v>
      </c>
      <c r="D5289" t="s">
        <v>1279</v>
      </c>
      <c r="E5289" t="str">
        <f t="shared" si="82"/>
        <v>d2c7211003294</v>
      </c>
    </row>
    <row r="5290" spans="1:5" x14ac:dyDescent="0.3">
      <c r="A5290" t="s">
        <v>5229</v>
      </c>
      <c r="B5290">
        <v>2211400650</v>
      </c>
      <c r="C5290" t="s">
        <v>431</v>
      </c>
      <c r="D5290" t="s">
        <v>431</v>
      </c>
      <c r="E5290" t="str">
        <f t="shared" si="82"/>
        <v>d2c2211400650</v>
      </c>
    </row>
    <row r="5291" spans="1:5" x14ac:dyDescent="0.3">
      <c r="A5291" t="s">
        <v>5229</v>
      </c>
      <c r="B5291">
        <v>7211005010</v>
      </c>
      <c r="C5291" t="s">
        <v>416</v>
      </c>
      <c r="D5291" t="s">
        <v>416</v>
      </c>
      <c r="E5291" t="str">
        <f t="shared" si="82"/>
        <v>d2c7211005010</v>
      </c>
    </row>
    <row r="5292" spans="1:5" x14ac:dyDescent="0.3">
      <c r="A5292" t="s">
        <v>5229</v>
      </c>
      <c r="B5292">
        <v>2211400875</v>
      </c>
      <c r="C5292" t="s">
        <v>2099</v>
      </c>
      <c r="D5292" t="s">
        <v>2099</v>
      </c>
      <c r="E5292" t="str">
        <f t="shared" si="82"/>
        <v>d2c2211400875</v>
      </c>
    </row>
    <row r="5293" spans="1:5" x14ac:dyDescent="0.3">
      <c r="A5293" t="s">
        <v>5229</v>
      </c>
      <c r="B5293">
        <v>2211401014</v>
      </c>
      <c r="C5293" t="s">
        <v>371</v>
      </c>
      <c r="D5293" t="s">
        <v>371</v>
      </c>
      <c r="E5293" t="str">
        <f t="shared" si="82"/>
        <v>d2c2211401014</v>
      </c>
    </row>
    <row r="5294" spans="1:5" x14ac:dyDescent="0.3">
      <c r="A5294" t="s">
        <v>5229</v>
      </c>
      <c r="B5294">
        <v>2211401177</v>
      </c>
      <c r="C5294" t="s">
        <v>440</v>
      </c>
      <c r="D5294" t="s">
        <v>440</v>
      </c>
      <c r="E5294" t="str">
        <f t="shared" si="82"/>
        <v>d2c2211401177</v>
      </c>
    </row>
    <row r="5295" spans="1:5" x14ac:dyDescent="0.3">
      <c r="A5295" t="s">
        <v>5229</v>
      </c>
      <c r="B5295">
        <v>1510001937</v>
      </c>
      <c r="C5295" t="s">
        <v>1655</v>
      </c>
      <c r="D5295" t="s">
        <v>1655</v>
      </c>
      <c r="E5295" t="str">
        <f t="shared" si="82"/>
        <v>d2c1510001937</v>
      </c>
    </row>
    <row r="5296" spans="1:5" x14ac:dyDescent="0.3">
      <c r="A5296" t="s">
        <v>5229</v>
      </c>
      <c r="B5296">
        <v>2211400344</v>
      </c>
      <c r="C5296" t="s">
        <v>1511</v>
      </c>
      <c r="D5296" t="s">
        <v>1511</v>
      </c>
      <c r="E5296" t="str">
        <f t="shared" si="82"/>
        <v>d2c2211400344</v>
      </c>
    </row>
    <row r="5297" spans="1:5" x14ac:dyDescent="0.3">
      <c r="A5297" t="s">
        <v>5178</v>
      </c>
      <c r="B5297">
        <v>7211004980</v>
      </c>
      <c r="C5297" t="s">
        <v>5513</v>
      </c>
      <c r="D5297" t="s">
        <v>5599</v>
      </c>
      <c r="E5297" t="str">
        <f t="shared" si="82"/>
        <v>mechta7211004980</v>
      </c>
    </row>
    <row r="5298" spans="1:5" x14ac:dyDescent="0.3">
      <c r="A5298" t="s">
        <v>5178</v>
      </c>
      <c r="B5298">
        <v>2211401212</v>
      </c>
      <c r="C5298" t="s">
        <v>438</v>
      </c>
      <c r="D5298" t="s">
        <v>5600</v>
      </c>
      <c r="E5298" t="str">
        <f t="shared" si="82"/>
        <v>mechta2211401212</v>
      </c>
    </row>
    <row r="5299" spans="1:5" x14ac:dyDescent="0.3">
      <c r="A5299" t="s">
        <v>5178</v>
      </c>
      <c r="B5299">
        <v>1830007961</v>
      </c>
      <c r="C5299" t="s">
        <v>5607</v>
      </c>
      <c r="D5299" t="s">
        <v>5608</v>
      </c>
      <c r="E5299" t="str">
        <f t="shared" si="82"/>
        <v>mechta1830007961</v>
      </c>
    </row>
    <row r="5300" spans="1:5" x14ac:dyDescent="0.3">
      <c r="A5300" t="s">
        <v>5178</v>
      </c>
      <c r="B5300">
        <v>1830008739</v>
      </c>
      <c r="C5300" t="s">
        <v>5609</v>
      </c>
      <c r="D5300" t="s">
        <v>5610</v>
      </c>
      <c r="E5300" t="str">
        <f t="shared" si="82"/>
        <v>mechta1830008739</v>
      </c>
    </row>
    <row r="5301" spans="1:5" x14ac:dyDescent="0.3">
      <c r="A5301" t="s">
        <v>5178</v>
      </c>
      <c r="B5301">
        <v>7211004356</v>
      </c>
      <c r="C5301" t="s">
        <v>5611</v>
      </c>
      <c r="D5301" t="s">
        <v>5601</v>
      </c>
      <c r="E5301" t="str">
        <f t="shared" si="82"/>
        <v>mechta7211004356</v>
      </c>
    </row>
    <row r="5302" spans="1:5" x14ac:dyDescent="0.3">
      <c r="A5302" t="s">
        <v>5178</v>
      </c>
      <c r="B5302">
        <v>7211003150</v>
      </c>
      <c r="C5302" t="s">
        <v>5577</v>
      </c>
      <c r="D5302" t="s">
        <v>5612</v>
      </c>
      <c r="E5302" t="str">
        <f t="shared" si="82"/>
        <v>mechta7211003150</v>
      </c>
    </row>
    <row r="5303" spans="1:5" x14ac:dyDescent="0.3">
      <c r="A5303" t="s">
        <v>5178</v>
      </c>
      <c r="B5303">
        <v>8000033616</v>
      </c>
      <c r="C5303" t="s">
        <v>1663</v>
      </c>
      <c r="D5303" t="s">
        <v>5613</v>
      </c>
      <c r="E5303" t="str">
        <f t="shared" si="82"/>
        <v>mechta8000033616</v>
      </c>
    </row>
    <row r="5304" spans="1:5" x14ac:dyDescent="0.3">
      <c r="A5304" t="s">
        <v>5178</v>
      </c>
      <c r="B5304">
        <v>1830008194</v>
      </c>
      <c r="C5304" t="s">
        <v>1355</v>
      </c>
      <c r="D5304" t="s">
        <v>5614</v>
      </c>
      <c r="E5304" t="str">
        <f t="shared" si="82"/>
        <v>mechta1830008194</v>
      </c>
    </row>
    <row r="5305" spans="1:5" x14ac:dyDescent="0.3">
      <c r="A5305" t="s">
        <v>4666</v>
      </c>
      <c r="B5305">
        <v>2211401212</v>
      </c>
      <c r="C5305" t="s">
        <v>438</v>
      </c>
      <c r="D5305" t="s">
        <v>5615</v>
      </c>
      <c r="E5305" t="str">
        <f t="shared" si="82"/>
        <v>technodom2211401212</v>
      </c>
    </row>
    <row r="5306" spans="1:5" x14ac:dyDescent="0.3">
      <c r="A5306" t="s">
        <v>4666</v>
      </c>
      <c r="B5306">
        <v>1830008887</v>
      </c>
      <c r="C5306" t="s">
        <v>5446</v>
      </c>
      <c r="D5306" t="s">
        <v>5616</v>
      </c>
      <c r="E5306" t="str">
        <f t="shared" si="82"/>
        <v>technodom1830008887</v>
      </c>
    </row>
    <row r="5307" spans="1:5" x14ac:dyDescent="0.3">
      <c r="A5307" t="s">
        <v>4666</v>
      </c>
      <c r="B5307">
        <v>3201002530</v>
      </c>
      <c r="C5307">
        <v>1291606040</v>
      </c>
      <c r="D5307" t="s">
        <v>5617</v>
      </c>
      <c r="E5307" t="str">
        <f t="shared" si="82"/>
        <v>technodom3201002530</v>
      </c>
    </row>
    <row r="5308" spans="1:5" x14ac:dyDescent="0.3">
      <c r="A5308" t="s">
        <v>5229</v>
      </c>
      <c r="B5308">
        <v>1830007855</v>
      </c>
      <c r="C5308" t="s">
        <v>1193</v>
      </c>
      <c r="D5308" t="s">
        <v>1193</v>
      </c>
      <c r="E5308" t="str">
        <f t="shared" si="82"/>
        <v>d2c1830007855</v>
      </c>
    </row>
    <row r="5309" spans="1:5" x14ac:dyDescent="0.3">
      <c r="A5309" t="s">
        <v>5229</v>
      </c>
      <c r="B5309">
        <v>1830008360</v>
      </c>
      <c r="C5309" t="s">
        <v>5404</v>
      </c>
      <c r="D5309" t="s">
        <v>5404</v>
      </c>
      <c r="E5309" t="str">
        <f t="shared" si="82"/>
        <v>d2c1830008360</v>
      </c>
    </row>
    <row r="5310" spans="1:5" x14ac:dyDescent="0.3">
      <c r="A5310" t="s">
        <v>5229</v>
      </c>
      <c r="B5310">
        <v>2100118828</v>
      </c>
      <c r="C5310" t="s">
        <v>1567</v>
      </c>
      <c r="D5310" t="s">
        <v>1567</v>
      </c>
      <c r="E5310" t="str">
        <f t="shared" si="82"/>
        <v>d2c2100118828</v>
      </c>
    </row>
    <row r="5311" spans="1:5" x14ac:dyDescent="0.3">
      <c r="A5311" t="s">
        <v>5229</v>
      </c>
      <c r="B5311">
        <v>8000035826</v>
      </c>
      <c r="C5311" t="s">
        <v>362</v>
      </c>
      <c r="D5311" t="s">
        <v>362</v>
      </c>
      <c r="E5311" t="str">
        <f t="shared" si="82"/>
        <v>d2c8000035826</v>
      </c>
    </row>
    <row r="5312" spans="1:5" x14ac:dyDescent="0.3">
      <c r="A5312" t="s">
        <v>5229</v>
      </c>
      <c r="B5312">
        <v>2100087333</v>
      </c>
      <c r="C5312" t="s">
        <v>4864</v>
      </c>
      <c r="D5312" t="s">
        <v>4864</v>
      </c>
      <c r="E5312" t="str">
        <f t="shared" si="82"/>
        <v>d2c2100087333</v>
      </c>
    </row>
    <row r="5313" spans="1:5" x14ac:dyDescent="0.3">
      <c r="A5313" t="s">
        <v>5229</v>
      </c>
      <c r="B5313">
        <v>2100121730</v>
      </c>
      <c r="C5313" t="s">
        <v>1494</v>
      </c>
      <c r="D5313" t="s">
        <v>1494</v>
      </c>
      <c r="E5313" t="str">
        <f t="shared" si="82"/>
        <v>d2c2100121730</v>
      </c>
    </row>
    <row r="5314" spans="1:5" x14ac:dyDescent="0.3">
      <c r="A5314" t="s">
        <v>5229</v>
      </c>
      <c r="B5314">
        <v>7211000396</v>
      </c>
      <c r="C5314" t="s">
        <v>2392</v>
      </c>
      <c r="D5314" t="s">
        <v>2392</v>
      </c>
      <c r="E5314" t="str">
        <f t="shared" si="82"/>
        <v>d2c7211000396</v>
      </c>
    </row>
    <row r="5315" spans="1:5" x14ac:dyDescent="0.3">
      <c r="A5315" t="s">
        <v>5229</v>
      </c>
      <c r="B5315">
        <v>1830008071</v>
      </c>
      <c r="C5315" t="s">
        <v>1517</v>
      </c>
      <c r="D5315" t="s">
        <v>1517</v>
      </c>
      <c r="E5315" t="str">
        <f t="shared" ref="E5315:E5322" si="83">A5315&amp;B5315</f>
        <v>d2c1830008071</v>
      </c>
    </row>
    <row r="5316" spans="1:5" x14ac:dyDescent="0.3">
      <c r="A5316" t="s">
        <v>5229</v>
      </c>
      <c r="B5316">
        <v>1830008188</v>
      </c>
      <c r="C5316" t="s">
        <v>4345</v>
      </c>
      <c r="D5316" t="s">
        <v>4345</v>
      </c>
      <c r="E5316" t="str">
        <f t="shared" si="83"/>
        <v>d2c1830008188</v>
      </c>
    </row>
    <row r="5317" spans="1:5" x14ac:dyDescent="0.3">
      <c r="A5317" t="s">
        <v>5229</v>
      </c>
      <c r="B5317">
        <v>2211400764</v>
      </c>
      <c r="C5317" t="s">
        <v>1505</v>
      </c>
      <c r="D5317" t="s">
        <v>1505</v>
      </c>
      <c r="E5317" t="str">
        <f t="shared" si="83"/>
        <v>d2c2211400764</v>
      </c>
    </row>
    <row r="5318" spans="1:5" x14ac:dyDescent="0.3">
      <c r="A5318" t="s">
        <v>5167</v>
      </c>
      <c r="B5318">
        <v>1110031648</v>
      </c>
      <c r="C5318" t="s">
        <v>5576</v>
      </c>
      <c r="D5318" t="s">
        <v>5618</v>
      </c>
      <c r="E5318" t="str">
        <f t="shared" si="83"/>
        <v>alser1110031648</v>
      </c>
    </row>
    <row r="5319" spans="1:5" x14ac:dyDescent="0.3">
      <c r="A5319" t="s">
        <v>5167</v>
      </c>
      <c r="B5319">
        <v>1830008705</v>
      </c>
      <c r="C5319" t="s">
        <v>5602</v>
      </c>
      <c r="D5319" t="s">
        <v>5619</v>
      </c>
      <c r="E5319" t="str">
        <f t="shared" si="83"/>
        <v>alser1830008705</v>
      </c>
    </row>
    <row r="5320" spans="1:5" x14ac:dyDescent="0.3">
      <c r="A5320" t="s">
        <v>5167</v>
      </c>
      <c r="B5320">
        <v>7211004356</v>
      </c>
      <c r="C5320" t="s">
        <v>5611</v>
      </c>
      <c r="D5320" t="s">
        <v>5620</v>
      </c>
      <c r="E5320" t="str">
        <f t="shared" si="83"/>
        <v>alser7211004356</v>
      </c>
    </row>
    <row r="5321" spans="1:5" x14ac:dyDescent="0.3">
      <c r="A5321" t="s">
        <v>5167</v>
      </c>
      <c r="B5321">
        <v>7211003150</v>
      </c>
      <c r="C5321" t="s">
        <v>5577</v>
      </c>
      <c r="D5321" t="s">
        <v>5621</v>
      </c>
      <c r="E5321" t="str">
        <f t="shared" si="83"/>
        <v>alser7211003150</v>
      </c>
    </row>
    <row r="5322" spans="1:5" x14ac:dyDescent="0.3">
      <c r="A5322" t="s">
        <v>5167</v>
      </c>
      <c r="B5322">
        <v>1830008886</v>
      </c>
      <c r="C5322" t="s">
        <v>5622</v>
      </c>
      <c r="D5322" t="s">
        <v>5623</v>
      </c>
      <c r="E5322" t="str">
        <f t="shared" si="83"/>
        <v>alser1830008886</v>
      </c>
    </row>
  </sheetData>
  <autoFilter ref="A1:D5322" xr:uid="{071248E6-1011-499A-A2CE-8483F3D3713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Фокусы Черновик </vt:lpstr>
      <vt:lpstr>Фокусы WMF для SC универ </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SMIRNOVA Natalya</dc:creator>
  <cp:lastModifiedBy>UTKINA Anastasia</cp:lastModifiedBy>
  <dcterms:created xsi:type="dcterms:W3CDTF">2015-06-05T18:17:20Z</dcterms:created>
  <dcterms:modified xsi:type="dcterms:W3CDTF">2026-09-03T07:32:19Z</dcterms:modified>
</cp:coreProperties>
</file>